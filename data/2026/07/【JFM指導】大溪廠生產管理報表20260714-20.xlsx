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14" activeTab="26"/>
  </bookViews>
  <sheets>
    <sheet name="數值累積總表(月)" sheetId="65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8-1(月報廢)" sheetId="57" state="hidden" r:id="rId23"/>
    <sheet name="生產管理報表 8-2(月報廢)" sheetId="58" state="hidden" r:id="rId24"/>
    <sheet name="生產管理報表 8-3(月超用)" sheetId="59" state="hidden" r:id="rId25"/>
    <sheet name="生產管理報表 8-4(月超用)" sheetId="60" state="hidden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6" r:id="rId35"/>
    <sheet name="填寫舉例" sheetId="1" r:id="rId36"/>
    <sheet name="鮮食品群番" sheetId="38" r:id="rId37"/>
    <sheet name="下拉式選單" sheetId="54" r:id="rId38"/>
  </sheets>
  <externalReferences>
    <externalReference r:id="rId39"/>
  </externalReference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6-1'!$A$1:$L$80</definedName>
    <definedName name="_xlnm.Print_Area" localSheetId="17">'生產管理報表 6-2'!$A$1:$L$80</definedName>
    <definedName name="_xlnm.Print_Area" localSheetId="18">'生產管理報表 6-3'!$A$1:$L$80</definedName>
    <definedName name="_xlnm.Print_Area" localSheetId="19">'生產管理報表 6-4'!$A$1:$L$80</definedName>
    <definedName name="_xlnm.Print_Area" localSheetId="20">'生產管理報表 6-5'!$A$1:$L$80</definedName>
    <definedName name="_xlnm.Print_Area" localSheetId="26">'生產管理報表 7-1 (週)'!$A$1:$M$37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8-5(週報廢)'!$A$1:$P$58</definedName>
    <definedName name="_xlnm.Print_Area" localSheetId="28">'生產管理報表 8-6(週報廢)'!$A$1:$P$74</definedName>
    <definedName name="_xlnm.Print_Area" localSheetId="29">'生產管理報表 8-7(週超用)'!$A$1:$Q$30</definedName>
    <definedName name="_xlnm.Print_Area" localSheetId="30">'生產管理報表 8-8(週超用) '!$A$1:$P$58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41" l="1"/>
  <c r="C32" i="41" l="1"/>
  <c r="C31" i="41"/>
  <c r="B31" i="41"/>
  <c r="B32" i="41"/>
  <c r="X174" i="63"/>
  <c r="R179" i="63"/>
  <c r="O179" i="63"/>
  <c r="S179" i="63" s="1"/>
  <c r="N179" i="63"/>
  <c r="L179" i="63"/>
  <c r="J179" i="63"/>
  <c r="F179" i="63"/>
  <c r="V178" i="63"/>
  <c r="X178" i="63" s="1"/>
  <c r="U178" i="63"/>
  <c r="S178" i="63"/>
  <c r="T178" i="63" s="1"/>
  <c r="R178" i="63"/>
  <c r="O178" i="63"/>
  <c r="P178" i="63" s="1"/>
  <c r="N178" i="63"/>
  <c r="L178" i="63"/>
  <c r="J178" i="63"/>
  <c r="F178" i="63"/>
  <c r="R177" i="63"/>
  <c r="O177" i="63"/>
  <c r="S177" i="63" s="1"/>
  <c r="N177" i="63"/>
  <c r="L177" i="63"/>
  <c r="J177" i="63"/>
  <c r="F177" i="63"/>
  <c r="R176" i="63"/>
  <c r="O176" i="63"/>
  <c r="S176" i="63" s="1"/>
  <c r="N176" i="63"/>
  <c r="L176" i="63"/>
  <c r="J176" i="63"/>
  <c r="F176" i="63"/>
  <c r="V175" i="63"/>
  <c r="X175" i="63" s="1"/>
  <c r="U175" i="63"/>
  <c r="T175" i="63"/>
  <c r="S175" i="63"/>
  <c r="R175" i="63"/>
  <c r="P175" i="63"/>
  <c r="O175" i="63"/>
  <c r="N175" i="63"/>
  <c r="L175" i="63"/>
  <c r="J175" i="63"/>
  <c r="F175" i="63"/>
  <c r="R174" i="63"/>
  <c r="P174" i="63"/>
  <c r="O174" i="63"/>
  <c r="S174" i="63" s="1"/>
  <c r="N174" i="63"/>
  <c r="L174" i="63"/>
  <c r="J174" i="63"/>
  <c r="F174" i="63"/>
  <c r="R173" i="63"/>
  <c r="O173" i="63"/>
  <c r="S173" i="63" s="1"/>
  <c r="N173" i="63"/>
  <c r="L173" i="63"/>
  <c r="J173" i="63"/>
  <c r="F173" i="63"/>
  <c r="AG185" i="66"/>
  <c r="AH185" i="66"/>
  <c r="AI185" i="66"/>
  <c r="AJ185" i="66"/>
  <c r="AK185" i="66"/>
  <c r="AK187" i="66" s="1"/>
  <c r="AL185" i="66"/>
  <c r="AM185" i="66"/>
  <c r="AM187" i="66" s="1"/>
  <c r="AH186" i="66"/>
  <c r="AI186" i="66"/>
  <c r="AJ186" i="66"/>
  <c r="AK186" i="66"/>
  <c r="AL186" i="66"/>
  <c r="AM186" i="66"/>
  <c r="AG186" i="66"/>
  <c r="S202" i="66"/>
  <c r="R202" i="66"/>
  <c r="O202" i="66"/>
  <c r="T202" i="66" s="1"/>
  <c r="N202" i="66"/>
  <c r="L202" i="66"/>
  <c r="J202" i="66"/>
  <c r="T201" i="66"/>
  <c r="F201" i="66" s="1"/>
  <c r="S201" i="66"/>
  <c r="R201" i="66"/>
  <c r="O201" i="66"/>
  <c r="P201" i="66" s="1"/>
  <c r="N201" i="66"/>
  <c r="L201" i="66"/>
  <c r="J201" i="66"/>
  <c r="T200" i="66"/>
  <c r="U200" i="66" s="1"/>
  <c r="S200" i="66"/>
  <c r="R200" i="66"/>
  <c r="O200" i="66"/>
  <c r="P200" i="66" s="1"/>
  <c r="N200" i="66"/>
  <c r="L200" i="66"/>
  <c r="J200" i="66"/>
  <c r="F200" i="66"/>
  <c r="S199" i="66"/>
  <c r="R199" i="66"/>
  <c r="O199" i="66"/>
  <c r="T199" i="66" s="1"/>
  <c r="N199" i="66"/>
  <c r="L199" i="66"/>
  <c r="J199" i="66"/>
  <c r="T198" i="66"/>
  <c r="F198" i="66" s="1"/>
  <c r="S198" i="66"/>
  <c r="R198" i="66"/>
  <c r="P198" i="66"/>
  <c r="O198" i="66"/>
  <c r="N198" i="66"/>
  <c r="L198" i="66"/>
  <c r="J198" i="66"/>
  <c r="T197" i="66"/>
  <c r="V197" i="66" s="1"/>
  <c r="S197" i="66"/>
  <c r="R197" i="66"/>
  <c r="P197" i="66"/>
  <c r="O197" i="66"/>
  <c r="N197" i="66"/>
  <c r="L197" i="66"/>
  <c r="J197" i="66"/>
  <c r="F197" i="66"/>
  <c r="S196" i="66"/>
  <c r="R196" i="66"/>
  <c r="O196" i="66"/>
  <c r="P196" i="66" s="1"/>
  <c r="N196" i="66"/>
  <c r="L196" i="66"/>
  <c r="J196" i="66"/>
  <c r="S195" i="66"/>
  <c r="R195" i="66"/>
  <c r="O195" i="66"/>
  <c r="P195" i="66" s="1"/>
  <c r="N195" i="66"/>
  <c r="L195" i="66"/>
  <c r="J195" i="66"/>
  <c r="S194" i="66"/>
  <c r="R194" i="66"/>
  <c r="O194" i="66"/>
  <c r="P194" i="66" s="1"/>
  <c r="N194" i="66"/>
  <c r="L194" i="66"/>
  <c r="J194" i="66"/>
  <c r="S193" i="66"/>
  <c r="R193" i="66"/>
  <c r="O193" i="66"/>
  <c r="T193" i="66" s="1"/>
  <c r="N193" i="66"/>
  <c r="L193" i="66"/>
  <c r="J193" i="66"/>
  <c r="S192" i="66"/>
  <c r="R192" i="66"/>
  <c r="O192" i="66"/>
  <c r="P192" i="66" s="1"/>
  <c r="N192" i="66"/>
  <c r="L192" i="66"/>
  <c r="J192" i="66"/>
  <c r="S191" i="66"/>
  <c r="R191" i="66"/>
  <c r="O191" i="66"/>
  <c r="T191" i="66" s="1"/>
  <c r="N191" i="66"/>
  <c r="L191" i="66"/>
  <c r="J191" i="66"/>
  <c r="S190" i="66"/>
  <c r="R190" i="66"/>
  <c r="O190" i="66"/>
  <c r="T190" i="66" s="1"/>
  <c r="N190" i="66"/>
  <c r="L190" i="66"/>
  <c r="J190" i="66"/>
  <c r="S189" i="66"/>
  <c r="R189" i="66"/>
  <c r="O189" i="66"/>
  <c r="P189" i="66" s="1"/>
  <c r="N189" i="66"/>
  <c r="L189" i="66"/>
  <c r="J189" i="66"/>
  <c r="S188" i="66"/>
  <c r="R188" i="66"/>
  <c r="O188" i="66"/>
  <c r="T188" i="66" s="1"/>
  <c r="N188" i="66"/>
  <c r="L188" i="66"/>
  <c r="J188" i="66"/>
  <c r="S187" i="66"/>
  <c r="R187" i="66"/>
  <c r="O187" i="66"/>
  <c r="T187" i="66" s="1"/>
  <c r="N187" i="66"/>
  <c r="L187" i="66"/>
  <c r="J187" i="66"/>
  <c r="S186" i="66"/>
  <c r="R186" i="66"/>
  <c r="O186" i="66"/>
  <c r="T186" i="66" s="1"/>
  <c r="N186" i="66"/>
  <c r="L186" i="66"/>
  <c r="J186" i="66"/>
  <c r="AL187" i="66"/>
  <c r="AJ187" i="66"/>
  <c r="AI187" i="66"/>
  <c r="AH187" i="66"/>
  <c r="AG187" i="66"/>
  <c r="AF185" i="66"/>
  <c r="S185" i="66"/>
  <c r="R185" i="66"/>
  <c r="O185" i="66"/>
  <c r="T185" i="66" s="1"/>
  <c r="N185" i="66"/>
  <c r="L185" i="66"/>
  <c r="J185" i="66"/>
  <c r="S184" i="66"/>
  <c r="R184" i="66"/>
  <c r="O184" i="66"/>
  <c r="T184" i="66" s="1"/>
  <c r="N184" i="66"/>
  <c r="L184" i="66"/>
  <c r="J184" i="66"/>
  <c r="S183" i="66"/>
  <c r="R183" i="66"/>
  <c r="O183" i="66"/>
  <c r="P183" i="66" s="1"/>
  <c r="N183" i="66"/>
  <c r="L183" i="66"/>
  <c r="J183" i="66"/>
  <c r="AH163" i="66"/>
  <c r="AH165" i="66" s="1"/>
  <c r="I32" i="41" s="1"/>
  <c r="AI163" i="66"/>
  <c r="AI165" i="66" s="1"/>
  <c r="K32" i="41" s="1"/>
  <c r="AJ163" i="66"/>
  <c r="AJ165" i="66" s="1"/>
  <c r="M32" i="41" s="1"/>
  <c r="AK163" i="66"/>
  <c r="AK165" i="66" s="1"/>
  <c r="G37" i="41" s="1"/>
  <c r="AL163" i="66"/>
  <c r="AL165" i="66" s="1"/>
  <c r="I37" i="41" s="1"/>
  <c r="AM163" i="66"/>
  <c r="AM165" i="66" s="1"/>
  <c r="K37" i="41" s="1"/>
  <c r="AH164" i="66"/>
  <c r="H32" i="41" s="1"/>
  <c r="AI164" i="66"/>
  <c r="J32" i="41" s="1"/>
  <c r="AM164" i="66"/>
  <c r="J37" i="41" s="1"/>
  <c r="AG164" i="66"/>
  <c r="F32" i="41" s="1"/>
  <c r="AG163" i="66"/>
  <c r="AG165" i="66" s="1"/>
  <c r="G32" i="41" s="1"/>
  <c r="S180" i="66"/>
  <c r="R180" i="66"/>
  <c r="O180" i="66"/>
  <c r="T180" i="66" s="1"/>
  <c r="V180" i="66" s="1"/>
  <c r="N180" i="66"/>
  <c r="L180" i="66"/>
  <c r="J180" i="66"/>
  <c r="S179" i="66"/>
  <c r="R179" i="66"/>
  <c r="O179" i="66"/>
  <c r="P179" i="66" s="1"/>
  <c r="N179" i="66"/>
  <c r="L179" i="66"/>
  <c r="J179" i="66"/>
  <c r="S178" i="66"/>
  <c r="R178" i="66"/>
  <c r="O178" i="66"/>
  <c r="P178" i="66" s="1"/>
  <c r="N178" i="66"/>
  <c r="L178" i="66"/>
  <c r="J178" i="66"/>
  <c r="S177" i="66"/>
  <c r="R177" i="66"/>
  <c r="O177" i="66"/>
  <c r="T177" i="66" s="1"/>
  <c r="N177" i="66"/>
  <c r="L177" i="66"/>
  <c r="J177" i="66"/>
  <c r="S176" i="66"/>
  <c r="R176" i="66"/>
  <c r="O176" i="66"/>
  <c r="T176" i="66" s="1"/>
  <c r="F176" i="66" s="1"/>
  <c r="N176" i="66"/>
  <c r="L176" i="66"/>
  <c r="J176" i="66"/>
  <c r="S175" i="66"/>
  <c r="R175" i="66"/>
  <c r="O175" i="66"/>
  <c r="P175" i="66" s="1"/>
  <c r="N175" i="66"/>
  <c r="L175" i="66"/>
  <c r="J175" i="66"/>
  <c r="S174" i="66"/>
  <c r="R174" i="66"/>
  <c r="O174" i="66"/>
  <c r="T174" i="66" s="1"/>
  <c r="N174" i="66"/>
  <c r="L174" i="66"/>
  <c r="J174" i="66"/>
  <c r="S173" i="66"/>
  <c r="R173" i="66"/>
  <c r="O173" i="66"/>
  <c r="T173" i="66" s="1"/>
  <c r="N173" i="66"/>
  <c r="L173" i="66"/>
  <c r="J173" i="66"/>
  <c r="S172" i="66"/>
  <c r="R172" i="66"/>
  <c r="O172" i="66"/>
  <c r="P172" i="66" s="1"/>
  <c r="N172" i="66"/>
  <c r="L172" i="66"/>
  <c r="J172" i="66"/>
  <c r="S171" i="66"/>
  <c r="R171" i="66"/>
  <c r="O171" i="66"/>
  <c r="T171" i="66" s="1"/>
  <c r="N171" i="66"/>
  <c r="L171" i="66"/>
  <c r="J171" i="66"/>
  <c r="S170" i="66"/>
  <c r="R170" i="66"/>
  <c r="O170" i="66"/>
  <c r="P170" i="66" s="1"/>
  <c r="N170" i="66"/>
  <c r="L170" i="66"/>
  <c r="J170" i="66"/>
  <c r="S169" i="66"/>
  <c r="R169" i="66"/>
  <c r="O169" i="66"/>
  <c r="P169" i="66" s="1"/>
  <c r="N169" i="66"/>
  <c r="L169" i="66"/>
  <c r="J169" i="66"/>
  <c r="S168" i="66"/>
  <c r="R168" i="66"/>
  <c r="O168" i="66"/>
  <c r="T168" i="66" s="1"/>
  <c r="N168" i="66"/>
  <c r="L168" i="66"/>
  <c r="J168" i="66"/>
  <c r="S167" i="66"/>
  <c r="R167" i="66"/>
  <c r="O167" i="66"/>
  <c r="T167" i="66" s="1"/>
  <c r="N167" i="66"/>
  <c r="L167" i="66"/>
  <c r="J167" i="66"/>
  <c r="S166" i="66"/>
  <c r="R166" i="66"/>
  <c r="O166" i="66"/>
  <c r="P166" i="66" s="1"/>
  <c r="N166" i="66"/>
  <c r="L166" i="66"/>
  <c r="J166" i="66"/>
  <c r="S165" i="66"/>
  <c r="R165" i="66"/>
  <c r="O165" i="66"/>
  <c r="P165" i="66" s="1"/>
  <c r="N165" i="66"/>
  <c r="L165" i="66"/>
  <c r="J165" i="66"/>
  <c r="S164" i="66"/>
  <c r="R164" i="66"/>
  <c r="O164" i="66"/>
  <c r="P164" i="66" s="1"/>
  <c r="N164" i="66"/>
  <c r="L164" i="66"/>
  <c r="J164" i="66"/>
  <c r="AF163" i="66"/>
  <c r="S163" i="66"/>
  <c r="R163" i="66"/>
  <c r="O163" i="66"/>
  <c r="T163" i="66" s="1"/>
  <c r="V163" i="66" s="1"/>
  <c r="N163" i="66"/>
  <c r="L163" i="66"/>
  <c r="J163" i="66"/>
  <c r="S162" i="66"/>
  <c r="R162" i="66"/>
  <c r="O162" i="66"/>
  <c r="T162" i="66" s="1"/>
  <c r="N162" i="66"/>
  <c r="L162" i="66"/>
  <c r="J162" i="66"/>
  <c r="S161" i="66"/>
  <c r="R161" i="66"/>
  <c r="O161" i="66"/>
  <c r="P161" i="66" s="1"/>
  <c r="N161" i="66"/>
  <c r="L161" i="66"/>
  <c r="J161" i="66"/>
  <c r="AH185" i="63"/>
  <c r="AI185" i="63"/>
  <c r="AJ185" i="63"/>
  <c r="AK185" i="63"/>
  <c r="AK187" i="63" s="1"/>
  <c r="AL185" i="63"/>
  <c r="AL187" i="63" s="1"/>
  <c r="AM185" i="63"/>
  <c r="AM187" i="63" s="1"/>
  <c r="AH186" i="63"/>
  <c r="AI186" i="63"/>
  <c r="AJ186" i="63"/>
  <c r="AK186" i="63"/>
  <c r="AL186" i="63"/>
  <c r="AM186" i="63"/>
  <c r="AG185" i="63"/>
  <c r="AG187" i="63" s="1"/>
  <c r="AG186" i="63"/>
  <c r="AF185" i="63"/>
  <c r="AJ187" i="63"/>
  <c r="AI187" i="63"/>
  <c r="AH187" i="63"/>
  <c r="AH163" i="63"/>
  <c r="AI163" i="63"/>
  <c r="AI165" i="63" s="1"/>
  <c r="K31" i="41" s="1"/>
  <c r="AJ163" i="63"/>
  <c r="AJ165" i="63" s="1"/>
  <c r="M31" i="41" s="1"/>
  <c r="AK163" i="63"/>
  <c r="AK165" i="63" s="1"/>
  <c r="G36" i="41" s="1"/>
  <c r="AL163" i="63"/>
  <c r="AL165" i="63" s="1"/>
  <c r="I36" i="41" s="1"/>
  <c r="AM163" i="63"/>
  <c r="AM165" i="63" s="1"/>
  <c r="K36" i="41" s="1"/>
  <c r="AH164" i="63"/>
  <c r="H31" i="41" s="1"/>
  <c r="AJ164" i="63"/>
  <c r="L31" i="41" s="1"/>
  <c r="AM164" i="63"/>
  <c r="J36" i="41" s="1"/>
  <c r="AG163" i="63"/>
  <c r="AG165" i="63" s="1"/>
  <c r="G31" i="41" s="1"/>
  <c r="R202" i="63"/>
  <c r="O202" i="63"/>
  <c r="S202" i="63" s="1"/>
  <c r="N202" i="63"/>
  <c r="L202" i="63"/>
  <c r="J202" i="63"/>
  <c r="F202" i="63"/>
  <c r="S201" i="63"/>
  <c r="T201" i="63" s="1"/>
  <c r="R201" i="63"/>
  <c r="O201" i="63"/>
  <c r="P201" i="63" s="1"/>
  <c r="N201" i="63"/>
  <c r="L201" i="63"/>
  <c r="J201" i="63"/>
  <c r="F201" i="63"/>
  <c r="R200" i="63"/>
  <c r="O200" i="63"/>
  <c r="P200" i="63" s="1"/>
  <c r="N200" i="63"/>
  <c r="L200" i="63"/>
  <c r="J200" i="63"/>
  <c r="F200" i="63"/>
  <c r="R199" i="63"/>
  <c r="O199" i="63"/>
  <c r="S199" i="63" s="1"/>
  <c r="N199" i="63"/>
  <c r="L199" i="63"/>
  <c r="J199" i="63"/>
  <c r="F199" i="63"/>
  <c r="S198" i="63"/>
  <c r="U198" i="63" s="1"/>
  <c r="R198" i="63"/>
  <c r="P198" i="63"/>
  <c r="O198" i="63"/>
  <c r="N198" i="63"/>
  <c r="L198" i="63"/>
  <c r="J198" i="63"/>
  <c r="F198" i="63"/>
  <c r="R197" i="63"/>
  <c r="O197" i="63"/>
  <c r="S197" i="63" s="1"/>
  <c r="N197" i="63"/>
  <c r="L197" i="63"/>
  <c r="J197" i="63"/>
  <c r="F197" i="63"/>
  <c r="R196" i="63"/>
  <c r="O196" i="63"/>
  <c r="S196" i="63" s="1"/>
  <c r="N196" i="63"/>
  <c r="L196" i="63"/>
  <c r="J196" i="63"/>
  <c r="F196" i="63"/>
  <c r="R195" i="63"/>
  <c r="O195" i="63"/>
  <c r="P195" i="63" s="1"/>
  <c r="N195" i="63"/>
  <c r="L195" i="63"/>
  <c r="J195" i="63"/>
  <c r="F195" i="63"/>
  <c r="R194" i="63"/>
  <c r="O194" i="63"/>
  <c r="S194" i="63" s="1"/>
  <c r="N194" i="63"/>
  <c r="L194" i="63"/>
  <c r="J194" i="63"/>
  <c r="F194" i="63"/>
  <c r="R193" i="63"/>
  <c r="O193" i="63"/>
  <c r="S193" i="63" s="1"/>
  <c r="N193" i="63"/>
  <c r="L193" i="63"/>
  <c r="J193" i="63"/>
  <c r="F193" i="63"/>
  <c r="R192" i="63"/>
  <c r="O192" i="63"/>
  <c r="P192" i="63" s="1"/>
  <c r="N192" i="63"/>
  <c r="L192" i="63"/>
  <c r="J192" i="63"/>
  <c r="F192" i="63"/>
  <c r="R191" i="63"/>
  <c r="O191" i="63"/>
  <c r="S191" i="63" s="1"/>
  <c r="N191" i="63"/>
  <c r="L191" i="63"/>
  <c r="J191" i="63"/>
  <c r="F191" i="63"/>
  <c r="V190" i="63"/>
  <c r="W190" i="63" s="1"/>
  <c r="U190" i="63"/>
  <c r="S190" i="63"/>
  <c r="T190" i="63" s="1"/>
  <c r="R190" i="63"/>
  <c r="O190" i="63"/>
  <c r="P190" i="63" s="1"/>
  <c r="N190" i="63"/>
  <c r="L190" i="63"/>
  <c r="J190" i="63"/>
  <c r="F190" i="63"/>
  <c r="R189" i="63"/>
  <c r="O189" i="63"/>
  <c r="S189" i="63" s="1"/>
  <c r="N189" i="63"/>
  <c r="L189" i="63"/>
  <c r="J189" i="63"/>
  <c r="F189" i="63"/>
  <c r="R188" i="63"/>
  <c r="O188" i="63"/>
  <c r="S188" i="63" s="1"/>
  <c r="N188" i="63"/>
  <c r="L188" i="63"/>
  <c r="J188" i="63"/>
  <c r="F188" i="63"/>
  <c r="R187" i="63"/>
  <c r="O187" i="63"/>
  <c r="S187" i="63" s="1"/>
  <c r="N187" i="63"/>
  <c r="L187" i="63"/>
  <c r="J187" i="63"/>
  <c r="F187" i="63"/>
  <c r="R186" i="63"/>
  <c r="O186" i="63"/>
  <c r="S186" i="63" s="1"/>
  <c r="N186" i="63"/>
  <c r="L186" i="63"/>
  <c r="J186" i="63"/>
  <c r="F186" i="63"/>
  <c r="R185" i="63"/>
  <c r="O185" i="63"/>
  <c r="S185" i="63" s="1"/>
  <c r="N185" i="63"/>
  <c r="L185" i="63"/>
  <c r="J185" i="63"/>
  <c r="F185" i="63"/>
  <c r="V184" i="63"/>
  <c r="X184" i="63" s="1"/>
  <c r="U184" i="63"/>
  <c r="S184" i="63"/>
  <c r="T184" i="63" s="1"/>
  <c r="R184" i="63"/>
  <c r="O184" i="63"/>
  <c r="P184" i="63" s="1"/>
  <c r="N184" i="63"/>
  <c r="L184" i="63"/>
  <c r="J184" i="63"/>
  <c r="F184" i="63"/>
  <c r="R183" i="63"/>
  <c r="O183" i="63"/>
  <c r="P183" i="63" s="1"/>
  <c r="N183" i="63"/>
  <c r="L183" i="63"/>
  <c r="J183" i="63"/>
  <c r="F183" i="63"/>
  <c r="R180" i="63"/>
  <c r="O180" i="63"/>
  <c r="S180" i="63" s="1"/>
  <c r="N180" i="63"/>
  <c r="L180" i="63"/>
  <c r="J180" i="63"/>
  <c r="F180" i="63"/>
  <c r="R172" i="63"/>
  <c r="O172" i="63"/>
  <c r="S172" i="63" s="1"/>
  <c r="N172" i="63"/>
  <c r="L172" i="63"/>
  <c r="J172" i="63"/>
  <c r="F172" i="63"/>
  <c r="R171" i="63"/>
  <c r="O171" i="63"/>
  <c r="P171" i="63" s="1"/>
  <c r="N171" i="63"/>
  <c r="L171" i="63"/>
  <c r="J171" i="63"/>
  <c r="F171" i="63"/>
  <c r="R170" i="63"/>
  <c r="O170" i="63"/>
  <c r="S170" i="63" s="1"/>
  <c r="N170" i="63"/>
  <c r="L170" i="63"/>
  <c r="J170" i="63"/>
  <c r="F170" i="63"/>
  <c r="R169" i="63"/>
  <c r="O169" i="63"/>
  <c r="S169" i="63" s="1"/>
  <c r="N169" i="63"/>
  <c r="L169" i="63"/>
  <c r="J169" i="63"/>
  <c r="F169" i="63"/>
  <c r="R168" i="63"/>
  <c r="O168" i="63"/>
  <c r="S168" i="63" s="1"/>
  <c r="T168" i="63" s="1"/>
  <c r="N168" i="63"/>
  <c r="L168" i="63"/>
  <c r="J168" i="63"/>
  <c r="F168" i="63"/>
  <c r="R167" i="63"/>
  <c r="O167" i="63"/>
  <c r="S167" i="63" s="1"/>
  <c r="N167" i="63"/>
  <c r="L167" i="63"/>
  <c r="J167" i="63"/>
  <c r="F167" i="63"/>
  <c r="R166" i="63"/>
  <c r="O166" i="63"/>
  <c r="S166" i="63" s="1"/>
  <c r="N166" i="63"/>
  <c r="L166" i="63"/>
  <c r="J166" i="63"/>
  <c r="F166" i="63"/>
  <c r="R165" i="63"/>
  <c r="O165" i="63"/>
  <c r="S165" i="63" s="1"/>
  <c r="N165" i="63"/>
  <c r="L165" i="63"/>
  <c r="J165" i="63"/>
  <c r="F165" i="63"/>
  <c r="R164" i="63"/>
  <c r="O164" i="63"/>
  <c r="S164" i="63" s="1"/>
  <c r="N164" i="63"/>
  <c r="L164" i="63"/>
  <c r="J164" i="63"/>
  <c r="F164" i="63"/>
  <c r="AK164" i="63" s="1"/>
  <c r="F36" i="41" s="1"/>
  <c r="AF163" i="63"/>
  <c r="R163" i="63"/>
  <c r="O163" i="63"/>
  <c r="S163" i="63" s="1"/>
  <c r="N163" i="63"/>
  <c r="L163" i="63"/>
  <c r="J163" i="63"/>
  <c r="F163" i="63"/>
  <c r="R162" i="63"/>
  <c r="O162" i="63"/>
  <c r="P162" i="63" s="1"/>
  <c r="N162" i="63"/>
  <c r="L162" i="63"/>
  <c r="J162" i="63"/>
  <c r="F162" i="63"/>
  <c r="R161" i="63"/>
  <c r="O161" i="63"/>
  <c r="S161" i="63" s="1"/>
  <c r="N161" i="63"/>
  <c r="L161" i="63"/>
  <c r="J161" i="63"/>
  <c r="F161" i="63"/>
  <c r="AI164" i="63" s="1"/>
  <c r="J31" i="41" s="1"/>
  <c r="B48" i="56"/>
  <c r="G46" i="56"/>
  <c r="H46" i="56" s="1"/>
  <c r="F46" i="56"/>
  <c r="D46" i="56"/>
  <c r="G45" i="56"/>
  <c r="H45" i="56" s="1"/>
  <c r="F45" i="56"/>
  <c r="D45" i="56"/>
  <c r="G44" i="56"/>
  <c r="H44" i="56" s="1"/>
  <c r="F44" i="56"/>
  <c r="D44" i="56"/>
  <c r="G43" i="56"/>
  <c r="H43" i="56" s="1"/>
  <c r="F43" i="56"/>
  <c r="D43" i="56"/>
  <c r="G42" i="56"/>
  <c r="H42" i="56" s="1"/>
  <c r="F42" i="56"/>
  <c r="D42" i="56"/>
  <c r="G41" i="56"/>
  <c r="H41" i="56" s="1"/>
  <c r="F41" i="56"/>
  <c r="D41" i="56"/>
  <c r="J40" i="56"/>
  <c r="I40" i="56"/>
  <c r="G40" i="56"/>
  <c r="H40" i="56" s="1"/>
  <c r="F40" i="56"/>
  <c r="D40" i="56"/>
  <c r="G39" i="56"/>
  <c r="H39" i="56" s="1"/>
  <c r="F39" i="56"/>
  <c r="D39" i="56"/>
  <c r="G38" i="56"/>
  <c r="H38" i="56" s="1"/>
  <c r="F38" i="56"/>
  <c r="D38" i="56"/>
  <c r="G37" i="56"/>
  <c r="H37" i="56" s="1"/>
  <c r="F37" i="56"/>
  <c r="D37" i="56"/>
  <c r="G36" i="56"/>
  <c r="H36" i="56" s="1"/>
  <c r="F36" i="56"/>
  <c r="D36" i="56"/>
  <c r="G35" i="56"/>
  <c r="H35" i="56" s="1"/>
  <c r="F35" i="56"/>
  <c r="D35" i="56"/>
  <c r="G34" i="56"/>
  <c r="H34" i="56" s="1"/>
  <c r="F34" i="56"/>
  <c r="D34" i="56"/>
  <c r="J33" i="56"/>
  <c r="I33" i="56"/>
  <c r="G33" i="56"/>
  <c r="H33" i="56" s="1"/>
  <c r="F33" i="56"/>
  <c r="D33" i="56"/>
  <c r="G32" i="56"/>
  <c r="H32" i="56" s="1"/>
  <c r="D32" i="56"/>
  <c r="G31" i="56"/>
  <c r="H31" i="56" s="1"/>
  <c r="D31" i="56"/>
  <c r="G30" i="56"/>
  <c r="H30" i="56" s="1"/>
  <c r="D30" i="56"/>
  <c r="G29" i="56"/>
  <c r="H29" i="56" s="1"/>
  <c r="D29" i="56"/>
  <c r="G28" i="56"/>
  <c r="H28" i="56" s="1"/>
  <c r="D28" i="56"/>
  <c r="G27" i="56"/>
  <c r="H27" i="56" s="1"/>
  <c r="D27" i="56"/>
  <c r="I26" i="56"/>
  <c r="G26" i="56"/>
  <c r="H26" i="56" s="1"/>
  <c r="D26" i="56"/>
  <c r="G25" i="56"/>
  <c r="H25" i="56" s="1"/>
  <c r="D25" i="56"/>
  <c r="G24" i="56"/>
  <c r="H24" i="56" s="1"/>
  <c r="D24" i="56"/>
  <c r="G23" i="56"/>
  <c r="H23" i="56" s="1"/>
  <c r="D23" i="56"/>
  <c r="G22" i="56"/>
  <c r="H22" i="56" s="1"/>
  <c r="F22" i="56"/>
  <c r="D22" i="56"/>
  <c r="J19" i="56"/>
  <c r="D21" i="56"/>
  <c r="F20" i="56"/>
  <c r="D20" i="56"/>
  <c r="G19" i="56"/>
  <c r="H19" i="56" s="1"/>
  <c r="I19" i="56"/>
  <c r="G18" i="56"/>
  <c r="H18" i="56" s="1"/>
  <c r="F18" i="56"/>
  <c r="D18" i="56"/>
  <c r="F17" i="56"/>
  <c r="D17" i="56"/>
  <c r="G16" i="56"/>
  <c r="H16" i="56" s="1"/>
  <c r="D16" i="56"/>
  <c r="G15" i="56"/>
  <c r="H15" i="56" s="1"/>
  <c r="F15" i="56"/>
  <c r="D15" i="56"/>
  <c r="G14" i="56"/>
  <c r="H14" i="56" s="1"/>
  <c r="D14" i="56"/>
  <c r="E3" i="56"/>
  <c r="I12" i="56"/>
  <c r="J12" i="56"/>
  <c r="G12" i="56"/>
  <c r="H12" i="56" s="1"/>
  <c r="F12" i="56"/>
  <c r="D12" i="56"/>
  <c r="G11" i="56"/>
  <c r="H11" i="56" s="1"/>
  <c r="F11" i="56"/>
  <c r="D11" i="56"/>
  <c r="G10" i="56"/>
  <c r="H10" i="56" s="1"/>
  <c r="F10" i="56"/>
  <c r="D10" i="56"/>
  <c r="G9" i="56"/>
  <c r="H9" i="56" s="1"/>
  <c r="F9" i="56"/>
  <c r="D9" i="56"/>
  <c r="G8" i="56"/>
  <c r="H8" i="56" s="1"/>
  <c r="F8" i="56"/>
  <c r="D8" i="56"/>
  <c r="G7" i="56"/>
  <c r="H7" i="56" s="1"/>
  <c r="F7" i="56"/>
  <c r="D7" i="56"/>
  <c r="G6" i="56"/>
  <c r="H6" i="56" s="1"/>
  <c r="F6" i="56"/>
  <c r="D6" i="56"/>
  <c r="A6" i="56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J5" i="56"/>
  <c r="I5" i="56"/>
  <c r="G5" i="56"/>
  <c r="H5" i="56" s="1"/>
  <c r="F5" i="56"/>
  <c r="D5" i="56"/>
  <c r="J64" i="25"/>
  <c r="J63" i="25"/>
  <c r="J62" i="25"/>
  <c r="J61" i="25"/>
  <c r="J60" i="25"/>
  <c r="J77" i="24"/>
  <c r="J76" i="24"/>
  <c r="J75" i="24"/>
  <c r="J74" i="24"/>
  <c r="J73" i="24"/>
  <c r="J72" i="24"/>
  <c r="J71" i="24"/>
  <c r="J68" i="23"/>
  <c r="J67" i="23"/>
  <c r="J66" i="23"/>
  <c r="J65" i="23"/>
  <c r="J64" i="23"/>
  <c r="J63" i="23"/>
  <c r="J62" i="23"/>
  <c r="J61" i="23"/>
  <c r="J60" i="23"/>
  <c r="J72" i="22"/>
  <c r="J74" i="22"/>
  <c r="J73" i="22"/>
  <c r="J71" i="22"/>
  <c r="J75" i="22"/>
  <c r="J61" i="22"/>
  <c r="J60" i="22"/>
  <c r="J62" i="15"/>
  <c r="J73" i="15"/>
  <c r="J72" i="15"/>
  <c r="J71" i="15"/>
  <c r="J68" i="15"/>
  <c r="J67" i="15"/>
  <c r="J66" i="15"/>
  <c r="J65" i="15"/>
  <c r="J64" i="15"/>
  <c r="J63" i="15"/>
  <c r="J61" i="15"/>
  <c r="J60" i="15"/>
  <c r="J90" i="25"/>
  <c r="J89" i="25"/>
  <c r="J88" i="25"/>
  <c r="J87" i="25"/>
  <c r="J86" i="25"/>
  <c r="B86" i="25"/>
  <c r="A86" i="25"/>
  <c r="J104" i="24"/>
  <c r="J103" i="24"/>
  <c r="J102" i="24"/>
  <c r="J101" i="24"/>
  <c r="J100" i="24"/>
  <c r="J99" i="24"/>
  <c r="J98" i="24"/>
  <c r="J97" i="24"/>
  <c r="J106" i="23"/>
  <c r="J105" i="23"/>
  <c r="J104" i="23"/>
  <c r="J102" i="23"/>
  <c r="J101" i="23"/>
  <c r="J100" i="23"/>
  <c r="J99" i="23"/>
  <c r="J98" i="23"/>
  <c r="J97" i="23"/>
  <c r="J94" i="23"/>
  <c r="J93" i="23"/>
  <c r="J92" i="23"/>
  <c r="J91" i="23"/>
  <c r="J90" i="23"/>
  <c r="J89" i="23"/>
  <c r="J88" i="23"/>
  <c r="J86" i="23"/>
  <c r="J86" i="22"/>
  <c r="J97" i="22"/>
  <c r="J98" i="22"/>
  <c r="J99" i="22"/>
  <c r="J100" i="22"/>
  <c r="J101" i="22"/>
  <c r="J86" i="15"/>
  <c r="J99" i="15"/>
  <c r="J98" i="15"/>
  <c r="J97" i="15"/>
  <c r="J94" i="15"/>
  <c r="J93" i="15"/>
  <c r="J92" i="15"/>
  <c r="J91" i="15"/>
  <c r="J89" i="15"/>
  <c r="J88" i="15"/>
  <c r="J87" i="15"/>
  <c r="J47" i="15"/>
  <c r="J46" i="15"/>
  <c r="J45" i="15"/>
  <c r="J43" i="15"/>
  <c r="J42" i="15"/>
  <c r="J41" i="15"/>
  <c r="J40" i="15"/>
  <c r="J39" i="15"/>
  <c r="J38" i="15"/>
  <c r="J37" i="15"/>
  <c r="J35" i="15"/>
  <c r="J34" i="15"/>
  <c r="V177" i="63" l="1"/>
  <c r="U177" i="63"/>
  <c r="T177" i="63"/>
  <c r="V173" i="63"/>
  <c r="U173" i="63"/>
  <c r="T173" i="63"/>
  <c r="V176" i="63"/>
  <c r="U176" i="63"/>
  <c r="T176" i="63"/>
  <c r="V179" i="63"/>
  <c r="U179" i="63"/>
  <c r="T179" i="63"/>
  <c r="V174" i="63"/>
  <c r="U174" i="63"/>
  <c r="T174" i="63"/>
  <c r="W178" i="63"/>
  <c r="W175" i="63"/>
  <c r="P177" i="63"/>
  <c r="P179" i="63"/>
  <c r="P176" i="63"/>
  <c r="P173" i="63"/>
  <c r="AG164" i="63"/>
  <c r="F31" i="41" s="1"/>
  <c r="AL164" i="63"/>
  <c r="H36" i="41" s="1"/>
  <c r="S162" i="63"/>
  <c r="V162" i="63" s="1"/>
  <c r="X197" i="66"/>
  <c r="W197" i="66"/>
  <c r="V188" i="66"/>
  <c r="U188" i="66"/>
  <c r="F188" i="66"/>
  <c r="U184" i="66"/>
  <c r="F184" i="66"/>
  <c r="V184" i="66"/>
  <c r="U202" i="66"/>
  <c r="V202" i="66"/>
  <c r="F202" i="66"/>
  <c r="U186" i="66"/>
  <c r="V186" i="66"/>
  <c r="F186" i="66"/>
  <c r="U185" i="66"/>
  <c r="V185" i="66"/>
  <c r="F185" i="66"/>
  <c r="V190" i="66"/>
  <c r="F190" i="66"/>
  <c r="U190" i="66"/>
  <c r="V191" i="66"/>
  <c r="U191" i="66"/>
  <c r="F191" i="66"/>
  <c r="U193" i="66"/>
  <c r="F193" i="66"/>
  <c r="V193" i="66"/>
  <c r="F199" i="66"/>
  <c r="V199" i="66"/>
  <c r="U199" i="66"/>
  <c r="V187" i="66"/>
  <c r="U187" i="66"/>
  <c r="F187" i="66"/>
  <c r="T195" i="66"/>
  <c r="U198" i="66"/>
  <c r="T192" i="66"/>
  <c r="V198" i="66"/>
  <c r="V201" i="66"/>
  <c r="T183" i="66"/>
  <c r="T189" i="66"/>
  <c r="U201" i="66"/>
  <c r="T194" i="66"/>
  <c r="V200" i="66"/>
  <c r="P185" i="66"/>
  <c r="P191" i="66"/>
  <c r="P186" i="66"/>
  <c r="P188" i="66"/>
  <c r="U197" i="66"/>
  <c r="P193" i="66"/>
  <c r="T196" i="66"/>
  <c r="P187" i="66"/>
  <c r="P202" i="66"/>
  <c r="P199" i="66"/>
  <c r="P184" i="66"/>
  <c r="P190" i="66"/>
  <c r="T164" i="66"/>
  <c r="V164" i="66" s="1"/>
  <c r="W164" i="66" s="1"/>
  <c r="T172" i="66"/>
  <c r="F172" i="66" s="1"/>
  <c r="T169" i="66"/>
  <c r="V169" i="66" s="1"/>
  <c r="X169" i="66" s="1"/>
  <c r="T166" i="66"/>
  <c r="V166" i="66" s="1"/>
  <c r="X166" i="66" s="1"/>
  <c r="P163" i="66"/>
  <c r="P176" i="66"/>
  <c r="T179" i="66"/>
  <c r="F179" i="66" s="1"/>
  <c r="T175" i="66"/>
  <c r="U175" i="66" s="1"/>
  <c r="T178" i="66"/>
  <c r="V178" i="66" s="1"/>
  <c r="W178" i="66" s="1"/>
  <c r="T165" i="66"/>
  <c r="V165" i="66" s="1"/>
  <c r="X165" i="66" s="1"/>
  <c r="P180" i="66"/>
  <c r="X163" i="66"/>
  <c r="W163" i="66"/>
  <c r="F167" i="66"/>
  <c r="V167" i="66"/>
  <c r="U167" i="66"/>
  <c r="F168" i="66"/>
  <c r="U168" i="66"/>
  <c r="V168" i="66"/>
  <c r="F173" i="66"/>
  <c r="V173" i="66"/>
  <c r="U173" i="66"/>
  <c r="U171" i="66"/>
  <c r="F171" i="66"/>
  <c r="V171" i="66"/>
  <c r="V174" i="66"/>
  <c r="U174" i="66"/>
  <c r="F174" i="66"/>
  <c r="U162" i="66"/>
  <c r="F162" i="66"/>
  <c r="V162" i="66"/>
  <c r="V177" i="66"/>
  <c r="U177" i="66"/>
  <c r="F177" i="66"/>
  <c r="W166" i="66"/>
  <c r="X180" i="66"/>
  <c r="W180" i="66"/>
  <c r="P173" i="66"/>
  <c r="P167" i="66"/>
  <c r="F163" i="66"/>
  <c r="F169" i="66"/>
  <c r="U176" i="66"/>
  <c r="F166" i="66"/>
  <c r="T170" i="66"/>
  <c r="V176" i="66"/>
  <c r="T161" i="66"/>
  <c r="F180" i="66"/>
  <c r="U163" i="66"/>
  <c r="P177" i="66"/>
  <c r="U166" i="66"/>
  <c r="P174" i="66"/>
  <c r="P171" i="66"/>
  <c r="P162" i="66"/>
  <c r="P168" i="66"/>
  <c r="U180" i="66"/>
  <c r="V191" i="63"/>
  <c r="U191" i="63"/>
  <c r="T191" i="63"/>
  <c r="U193" i="63"/>
  <c r="T193" i="63"/>
  <c r="V193" i="63"/>
  <c r="V187" i="63"/>
  <c r="U187" i="63"/>
  <c r="T187" i="63"/>
  <c r="V197" i="63"/>
  <c r="U197" i="63"/>
  <c r="T197" i="63"/>
  <c r="V194" i="63"/>
  <c r="U194" i="63"/>
  <c r="T194" i="63"/>
  <c r="V188" i="63"/>
  <c r="U188" i="63"/>
  <c r="T188" i="63"/>
  <c r="V186" i="63"/>
  <c r="U186" i="63"/>
  <c r="T186" i="63"/>
  <c r="U189" i="63"/>
  <c r="V189" i="63"/>
  <c r="T189" i="63"/>
  <c r="V185" i="63"/>
  <c r="U185" i="63"/>
  <c r="T185" i="63"/>
  <c r="V202" i="63"/>
  <c r="U202" i="63"/>
  <c r="T202" i="63"/>
  <c r="V196" i="63"/>
  <c r="U196" i="63"/>
  <c r="T196" i="63"/>
  <c r="V199" i="63"/>
  <c r="U199" i="63"/>
  <c r="T199" i="63"/>
  <c r="P189" i="63"/>
  <c r="X190" i="63"/>
  <c r="S195" i="63"/>
  <c r="T198" i="63"/>
  <c r="U201" i="63"/>
  <c r="S192" i="63"/>
  <c r="V201" i="63"/>
  <c r="S183" i="63"/>
  <c r="V198" i="63"/>
  <c r="P194" i="63"/>
  <c r="S200" i="63"/>
  <c r="W184" i="63"/>
  <c r="P197" i="63"/>
  <c r="P185" i="63"/>
  <c r="P191" i="63"/>
  <c r="P186" i="63"/>
  <c r="P187" i="63"/>
  <c r="P188" i="63"/>
  <c r="P202" i="63"/>
  <c r="P199" i="63"/>
  <c r="P196" i="63"/>
  <c r="P193" i="63"/>
  <c r="U168" i="63"/>
  <c r="S171" i="63"/>
  <c r="U171" i="63" s="1"/>
  <c r="V168" i="63"/>
  <c r="W168" i="63" s="1"/>
  <c r="X162" i="63"/>
  <c r="W162" i="63"/>
  <c r="V167" i="63"/>
  <c r="U167" i="63"/>
  <c r="T167" i="63"/>
  <c r="V170" i="63"/>
  <c r="U170" i="63"/>
  <c r="T170" i="63"/>
  <c r="V161" i="63"/>
  <c r="U161" i="63"/>
  <c r="T161" i="63"/>
  <c r="P161" i="63"/>
  <c r="AH165" i="63"/>
  <c r="I31" i="41" s="1"/>
  <c r="V166" i="63"/>
  <c r="U166" i="63"/>
  <c r="T166" i="63"/>
  <c r="V169" i="63"/>
  <c r="U169" i="63"/>
  <c r="T169" i="63"/>
  <c r="V165" i="63"/>
  <c r="U165" i="63"/>
  <c r="T165" i="63"/>
  <c r="P167" i="63"/>
  <c r="V172" i="63"/>
  <c r="U172" i="63"/>
  <c r="T172" i="63"/>
  <c r="T162" i="63"/>
  <c r="U162" i="63"/>
  <c r="P170" i="63"/>
  <c r="V164" i="63"/>
  <c r="U164" i="63"/>
  <c r="T164" i="63"/>
  <c r="U180" i="63"/>
  <c r="T180" i="63"/>
  <c r="V163" i="63"/>
  <c r="U163" i="63"/>
  <c r="T163" i="63"/>
  <c r="V180" i="63"/>
  <c r="P172" i="63"/>
  <c r="P163" i="63"/>
  <c r="P169" i="63"/>
  <c r="P164" i="63"/>
  <c r="P165" i="63"/>
  <c r="P166" i="63"/>
  <c r="P180" i="63"/>
  <c r="P168" i="63"/>
  <c r="F3" i="56"/>
  <c r="J26" i="56"/>
  <c r="F32" i="56"/>
  <c r="G21" i="56"/>
  <c r="H21" i="56" s="1"/>
  <c r="F24" i="56"/>
  <c r="F13" i="56"/>
  <c r="D19" i="56"/>
  <c r="G13" i="56"/>
  <c r="F16" i="56"/>
  <c r="F19" i="56"/>
  <c r="F27" i="56"/>
  <c r="F30" i="56"/>
  <c r="G20" i="56"/>
  <c r="H20" i="56" s="1"/>
  <c r="F29" i="56"/>
  <c r="D13" i="56"/>
  <c r="B2" i="56"/>
  <c r="D2" i="56" s="1"/>
  <c r="F14" i="56"/>
  <c r="G17" i="56"/>
  <c r="H17" i="56" s="1"/>
  <c r="F28" i="56"/>
  <c r="F31" i="56"/>
  <c r="F23" i="56"/>
  <c r="F26" i="56"/>
  <c r="F21" i="56"/>
  <c r="F25" i="56"/>
  <c r="AW51" i="52"/>
  <c r="AW50" i="52"/>
  <c r="AW49" i="52"/>
  <c r="AW48" i="52"/>
  <c r="AW47" i="52"/>
  <c r="AR51" i="52"/>
  <c r="AR50" i="52"/>
  <c r="AR49" i="52"/>
  <c r="AR48" i="52"/>
  <c r="AR47" i="52"/>
  <c r="AM51" i="52"/>
  <c r="AM50" i="52"/>
  <c r="AM49" i="52"/>
  <c r="AM48" i="52"/>
  <c r="AM47" i="52"/>
  <c r="AH51" i="52"/>
  <c r="AH50" i="52"/>
  <c r="AH49" i="52"/>
  <c r="AH48" i="52"/>
  <c r="AH47" i="52"/>
  <c r="AC51" i="52"/>
  <c r="AC50" i="52"/>
  <c r="AC49" i="52"/>
  <c r="AC48" i="52"/>
  <c r="AC47" i="52"/>
  <c r="X51" i="52"/>
  <c r="X50" i="52"/>
  <c r="X49" i="52"/>
  <c r="X48" i="52"/>
  <c r="X47" i="52"/>
  <c r="S48" i="52"/>
  <c r="S49" i="52"/>
  <c r="S50" i="52"/>
  <c r="S51" i="52"/>
  <c r="S47" i="52"/>
  <c r="M48" i="52"/>
  <c r="M49" i="52"/>
  <c r="M50" i="52"/>
  <c r="M51" i="52"/>
  <c r="M47" i="52"/>
  <c r="AV51" i="52"/>
  <c r="AQ51" i="52"/>
  <c r="AL51" i="52"/>
  <c r="AG51" i="52"/>
  <c r="AB51" i="52"/>
  <c r="W51" i="52"/>
  <c r="R51" i="52"/>
  <c r="J51" i="52"/>
  <c r="I51" i="52"/>
  <c r="G51" i="52"/>
  <c r="H47" i="52" s="1"/>
  <c r="AV50" i="52"/>
  <c r="AQ50" i="52"/>
  <c r="AL50" i="52"/>
  <c r="AG50" i="52"/>
  <c r="AB50" i="52"/>
  <c r="W50" i="52"/>
  <c r="R50" i="52"/>
  <c r="J50" i="52"/>
  <c r="I50" i="52"/>
  <c r="G50" i="52"/>
  <c r="AV49" i="52"/>
  <c r="AQ49" i="52"/>
  <c r="AL49" i="52"/>
  <c r="AG49" i="52"/>
  <c r="AB49" i="52"/>
  <c r="W49" i="52"/>
  <c r="K49" i="52" s="1"/>
  <c r="R49" i="52"/>
  <c r="J49" i="52"/>
  <c r="I49" i="52"/>
  <c r="G49" i="52"/>
  <c r="AV48" i="52"/>
  <c r="AQ48" i="52"/>
  <c r="AL48" i="52"/>
  <c r="AG48" i="52"/>
  <c r="AB48" i="52"/>
  <c r="W48" i="52"/>
  <c r="R48" i="52"/>
  <c r="J48" i="52"/>
  <c r="I48" i="52"/>
  <c r="G48" i="52"/>
  <c r="AV47" i="52"/>
  <c r="AX47" i="52" s="1"/>
  <c r="AS47" i="52"/>
  <c r="AQ47" i="52"/>
  <c r="AN47" i="52"/>
  <c r="AL47" i="52"/>
  <c r="AI47" i="52"/>
  <c r="AG47" i="52"/>
  <c r="AD47" i="52"/>
  <c r="AB47" i="52"/>
  <c r="W47" i="52"/>
  <c r="Y47" i="52" s="1"/>
  <c r="R47" i="52"/>
  <c r="T47" i="52" s="1"/>
  <c r="K47" i="52"/>
  <c r="J47" i="52"/>
  <c r="I47" i="52"/>
  <c r="G47" i="52"/>
  <c r="AH53" i="51"/>
  <c r="AH52" i="51"/>
  <c r="AH51" i="51"/>
  <c r="AH50" i="51"/>
  <c r="AH49" i="51"/>
  <c r="AH48" i="51"/>
  <c r="AH47" i="51"/>
  <c r="AC53" i="51"/>
  <c r="AC52" i="51"/>
  <c r="AC51" i="51"/>
  <c r="AC50" i="51"/>
  <c r="AC49" i="51"/>
  <c r="AC48" i="51"/>
  <c r="AC47" i="51"/>
  <c r="X53" i="51"/>
  <c r="X52" i="51"/>
  <c r="X51" i="51"/>
  <c r="X50" i="51"/>
  <c r="X49" i="51"/>
  <c r="X48" i="51"/>
  <c r="X47" i="51"/>
  <c r="S53" i="51"/>
  <c r="S52" i="51"/>
  <c r="S51" i="51"/>
  <c r="S50" i="51"/>
  <c r="S49" i="51"/>
  <c r="S48" i="51"/>
  <c r="S47" i="51"/>
  <c r="AW53" i="51"/>
  <c r="AW52" i="51"/>
  <c r="AW51" i="51"/>
  <c r="AW50" i="51"/>
  <c r="AW49" i="51"/>
  <c r="AW48" i="51"/>
  <c r="AW47" i="51"/>
  <c r="AR53" i="51"/>
  <c r="AR52" i="51"/>
  <c r="AR51" i="51"/>
  <c r="AR50" i="51"/>
  <c r="AR49" i="51"/>
  <c r="AR48" i="51"/>
  <c r="AR47" i="51"/>
  <c r="AM48" i="51"/>
  <c r="AM49" i="51"/>
  <c r="AM50" i="51"/>
  <c r="AM51" i="51"/>
  <c r="AM52" i="51"/>
  <c r="AM53" i="51"/>
  <c r="AM47" i="51"/>
  <c r="M53" i="51"/>
  <c r="M52" i="51"/>
  <c r="M51" i="51"/>
  <c r="M50" i="51"/>
  <c r="M49" i="51"/>
  <c r="M48" i="51"/>
  <c r="M47" i="51"/>
  <c r="AV53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G52" i="51"/>
  <c r="AB52" i="5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R50" i="51"/>
  <c r="J50" i="51"/>
  <c r="I50" i="51"/>
  <c r="G50" i="51"/>
  <c r="AV49" i="51"/>
  <c r="AX47" i="51" s="1"/>
  <c r="AQ49" i="51"/>
  <c r="AL49" i="51"/>
  <c r="AG49" i="51"/>
  <c r="AB49" i="51"/>
  <c r="W49" i="51"/>
  <c r="R49" i="51"/>
  <c r="J49" i="51"/>
  <c r="I49" i="51"/>
  <c r="G49" i="51"/>
  <c r="AV48" i="51"/>
  <c r="AQ48" i="51"/>
  <c r="K48" i="51" s="1"/>
  <c r="AL48" i="51"/>
  <c r="AG48" i="51"/>
  <c r="AB48" i="51"/>
  <c r="W48" i="51"/>
  <c r="R48" i="51"/>
  <c r="J48" i="51"/>
  <c r="I48" i="51"/>
  <c r="G48" i="51"/>
  <c r="AV47" i="51"/>
  <c r="AQ47" i="51"/>
  <c r="AS47" i="51" s="1"/>
  <c r="AL47" i="51"/>
  <c r="AN47" i="51" s="1"/>
  <c r="AG47" i="51"/>
  <c r="AB47" i="51"/>
  <c r="AD47" i="51" s="1"/>
  <c r="Y47" i="51"/>
  <c r="W47" i="51"/>
  <c r="R47" i="51"/>
  <c r="J47" i="51"/>
  <c r="I47" i="51"/>
  <c r="G47" i="51"/>
  <c r="H47" i="51" s="1"/>
  <c r="U42" i="50"/>
  <c r="Z42" i="50" s="1"/>
  <c r="AE42" i="50" s="1"/>
  <c r="AJ42" i="50" s="1"/>
  <c r="AO42" i="50" s="1"/>
  <c r="AT42" i="50" s="1"/>
  <c r="AW55" i="49"/>
  <c r="AW54" i="49"/>
  <c r="AW53" i="49"/>
  <c r="AW52" i="49"/>
  <c r="AW51" i="49"/>
  <c r="AW50" i="49"/>
  <c r="AW49" i="49"/>
  <c r="AW48" i="49"/>
  <c r="AW47" i="49"/>
  <c r="AR55" i="49"/>
  <c r="AR54" i="49"/>
  <c r="AR53" i="49"/>
  <c r="AR52" i="49"/>
  <c r="AR51" i="49"/>
  <c r="AR50" i="49"/>
  <c r="AR49" i="49"/>
  <c r="AR48" i="49"/>
  <c r="AR47" i="49"/>
  <c r="AM55" i="49"/>
  <c r="AM54" i="49"/>
  <c r="AM53" i="49"/>
  <c r="AM52" i="49"/>
  <c r="AM51" i="49"/>
  <c r="AM50" i="49"/>
  <c r="AM49" i="49"/>
  <c r="AM48" i="49"/>
  <c r="AM47" i="49"/>
  <c r="AH55" i="49"/>
  <c r="AH54" i="49"/>
  <c r="AH53" i="49"/>
  <c r="AH52" i="49"/>
  <c r="AH51" i="49"/>
  <c r="AH50" i="49"/>
  <c r="AH49" i="49"/>
  <c r="AH48" i="49"/>
  <c r="AH47" i="49"/>
  <c r="AC55" i="49"/>
  <c r="AC54" i="49"/>
  <c r="AC53" i="49"/>
  <c r="AC52" i="49"/>
  <c r="AC51" i="49"/>
  <c r="AC50" i="49"/>
  <c r="AC49" i="49"/>
  <c r="AC48" i="49"/>
  <c r="AC47" i="49"/>
  <c r="X55" i="49"/>
  <c r="X54" i="49"/>
  <c r="X53" i="49"/>
  <c r="X52" i="49"/>
  <c r="X51" i="49"/>
  <c r="X50" i="49"/>
  <c r="X49" i="49"/>
  <c r="X48" i="49"/>
  <c r="X47" i="49"/>
  <c r="S55" i="49"/>
  <c r="S54" i="49"/>
  <c r="S53" i="49"/>
  <c r="S52" i="49"/>
  <c r="S51" i="49"/>
  <c r="S50" i="49"/>
  <c r="S49" i="49"/>
  <c r="S48" i="49"/>
  <c r="S47" i="49"/>
  <c r="M49" i="49"/>
  <c r="M50" i="49"/>
  <c r="M51" i="49"/>
  <c r="M52" i="49"/>
  <c r="M53" i="49"/>
  <c r="M54" i="49"/>
  <c r="M55" i="49"/>
  <c r="M48" i="49"/>
  <c r="M47" i="49"/>
  <c r="AV55" i="49"/>
  <c r="AQ55" i="49"/>
  <c r="AL55" i="49"/>
  <c r="AG55" i="49"/>
  <c r="AB55" i="49"/>
  <c r="AD47" i="49" s="1"/>
  <c r="W55" i="49"/>
  <c r="R55" i="49"/>
  <c r="J55" i="49"/>
  <c r="I55" i="49"/>
  <c r="G55" i="49"/>
  <c r="AV54" i="49"/>
  <c r="AQ54" i="49"/>
  <c r="AL54" i="49"/>
  <c r="AG54" i="49"/>
  <c r="AB54" i="49"/>
  <c r="W54" i="49"/>
  <c r="K54" i="49" s="1"/>
  <c r="R54" i="49"/>
  <c r="J54" i="49"/>
  <c r="I54" i="49"/>
  <c r="G54" i="49"/>
  <c r="AV53" i="49"/>
  <c r="AQ53" i="49"/>
  <c r="AL53" i="49"/>
  <c r="AG53" i="49"/>
  <c r="AB53" i="49"/>
  <c r="W53" i="49"/>
  <c r="R53" i="49"/>
  <c r="K53" i="49" s="1"/>
  <c r="J53" i="49"/>
  <c r="I53" i="49"/>
  <c r="G53" i="49"/>
  <c r="AV52" i="49"/>
  <c r="AQ52" i="49"/>
  <c r="AL52" i="49"/>
  <c r="AG52" i="49"/>
  <c r="AB52" i="49"/>
  <c r="W52" i="49"/>
  <c r="R52" i="49"/>
  <c r="K52" i="49" s="1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K50" i="49" s="1"/>
  <c r="AL50" i="49"/>
  <c r="AG50" i="49"/>
  <c r="AB50" i="49"/>
  <c r="W50" i="49"/>
  <c r="R50" i="49"/>
  <c r="J50" i="49"/>
  <c r="I50" i="49"/>
  <c r="G50" i="49"/>
  <c r="AV49" i="49"/>
  <c r="AQ49" i="49"/>
  <c r="AL49" i="49"/>
  <c r="K49" i="49" s="1"/>
  <c r="AG49" i="49"/>
  <c r="AB49" i="49"/>
  <c r="W49" i="49"/>
  <c r="R49" i="49"/>
  <c r="J49" i="49"/>
  <c r="I49" i="49"/>
  <c r="G49" i="49"/>
  <c r="AV48" i="49"/>
  <c r="AQ48" i="49"/>
  <c r="AL48" i="49"/>
  <c r="K48" i="49" s="1"/>
  <c r="AG48" i="49"/>
  <c r="AB48" i="49"/>
  <c r="W48" i="49"/>
  <c r="R48" i="49"/>
  <c r="J48" i="49"/>
  <c r="I48" i="49"/>
  <c r="G48" i="49"/>
  <c r="AV47" i="49"/>
  <c r="AX47" i="49" s="1"/>
  <c r="AQ47" i="49"/>
  <c r="AL47" i="49"/>
  <c r="AG47" i="49"/>
  <c r="AI47" i="49" s="1"/>
  <c r="AB47" i="49"/>
  <c r="W47" i="49"/>
  <c r="Y47" i="49" s="1"/>
  <c r="R47" i="49"/>
  <c r="J47" i="49"/>
  <c r="I47" i="49"/>
  <c r="G47" i="49"/>
  <c r="H47" i="49" s="1"/>
  <c r="AW55" i="48"/>
  <c r="AW53" i="48"/>
  <c r="AW52" i="48"/>
  <c r="AW51" i="48"/>
  <c r="AW50" i="48"/>
  <c r="AW49" i="48"/>
  <c r="AW48" i="48"/>
  <c r="AW47" i="48"/>
  <c r="AR55" i="48"/>
  <c r="AR53" i="48"/>
  <c r="AR52" i="48"/>
  <c r="AR51" i="48"/>
  <c r="AR50" i="48"/>
  <c r="AR49" i="48"/>
  <c r="AR48" i="48"/>
  <c r="AR47" i="48"/>
  <c r="AM55" i="48"/>
  <c r="AM53" i="48"/>
  <c r="AM52" i="48"/>
  <c r="AM51" i="48"/>
  <c r="AM50" i="48"/>
  <c r="AM49" i="48"/>
  <c r="AM48" i="48"/>
  <c r="AM47" i="48"/>
  <c r="AH55" i="48"/>
  <c r="AH53" i="48"/>
  <c r="AH52" i="48"/>
  <c r="AH51" i="48"/>
  <c r="AH50" i="48"/>
  <c r="AH49" i="48"/>
  <c r="AH48" i="48"/>
  <c r="AH47" i="48"/>
  <c r="AC55" i="48"/>
  <c r="AC53" i="48"/>
  <c r="AC52" i="48"/>
  <c r="AC51" i="48"/>
  <c r="AC50" i="48"/>
  <c r="AC49" i="48"/>
  <c r="AC48" i="48"/>
  <c r="AC47" i="48"/>
  <c r="X55" i="48"/>
  <c r="X53" i="48"/>
  <c r="X52" i="48"/>
  <c r="X51" i="48"/>
  <c r="X50" i="48"/>
  <c r="X49" i="48"/>
  <c r="X48" i="48"/>
  <c r="X47" i="48"/>
  <c r="S52" i="48"/>
  <c r="S53" i="48"/>
  <c r="S54" i="48"/>
  <c r="S55" i="48"/>
  <c r="S51" i="48"/>
  <c r="S50" i="48"/>
  <c r="S49" i="48"/>
  <c r="S48" i="48"/>
  <c r="S47" i="48"/>
  <c r="M49" i="48"/>
  <c r="M50" i="48"/>
  <c r="M51" i="48"/>
  <c r="M52" i="48"/>
  <c r="M53" i="48"/>
  <c r="M54" i="48"/>
  <c r="M55" i="48"/>
  <c r="M48" i="48"/>
  <c r="M47" i="48"/>
  <c r="AV55" i="48"/>
  <c r="AQ55" i="48"/>
  <c r="AL55" i="48"/>
  <c r="AG55" i="48"/>
  <c r="AB55" i="48"/>
  <c r="W55" i="48"/>
  <c r="R55" i="48"/>
  <c r="J55" i="48"/>
  <c r="I55" i="48"/>
  <c r="G55" i="48"/>
  <c r="R54" i="48"/>
  <c r="K54" i="48" s="1"/>
  <c r="J54" i="48"/>
  <c r="I54" i="48"/>
  <c r="G54" i="48"/>
  <c r="AV53" i="48"/>
  <c r="AQ53" i="48"/>
  <c r="AL53" i="48"/>
  <c r="AG53" i="48"/>
  <c r="AB53" i="48"/>
  <c r="W53" i="48"/>
  <c r="R53" i="48"/>
  <c r="K53" i="48" s="1"/>
  <c r="J53" i="48"/>
  <c r="I53" i="48"/>
  <c r="G53" i="48"/>
  <c r="AV52" i="48"/>
  <c r="AQ52" i="48"/>
  <c r="AL52" i="48"/>
  <c r="AG52" i="48"/>
  <c r="K52" i="48" s="1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K51" i="48"/>
  <c r="J51" i="48"/>
  <c r="I51" i="48"/>
  <c r="G51" i="48"/>
  <c r="AV50" i="48"/>
  <c r="AQ50" i="48"/>
  <c r="AL50" i="48"/>
  <c r="AG50" i="48"/>
  <c r="AB50" i="48"/>
  <c r="K50" i="48" s="1"/>
  <c r="W50" i="48"/>
  <c r="R50" i="48"/>
  <c r="J50" i="48"/>
  <c r="I50" i="48"/>
  <c r="G50" i="48"/>
  <c r="AV49" i="48"/>
  <c r="AX47" i="48" s="1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AD47" i="48" s="1"/>
  <c r="W48" i="48"/>
  <c r="K48" i="48" s="1"/>
  <c r="R48" i="48"/>
  <c r="J48" i="48"/>
  <c r="I48" i="48"/>
  <c r="G48" i="48"/>
  <c r="AV47" i="48"/>
  <c r="AQ47" i="48"/>
  <c r="AS47" i="48" s="1"/>
  <c r="AL47" i="48"/>
  <c r="AI47" i="48"/>
  <c r="AG47" i="48"/>
  <c r="AB47" i="48"/>
  <c r="W47" i="48"/>
  <c r="Y47" i="48" s="1"/>
  <c r="R47" i="48"/>
  <c r="T47" i="48" s="1"/>
  <c r="J47" i="48"/>
  <c r="I47" i="48"/>
  <c r="G47" i="48"/>
  <c r="H47" i="48" s="1"/>
  <c r="AW51" i="47"/>
  <c r="AW50" i="47"/>
  <c r="AW49" i="47"/>
  <c r="AW48" i="47"/>
  <c r="AW47" i="47"/>
  <c r="AR51" i="47"/>
  <c r="AR50" i="47"/>
  <c r="AR49" i="47"/>
  <c r="AR48" i="47"/>
  <c r="AR47" i="47"/>
  <c r="AM51" i="47"/>
  <c r="AM50" i="47"/>
  <c r="AM49" i="47"/>
  <c r="AM48" i="47"/>
  <c r="AM47" i="47"/>
  <c r="AH51" i="47"/>
  <c r="AH50" i="47"/>
  <c r="AH49" i="47"/>
  <c r="AH48" i="47"/>
  <c r="AH47" i="47"/>
  <c r="AI47" i="47"/>
  <c r="AC51" i="47"/>
  <c r="AC50" i="47"/>
  <c r="AC49" i="47"/>
  <c r="AC48" i="47"/>
  <c r="AC47" i="47"/>
  <c r="X51" i="47"/>
  <c r="X50" i="47"/>
  <c r="X49" i="47"/>
  <c r="X48" i="47"/>
  <c r="X47" i="47"/>
  <c r="S49" i="47"/>
  <c r="S50" i="47"/>
  <c r="S51" i="47"/>
  <c r="S48" i="47"/>
  <c r="S47" i="47"/>
  <c r="M49" i="47"/>
  <c r="M50" i="47"/>
  <c r="M51" i="47"/>
  <c r="M48" i="47"/>
  <c r="M47" i="47"/>
  <c r="AV51" i="47"/>
  <c r="AQ51" i="47"/>
  <c r="AL51" i="47"/>
  <c r="AG51" i="47"/>
  <c r="AB51" i="47"/>
  <c r="W51" i="47"/>
  <c r="R51" i="47"/>
  <c r="J51" i="47"/>
  <c r="I51" i="47"/>
  <c r="G51" i="47"/>
  <c r="AV50" i="47"/>
  <c r="AQ50" i="47"/>
  <c r="AL50" i="47"/>
  <c r="AG50" i="47"/>
  <c r="AB50" i="47"/>
  <c r="W50" i="47"/>
  <c r="R50" i="47"/>
  <c r="K50" i="47" s="1"/>
  <c r="J50" i="47"/>
  <c r="I50" i="47"/>
  <c r="G50" i="47"/>
  <c r="AV49" i="47"/>
  <c r="AQ49" i="47"/>
  <c r="AL49" i="47"/>
  <c r="AG49" i="47"/>
  <c r="AB49" i="47"/>
  <c r="W49" i="47"/>
  <c r="R49" i="47"/>
  <c r="J49" i="47"/>
  <c r="I49" i="47"/>
  <c r="G49" i="47"/>
  <c r="AV48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L47" i="47"/>
  <c r="AN47" i="47" s="1"/>
  <c r="AG47" i="47"/>
  <c r="AB47" i="47"/>
  <c r="AD47" i="47" s="1"/>
  <c r="Y47" i="47"/>
  <c r="W47" i="47"/>
  <c r="R47" i="47"/>
  <c r="T47" i="47" s="1"/>
  <c r="J47" i="47"/>
  <c r="I47" i="47"/>
  <c r="G47" i="47"/>
  <c r="H47" i="47" s="1"/>
  <c r="C1" i="46"/>
  <c r="AW48" i="46"/>
  <c r="AW47" i="46"/>
  <c r="AR48" i="46"/>
  <c r="AR47" i="46"/>
  <c r="AH48" i="46"/>
  <c r="AH47" i="46"/>
  <c r="AC48" i="46"/>
  <c r="AC47" i="46"/>
  <c r="X48" i="46"/>
  <c r="X47" i="46"/>
  <c r="S48" i="46"/>
  <c r="S47" i="46"/>
  <c r="AM48" i="46"/>
  <c r="AM47" i="46"/>
  <c r="M48" i="46"/>
  <c r="M47" i="46"/>
  <c r="AV48" i="46"/>
  <c r="AQ48" i="46"/>
  <c r="AL48" i="46"/>
  <c r="AG48" i="46"/>
  <c r="AB48" i="46"/>
  <c r="W48" i="46"/>
  <c r="Y47" i="46" s="1"/>
  <c r="R48" i="46"/>
  <c r="J48" i="46"/>
  <c r="I48" i="46"/>
  <c r="G48" i="46"/>
  <c r="AX47" i="46"/>
  <c r="AV47" i="46"/>
  <c r="AQ47" i="46"/>
  <c r="AS47" i="46" s="1"/>
  <c r="AN47" i="46"/>
  <c r="AL47" i="46"/>
  <c r="AG47" i="46"/>
  <c r="AI47" i="46" s="1"/>
  <c r="AB47" i="46"/>
  <c r="W47" i="46"/>
  <c r="R47" i="46"/>
  <c r="K47" i="46" s="1"/>
  <c r="J47" i="46"/>
  <c r="I47" i="46"/>
  <c r="H47" i="46"/>
  <c r="G47" i="46"/>
  <c r="AW49" i="45"/>
  <c r="AW48" i="45"/>
  <c r="AW47" i="45"/>
  <c r="AR49" i="45"/>
  <c r="AR48" i="45"/>
  <c r="AR47" i="45"/>
  <c r="AM49" i="45"/>
  <c r="AM48" i="45"/>
  <c r="AM47" i="45"/>
  <c r="AH49" i="45"/>
  <c r="AH48" i="45"/>
  <c r="AH47" i="45"/>
  <c r="AC49" i="45"/>
  <c r="AC48" i="45"/>
  <c r="AC47" i="45"/>
  <c r="X49" i="45"/>
  <c r="X48" i="45"/>
  <c r="X47" i="45"/>
  <c r="S48" i="45"/>
  <c r="S49" i="45"/>
  <c r="S47" i="45"/>
  <c r="M48" i="45"/>
  <c r="M49" i="45"/>
  <c r="M47" i="45"/>
  <c r="B29" i="39"/>
  <c r="B34" i="39"/>
  <c r="C1" i="45"/>
  <c r="AV49" i="45"/>
  <c r="AQ49" i="45"/>
  <c r="AL49" i="45"/>
  <c r="AG49" i="45"/>
  <c r="AB49" i="45"/>
  <c r="W49" i="45"/>
  <c r="K49" i="45" s="1"/>
  <c r="R49" i="45"/>
  <c r="J49" i="45"/>
  <c r="I49" i="45"/>
  <c r="G49" i="45"/>
  <c r="AV48" i="45"/>
  <c r="AQ48" i="45"/>
  <c r="AL48" i="45"/>
  <c r="AG48" i="45"/>
  <c r="AB48" i="45"/>
  <c r="W48" i="45"/>
  <c r="R48" i="45"/>
  <c r="K48" i="45" s="1"/>
  <c r="J48" i="45"/>
  <c r="I48" i="45"/>
  <c r="G48" i="45"/>
  <c r="AX47" i="45"/>
  <c r="AV47" i="45"/>
  <c r="AQ47" i="45"/>
  <c r="AS47" i="45" s="1"/>
  <c r="AL47" i="45"/>
  <c r="AG47" i="45"/>
  <c r="AI47" i="45" s="1"/>
  <c r="AD47" i="45"/>
  <c r="AB47" i="45"/>
  <c r="W47" i="45"/>
  <c r="Y47" i="45" s="1"/>
  <c r="R47" i="45"/>
  <c r="T47" i="45" s="1"/>
  <c r="J47" i="45"/>
  <c r="I47" i="45"/>
  <c r="G47" i="45"/>
  <c r="H47" i="45" s="1"/>
  <c r="B28" i="39"/>
  <c r="C1" i="44"/>
  <c r="AW126" i="45"/>
  <c r="AW125" i="45"/>
  <c r="AW124" i="45"/>
  <c r="AW123" i="45"/>
  <c r="AW122" i="45"/>
  <c r="AW121" i="45"/>
  <c r="AW120" i="45"/>
  <c r="AW119" i="45"/>
  <c r="AW118" i="45"/>
  <c r="AW117" i="45"/>
  <c r="AW116" i="45"/>
  <c r="AW115" i="45"/>
  <c r="AW114" i="45"/>
  <c r="AW113" i="45"/>
  <c r="AW112" i="45"/>
  <c r="AW111" i="45"/>
  <c r="AW110" i="45"/>
  <c r="AW109" i="45"/>
  <c r="AW108" i="45"/>
  <c r="AW107" i="45"/>
  <c r="AW106" i="45"/>
  <c r="AW105" i="45"/>
  <c r="AW104" i="45"/>
  <c r="AW102" i="45"/>
  <c r="AW101" i="45"/>
  <c r="AW100" i="45"/>
  <c r="AW99" i="45"/>
  <c r="AW98" i="45"/>
  <c r="AW97" i="45"/>
  <c r="AW96" i="45"/>
  <c r="AW95" i="45"/>
  <c r="AW94" i="45"/>
  <c r="AW93" i="45"/>
  <c r="AW92" i="45"/>
  <c r="AW91" i="45"/>
  <c r="AW126" i="46"/>
  <c r="AW125" i="46"/>
  <c r="AW124" i="46"/>
  <c r="AW123" i="46"/>
  <c r="AW122" i="46"/>
  <c r="AW121" i="46"/>
  <c r="AW120" i="46"/>
  <c r="AW119" i="46"/>
  <c r="AW118" i="46"/>
  <c r="AW117" i="46"/>
  <c r="AW116" i="46"/>
  <c r="AW115" i="46"/>
  <c r="AW114" i="46"/>
  <c r="AW113" i="46"/>
  <c r="AW112" i="46"/>
  <c r="AW111" i="46"/>
  <c r="AW110" i="46"/>
  <c r="AW109" i="46"/>
  <c r="AW108" i="46"/>
  <c r="AW107" i="46"/>
  <c r="AW106" i="46"/>
  <c r="AW105" i="46"/>
  <c r="AW104" i="46"/>
  <c r="AW102" i="46"/>
  <c r="AW101" i="46"/>
  <c r="AW100" i="46"/>
  <c r="AW99" i="46"/>
  <c r="AW98" i="46"/>
  <c r="AW97" i="46"/>
  <c r="AW96" i="46"/>
  <c r="AW95" i="46"/>
  <c r="AW94" i="46"/>
  <c r="AW93" i="46"/>
  <c r="AW92" i="46"/>
  <c r="AW91" i="46"/>
  <c r="AW126" i="47"/>
  <c r="AW125" i="47"/>
  <c r="AW124" i="47"/>
  <c r="AW123" i="47"/>
  <c r="AW122" i="47"/>
  <c r="AW121" i="47"/>
  <c r="AW120" i="47"/>
  <c r="AW119" i="47"/>
  <c r="AW118" i="47"/>
  <c r="AW117" i="47"/>
  <c r="AW116" i="47"/>
  <c r="AW115" i="47"/>
  <c r="AW114" i="47"/>
  <c r="AW113" i="47"/>
  <c r="AW112" i="47"/>
  <c r="AW111" i="47"/>
  <c r="AW110" i="47"/>
  <c r="AW109" i="47"/>
  <c r="AW108" i="47"/>
  <c r="AW107" i="47"/>
  <c r="AW106" i="47"/>
  <c r="AW105" i="47"/>
  <c r="AW104" i="47"/>
  <c r="AW102" i="47"/>
  <c r="AW101" i="47"/>
  <c r="AW100" i="47"/>
  <c r="AW99" i="47"/>
  <c r="AW98" i="47"/>
  <c r="AW97" i="47"/>
  <c r="AW96" i="47"/>
  <c r="AW95" i="47"/>
  <c r="AW94" i="47"/>
  <c r="AW93" i="47"/>
  <c r="AW92" i="47"/>
  <c r="AW91" i="47"/>
  <c r="AW126" i="48"/>
  <c r="AW125" i="48"/>
  <c r="AW124" i="48"/>
  <c r="AW123" i="48"/>
  <c r="AW122" i="48"/>
  <c r="AW121" i="48"/>
  <c r="AW120" i="48"/>
  <c r="AW119" i="48"/>
  <c r="AW118" i="48"/>
  <c r="AW117" i="48"/>
  <c r="AW116" i="48"/>
  <c r="AW115" i="48"/>
  <c r="AW114" i="48"/>
  <c r="AW113" i="48"/>
  <c r="AW112" i="48"/>
  <c r="AW111" i="48"/>
  <c r="AW110" i="48"/>
  <c r="AW109" i="48"/>
  <c r="AW108" i="48"/>
  <c r="AW107" i="48"/>
  <c r="AW106" i="48"/>
  <c r="AW105" i="48"/>
  <c r="AW104" i="48"/>
  <c r="AW102" i="48"/>
  <c r="AW101" i="48"/>
  <c r="AW100" i="48"/>
  <c r="AW99" i="48"/>
  <c r="AW98" i="48"/>
  <c r="AW97" i="48"/>
  <c r="AW96" i="48"/>
  <c r="AW95" i="48"/>
  <c r="AW94" i="48"/>
  <c r="AW93" i="48"/>
  <c r="AW92" i="48"/>
  <c r="AW91" i="48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126" i="50"/>
  <c r="AW125" i="50"/>
  <c r="AW124" i="50"/>
  <c r="AW123" i="50"/>
  <c r="AW122" i="50"/>
  <c r="AW121" i="50"/>
  <c r="AW120" i="50"/>
  <c r="AW119" i="50"/>
  <c r="AW118" i="50"/>
  <c r="AW117" i="50"/>
  <c r="AW116" i="50"/>
  <c r="AW115" i="50"/>
  <c r="AW114" i="50"/>
  <c r="AW113" i="50"/>
  <c r="AW112" i="50"/>
  <c r="AW111" i="50"/>
  <c r="AW110" i="50"/>
  <c r="AW109" i="50"/>
  <c r="AW108" i="50"/>
  <c r="AW107" i="50"/>
  <c r="AW106" i="50"/>
  <c r="AW105" i="50"/>
  <c r="AW104" i="50"/>
  <c r="AW102" i="50"/>
  <c r="AW101" i="50"/>
  <c r="AW100" i="50"/>
  <c r="AW99" i="50"/>
  <c r="AW98" i="50"/>
  <c r="AW97" i="50"/>
  <c r="AW96" i="50"/>
  <c r="AW95" i="50"/>
  <c r="AW94" i="50"/>
  <c r="AW93" i="50"/>
  <c r="AW92" i="50"/>
  <c r="AW91" i="50"/>
  <c r="AW126" i="51"/>
  <c r="AW125" i="51"/>
  <c r="AW124" i="51"/>
  <c r="AW123" i="51"/>
  <c r="AW122" i="51"/>
  <c r="AW121" i="51"/>
  <c r="AW120" i="51"/>
  <c r="AW119" i="51"/>
  <c r="AW118" i="51"/>
  <c r="AW117" i="51"/>
  <c r="AW116" i="51"/>
  <c r="AW115" i="51"/>
  <c r="AW114" i="51"/>
  <c r="AW113" i="51"/>
  <c r="AW112" i="51"/>
  <c r="AW111" i="51"/>
  <c r="AW110" i="51"/>
  <c r="AW109" i="51"/>
  <c r="AW108" i="51"/>
  <c r="AW107" i="51"/>
  <c r="AW106" i="51"/>
  <c r="AW105" i="51"/>
  <c r="AW104" i="51"/>
  <c r="AW102" i="51"/>
  <c r="AW101" i="51"/>
  <c r="AW100" i="51"/>
  <c r="AW99" i="51"/>
  <c r="AW98" i="51"/>
  <c r="AW97" i="51"/>
  <c r="AW96" i="51"/>
  <c r="AW95" i="51"/>
  <c r="AW94" i="51"/>
  <c r="AW93" i="51"/>
  <c r="AW92" i="51"/>
  <c r="AW91" i="51"/>
  <c r="AW126" i="52"/>
  <c r="AW125" i="52"/>
  <c r="AW124" i="52"/>
  <c r="AW123" i="52"/>
  <c r="AW122" i="52"/>
  <c r="AW121" i="52"/>
  <c r="AW120" i="52"/>
  <c r="AW119" i="52"/>
  <c r="AW118" i="52"/>
  <c r="AW117" i="52"/>
  <c r="AW116" i="52"/>
  <c r="AW115" i="52"/>
  <c r="AW114" i="52"/>
  <c r="AW113" i="52"/>
  <c r="AW112" i="52"/>
  <c r="AW111" i="52"/>
  <c r="AW110" i="52"/>
  <c r="AW109" i="52"/>
  <c r="AW108" i="52"/>
  <c r="AW107" i="52"/>
  <c r="AW106" i="52"/>
  <c r="AW105" i="52"/>
  <c r="AW104" i="52"/>
  <c r="AW102" i="52"/>
  <c r="AW101" i="52"/>
  <c r="AW100" i="52"/>
  <c r="AW99" i="52"/>
  <c r="AW98" i="52"/>
  <c r="AW97" i="52"/>
  <c r="AW96" i="52"/>
  <c r="AW95" i="52"/>
  <c r="AW94" i="52"/>
  <c r="AW93" i="52"/>
  <c r="AW92" i="52"/>
  <c r="AW91" i="52"/>
  <c r="AW126" i="44"/>
  <c r="AW125" i="44"/>
  <c r="AW124" i="44"/>
  <c r="AW123" i="44"/>
  <c r="AW122" i="44"/>
  <c r="AW121" i="44"/>
  <c r="AW120" i="44"/>
  <c r="AW119" i="44"/>
  <c r="AW118" i="44"/>
  <c r="AW117" i="44"/>
  <c r="AW116" i="44"/>
  <c r="AW115" i="44"/>
  <c r="AW114" i="44"/>
  <c r="AW113" i="44"/>
  <c r="AW112" i="44"/>
  <c r="AW111" i="44"/>
  <c r="AW110" i="44"/>
  <c r="AW109" i="44"/>
  <c r="AW108" i="44"/>
  <c r="AW107" i="44"/>
  <c r="AW106" i="44"/>
  <c r="AW105" i="44"/>
  <c r="AW104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R126" i="45"/>
  <c r="AR125" i="45"/>
  <c r="AR124" i="45"/>
  <c r="AR123" i="45"/>
  <c r="AR122" i="45"/>
  <c r="AR121" i="45"/>
  <c r="AR120" i="45"/>
  <c r="AR119" i="45"/>
  <c r="AR118" i="45"/>
  <c r="AR117" i="45"/>
  <c r="AR116" i="45"/>
  <c r="AR115" i="45"/>
  <c r="AR114" i="45"/>
  <c r="AR113" i="45"/>
  <c r="AR112" i="45"/>
  <c r="AR111" i="45"/>
  <c r="AR110" i="45"/>
  <c r="AR109" i="45"/>
  <c r="AR108" i="45"/>
  <c r="AR107" i="45"/>
  <c r="AR106" i="45"/>
  <c r="AR105" i="45"/>
  <c r="AR104" i="45"/>
  <c r="AR102" i="45"/>
  <c r="AR101" i="45"/>
  <c r="AR100" i="45"/>
  <c r="AR99" i="45"/>
  <c r="AR98" i="45"/>
  <c r="AR97" i="45"/>
  <c r="AR96" i="45"/>
  <c r="AR95" i="45"/>
  <c r="AR94" i="45"/>
  <c r="AR93" i="45"/>
  <c r="AR92" i="45"/>
  <c r="AR91" i="45"/>
  <c r="AR126" i="46"/>
  <c r="AR125" i="46"/>
  <c r="AR124" i="46"/>
  <c r="AR123" i="46"/>
  <c r="AR122" i="46"/>
  <c r="AR121" i="46"/>
  <c r="AR120" i="46"/>
  <c r="AR119" i="46"/>
  <c r="AR118" i="46"/>
  <c r="AR117" i="46"/>
  <c r="AR116" i="46"/>
  <c r="AR115" i="46"/>
  <c r="AR114" i="46"/>
  <c r="AR113" i="46"/>
  <c r="AR112" i="46"/>
  <c r="AR111" i="46"/>
  <c r="AR110" i="46"/>
  <c r="AR109" i="46"/>
  <c r="AR108" i="46"/>
  <c r="AR107" i="46"/>
  <c r="AR106" i="46"/>
  <c r="AR105" i="46"/>
  <c r="AR104" i="46"/>
  <c r="AR102" i="46"/>
  <c r="AR101" i="46"/>
  <c r="AR100" i="46"/>
  <c r="AR99" i="46"/>
  <c r="AR98" i="46"/>
  <c r="AR97" i="46"/>
  <c r="AR96" i="46"/>
  <c r="AR95" i="46"/>
  <c r="AR94" i="46"/>
  <c r="AR93" i="46"/>
  <c r="AR92" i="46"/>
  <c r="AR91" i="46"/>
  <c r="AR126" i="47"/>
  <c r="AR125" i="47"/>
  <c r="AR124" i="47"/>
  <c r="AR123" i="47"/>
  <c r="AR122" i="47"/>
  <c r="AR121" i="47"/>
  <c r="AR120" i="47"/>
  <c r="AR119" i="47"/>
  <c r="AR118" i="47"/>
  <c r="AR117" i="47"/>
  <c r="AR116" i="47"/>
  <c r="AR115" i="47"/>
  <c r="AR114" i="47"/>
  <c r="AR113" i="47"/>
  <c r="AR112" i="47"/>
  <c r="AR111" i="47"/>
  <c r="AR110" i="47"/>
  <c r="AR109" i="47"/>
  <c r="AR108" i="47"/>
  <c r="AR107" i="47"/>
  <c r="AR106" i="47"/>
  <c r="AR105" i="47"/>
  <c r="AR104" i="47"/>
  <c r="AR102" i="47"/>
  <c r="AR101" i="47"/>
  <c r="AR100" i="47"/>
  <c r="AR99" i="47"/>
  <c r="AR98" i="47"/>
  <c r="AR97" i="47"/>
  <c r="AR96" i="47"/>
  <c r="AR95" i="47"/>
  <c r="AR94" i="47"/>
  <c r="AR93" i="47"/>
  <c r="AR92" i="47"/>
  <c r="AR91" i="47"/>
  <c r="AR126" i="48"/>
  <c r="AR125" i="48"/>
  <c r="AR124" i="48"/>
  <c r="AR123" i="48"/>
  <c r="AR122" i="48"/>
  <c r="AR121" i="48"/>
  <c r="AR120" i="48"/>
  <c r="AR119" i="48"/>
  <c r="AR118" i="48"/>
  <c r="AR117" i="48"/>
  <c r="AR116" i="48"/>
  <c r="AR115" i="48"/>
  <c r="AR114" i="48"/>
  <c r="AR113" i="48"/>
  <c r="AR112" i="48"/>
  <c r="AR111" i="48"/>
  <c r="AR110" i="48"/>
  <c r="AR109" i="48"/>
  <c r="AR108" i="48"/>
  <c r="AR107" i="48"/>
  <c r="AR106" i="48"/>
  <c r="AR105" i="48"/>
  <c r="AR104" i="48"/>
  <c r="AR102" i="48"/>
  <c r="AR101" i="48"/>
  <c r="AR100" i="48"/>
  <c r="AR99" i="48"/>
  <c r="AR98" i="48"/>
  <c r="AR97" i="48"/>
  <c r="AR96" i="48"/>
  <c r="AR95" i="48"/>
  <c r="AR94" i="48"/>
  <c r="AR93" i="48"/>
  <c r="AR92" i="48"/>
  <c r="AR91" i="48"/>
  <c r="AR126" i="49"/>
  <c r="AR125" i="49"/>
  <c r="AR124" i="49"/>
  <c r="AR123" i="49"/>
  <c r="AR122" i="49"/>
  <c r="AR121" i="49"/>
  <c r="AR120" i="49"/>
  <c r="AR119" i="49"/>
  <c r="AR118" i="49"/>
  <c r="AR117" i="49"/>
  <c r="AR116" i="49"/>
  <c r="AR115" i="49"/>
  <c r="AR114" i="49"/>
  <c r="AR113" i="49"/>
  <c r="AR112" i="49"/>
  <c r="AR111" i="49"/>
  <c r="AR110" i="49"/>
  <c r="AR109" i="49"/>
  <c r="AR108" i="49"/>
  <c r="AR107" i="49"/>
  <c r="AR106" i="49"/>
  <c r="AR105" i="49"/>
  <c r="AR104" i="49"/>
  <c r="AR102" i="49"/>
  <c r="AR101" i="49"/>
  <c r="AR100" i="49"/>
  <c r="AR99" i="49"/>
  <c r="AR98" i="49"/>
  <c r="AR97" i="49"/>
  <c r="AR96" i="49"/>
  <c r="AR95" i="49"/>
  <c r="AR94" i="49"/>
  <c r="AR93" i="49"/>
  <c r="AR92" i="49"/>
  <c r="AR91" i="49"/>
  <c r="AR126" i="50"/>
  <c r="AR125" i="50"/>
  <c r="AR124" i="50"/>
  <c r="AR123" i="50"/>
  <c r="AR122" i="50"/>
  <c r="AR121" i="50"/>
  <c r="AR120" i="50"/>
  <c r="AR119" i="50"/>
  <c r="AR118" i="50"/>
  <c r="AR117" i="50"/>
  <c r="AR116" i="50"/>
  <c r="AR115" i="50"/>
  <c r="AR114" i="50"/>
  <c r="AR113" i="50"/>
  <c r="AR112" i="50"/>
  <c r="AR111" i="50"/>
  <c r="AR110" i="50"/>
  <c r="AR109" i="50"/>
  <c r="AR108" i="50"/>
  <c r="AR107" i="50"/>
  <c r="AR106" i="50"/>
  <c r="AR105" i="50"/>
  <c r="AR104" i="50"/>
  <c r="AR102" i="50"/>
  <c r="AR101" i="50"/>
  <c r="AR100" i="50"/>
  <c r="AR99" i="50"/>
  <c r="AR98" i="50"/>
  <c r="AR97" i="50"/>
  <c r="AR96" i="50"/>
  <c r="AR95" i="50"/>
  <c r="AR94" i="50"/>
  <c r="AR93" i="50"/>
  <c r="AR92" i="50"/>
  <c r="AR91" i="50"/>
  <c r="AR126" i="51"/>
  <c r="AR125" i="51"/>
  <c r="AR124" i="51"/>
  <c r="AR123" i="51"/>
  <c r="AR122" i="51"/>
  <c r="AR121" i="51"/>
  <c r="AR120" i="51"/>
  <c r="AR119" i="51"/>
  <c r="AR118" i="51"/>
  <c r="AR117" i="51"/>
  <c r="AR116" i="51"/>
  <c r="AR115" i="51"/>
  <c r="AR114" i="51"/>
  <c r="AR113" i="51"/>
  <c r="AR112" i="51"/>
  <c r="AR111" i="51"/>
  <c r="AR110" i="51"/>
  <c r="AR109" i="51"/>
  <c r="AR108" i="51"/>
  <c r="AR107" i="51"/>
  <c r="AR106" i="51"/>
  <c r="AR105" i="51"/>
  <c r="AR104" i="51"/>
  <c r="AR102" i="51"/>
  <c r="AR101" i="51"/>
  <c r="AR100" i="51"/>
  <c r="AR99" i="51"/>
  <c r="AR98" i="51"/>
  <c r="AR97" i="51"/>
  <c r="AR96" i="51"/>
  <c r="AR95" i="51"/>
  <c r="AR94" i="51"/>
  <c r="AR93" i="51"/>
  <c r="AR92" i="51"/>
  <c r="AR91" i="51"/>
  <c r="AR126" i="52"/>
  <c r="AR125" i="52"/>
  <c r="AR124" i="52"/>
  <c r="AR123" i="52"/>
  <c r="AR122" i="52"/>
  <c r="AR121" i="52"/>
  <c r="AR120" i="52"/>
  <c r="AR119" i="52"/>
  <c r="AR118" i="52"/>
  <c r="AR117" i="52"/>
  <c r="AR116" i="52"/>
  <c r="AR115" i="52"/>
  <c r="AR114" i="52"/>
  <c r="AR113" i="52"/>
  <c r="AR112" i="52"/>
  <c r="AR111" i="52"/>
  <c r="AR110" i="52"/>
  <c r="AR109" i="52"/>
  <c r="AR108" i="52"/>
  <c r="AR107" i="52"/>
  <c r="AR106" i="52"/>
  <c r="AR105" i="52"/>
  <c r="AR104" i="52"/>
  <c r="AR102" i="52"/>
  <c r="AR101" i="52"/>
  <c r="AR100" i="52"/>
  <c r="AR99" i="52"/>
  <c r="AR98" i="52"/>
  <c r="AR97" i="52"/>
  <c r="AR96" i="52"/>
  <c r="AR95" i="52"/>
  <c r="AR94" i="52"/>
  <c r="AR93" i="52"/>
  <c r="AR92" i="52"/>
  <c r="AR91" i="52"/>
  <c r="AR126" i="44"/>
  <c r="AR125" i="44"/>
  <c r="AR124" i="44"/>
  <c r="AR123" i="44"/>
  <c r="AR122" i="44"/>
  <c r="AR121" i="44"/>
  <c r="AR120" i="44"/>
  <c r="AR119" i="44"/>
  <c r="AR118" i="44"/>
  <c r="AR117" i="44"/>
  <c r="AR116" i="44"/>
  <c r="AR115" i="44"/>
  <c r="AR114" i="44"/>
  <c r="AR113" i="44"/>
  <c r="AR112" i="44"/>
  <c r="AR111" i="44"/>
  <c r="AR110" i="44"/>
  <c r="AR109" i="44"/>
  <c r="AR108" i="44"/>
  <c r="AR107" i="44"/>
  <c r="AR106" i="44"/>
  <c r="AR105" i="44"/>
  <c r="AR104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M126" i="45"/>
  <c r="AM125" i="45"/>
  <c r="AM124" i="45"/>
  <c r="AM123" i="45"/>
  <c r="AM122" i="45"/>
  <c r="AM121" i="45"/>
  <c r="AM120" i="45"/>
  <c r="AM119" i="45"/>
  <c r="AM118" i="45"/>
  <c r="AM117" i="45"/>
  <c r="AM116" i="45"/>
  <c r="AM115" i="45"/>
  <c r="AM114" i="45"/>
  <c r="AM113" i="45"/>
  <c r="AM112" i="45"/>
  <c r="AM111" i="45"/>
  <c r="AM110" i="45"/>
  <c r="AM109" i="45"/>
  <c r="AM108" i="45"/>
  <c r="AM107" i="45"/>
  <c r="AM106" i="45"/>
  <c r="AM105" i="45"/>
  <c r="AM104" i="45"/>
  <c r="AM102" i="45"/>
  <c r="AM101" i="45"/>
  <c r="AM100" i="45"/>
  <c r="AM99" i="45"/>
  <c r="AM98" i="45"/>
  <c r="AM97" i="45"/>
  <c r="AM96" i="45"/>
  <c r="AM95" i="45"/>
  <c r="AM94" i="45"/>
  <c r="AM93" i="45"/>
  <c r="AM92" i="45"/>
  <c r="AM91" i="45"/>
  <c r="AM126" i="46"/>
  <c r="AM125" i="46"/>
  <c r="AM124" i="46"/>
  <c r="AM123" i="46"/>
  <c r="AM122" i="46"/>
  <c r="AM121" i="46"/>
  <c r="AM120" i="46"/>
  <c r="AM119" i="46"/>
  <c r="AM118" i="46"/>
  <c r="AM117" i="46"/>
  <c r="AM116" i="46"/>
  <c r="AM115" i="46"/>
  <c r="AM114" i="46"/>
  <c r="AM113" i="46"/>
  <c r="AM112" i="46"/>
  <c r="AM111" i="46"/>
  <c r="AM110" i="46"/>
  <c r="AM109" i="46"/>
  <c r="AM108" i="46"/>
  <c r="AM107" i="46"/>
  <c r="AM106" i="46"/>
  <c r="AM105" i="46"/>
  <c r="AM104" i="46"/>
  <c r="AM102" i="46"/>
  <c r="AM101" i="46"/>
  <c r="AM100" i="46"/>
  <c r="AM99" i="46"/>
  <c r="AM98" i="46"/>
  <c r="AM97" i="46"/>
  <c r="AM96" i="46"/>
  <c r="AM95" i="46"/>
  <c r="AM94" i="46"/>
  <c r="AM93" i="46"/>
  <c r="AM92" i="46"/>
  <c r="AM91" i="46"/>
  <c r="AM126" i="47"/>
  <c r="AM125" i="47"/>
  <c r="AM124" i="47"/>
  <c r="AM123" i="47"/>
  <c r="AM122" i="47"/>
  <c r="AM121" i="47"/>
  <c r="AM120" i="47"/>
  <c r="AM119" i="47"/>
  <c r="AM118" i="47"/>
  <c r="AM117" i="47"/>
  <c r="AM116" i="47"/>
  <c r="AM115" i="47"/>
  <c r="AM114" i="47"/>
  <c r="AM113" i="47"/>
  <c r="AM112" i="47"/>
  <c r="AM111" i="47"/>
  <c r="AM110" i="47"/>
  <c r="AM109" i="47"/>
  <c r="AM108" i="47"/>
  <c r="AM107" i="47"/>
  <c r="AM106" i="47"/>
  <c r="AM105" i="47"/>
  <c r="AM104" i="47"/>
  <c r="AM102" i="47"/>
  <c r="AM101" i="47"/>
  <c r="AM100" i="47"/>
  <c r="AM99" i="47"/>
  <c r="AM98" i="47"/>
  <c r="AM97" i="47"/>
  <c r="AM96" i="47"/>
  <c r="AM95" i="47"/>
  <c r="AM94" i="47"/>
  <c r="AM93" i="47"/>
  <c r="AM92" i="47"/>
  <c r="AM91" i="47"/>
  <c r="AM126" i="48"/>
  <c r="AM125" i="48"/>
  <c r="AM124" i="48"/>
  <c r="AM123" i="48"/>
  <c r="AM122" i="48"/>
  <c r="AM121" i="48"/>
  <c r="AM120" i="48"/>
  <c r="AM119" i="48"/>
  <c r="AM118" i="48"/>
  <c r="AM117" i="48"/>
  <c r="AM116" i="48"/>
  <c r="AM115" i="48"/>
  <c r="AM114" i="48"/>
  <c r="AM113" i="48"/>
  <c r="AM112" i="48"/>
  <c r="AM111" i="48"/>
  <c r="AM110" i="48"/>
  <c r="AM109" i="48"/>
  <c r="AM108" i="48"/>
  <c r="AM107" i="48"/>
  <c r="AM106" i="48"/>
  <c r="AM105" i="48"/>
  <c r="AM104" i="48"/>
  <c r="AM102" i="48"/>
  <c r="AM101" i="48"/>
  <c r="AM100" i="48"/>
  <c r="AM99" i="48"/>
  <c r="AM98" i="48"/>
  <c r="AM97" i="48"/>
  <c r="AM96" i="48"/>
  <c r="AM95" i="48"/>
  <c r="AM94" i="48"/>
  <c r="AM93" i="48"/>
  <c r="AM92" i="48"/>
  <c r="AM91" i="48"/>
  <c r="AM126" i="49"/>
  <c r="AM125" i="49"/>
  <c r="AM124" i="49"/>
  <c r="AM123" i="49"/>
  <c r="AM122" i="49"/>
  <c r="AM121" i="49"/>
  <c r="AM120" i="49"/>
  <c r="AM119" i="49"/>
  <c r="AM118" i="49"/>
  <c r="AM117" i="49"/>
  <c r="AM116" i="49"/>
  <c r="AM115" i="49"/>
  <c r="AM114" i="49"/>
  <c r="AM113" i="49"/>
  <c r="AM112" i="49"/>
  <c r="AM111" i="49"/>
  <c r="AM110" i="49"/>
  <c r="AM109" i="49"/>
  <c r="AM108" i="49"/>
  <c r="AM107" i="49"/>
  <c r="AM106" i="49"/>
  <c r="AM105" i="49"/>
  <c r="AM104" i="49"/>
  <c r="AM102" i="49"/>
  <c r="AM101" i="49"/>
  <c r="AM100" i="49"/>
  <c r="AM99" i="49"/>
  <c r="AM98" i="49"/>
  <c r="AM97" i="49"/>
  <c r="AM96" i="49"/>
  <c r="AM95" i="49"/>
  <c r="AM94" i="49"/>
  <c r="AM93" i="49"/>
  <c r="AM92" i="49"/>
  <c r="AM91" i="49"/>
  <c r="AM126" i="50"/>
  <c r="AM125" i="50"/>
  <c r="AM124" i="50"/>
  <c r="AM123" i="50"/>
  <c r="AM122" i="50"/>
  <c r="AM121" i="50"/>
  <c r="AM120" i="50"/>
  <c r="AM119" i="50"/>
  <c r="AM118" i="50"/>
  <c r="AM117" i="50"/>
  <c r="AM116" i="50"/>
  <c r="AM115" i="50"/>
  <c r="AM114" i="50"/>
  <c r="AM113" i="50"/>
  <c r="AM112" i="50"/>
  <c r="AM111" i="50"/>
  <c r="AM110" i="50"/>
  <c r="AM109" i="50"/>
  <c r="AM108" i="50"/>
  <c r="AM107" i="50"/>
  <c r="AM106" i="50"/>
  <c r="AM105" i="50"/>
  <c r="AM104" i="50"/>
  <c r="AM102" i="50"/>
  <c r="AM101" i="50"/>
  <c r="AM100" i="50"/>
  <c r="AM99" i="50"/>
  <c r="AM98" i="50"/>
  <c r="AM97" i="50"/>
  <c r="AM96" i="50"/>
  <c r="AM95" i="50"/>
  <c r="AM94" i="50"/>
  <c r="AM93" i="50"/>
  <c r="AM92" i="50"/>
  <c r="AM91" i="50"/>
  <c r="AM126" i="51"/>
  <c r="AM125" i="51"/>
  <c r="AM124" i="51"/>
  <c r="AM123" i="51"/>
  <c r="AM122" i="51"/>
  <c r="AM121" i="51"/>
  <c r="AM120" i="51"/>
  <c r="AM119" i="51"/>
  <c r="AM118" i="51"/>
  <c r="AM117" i="51"/>
  <c r="AM116" i="51"/>
  <c r="AM115" i="51"/>
  <c r="AM114" i="51"/>
  <c r="AM113" i="51"/>
  <c r="AM112" i="51"/>
  <c r="AM111" i="51"/>
  <c r="AM110" i="51"/>
  <c r="AM109" i="51"/>
  <c r="AM108" i="51"/>
  <c r="AM107" i="51"/>
  <c r="AM106" i="51"/>
  <c r="AM105" i="51"/>
  <c r="AM104" i="51"/>
  <c r="AM102" i="51"/>
  <c r="AM101" i="51"/>
  <c r="AM100" i="51"/>
  <c r="AM99" i="51"/>
  <c r="AM98" i="51"/>
  <c r="AM97" i="51"/>
  <c r="AM96" i="51"/>
  <c r="AM95" i="51"/>
  <c r="AM94" i="51"/>
  <c r="AM93" i="51"/>
  <c r="AM92" i="51"/>
  <c r="AM91" i="51"/>
  <c r="AM126" i="52"/>
  <c r="AM125" i="52"/>
  <c r="AM124" i="52"/>
  <c r="AM123" i="52"/>
  <c r="AM122" i="52"/>
  <c r="AM121" i="52"/>
  <c r="AM120" i="52"/>
  <c r="AM119" i="52"/>
  <c r="AM118" i="52"/>
  <c r="AM117" i="52"/>
  <c r="AM116" i="52"/>
  <c r="AM115" i="52"/>
  <c r="AM114" i="52"/>
  <c r="AM113" i="52"/>
  <c r="AM112" i="52"/>
  <c r="AM111" i="52"/>
  <c r="AM110" i="52"/>
  <c r="AM109" i="52"/>
  <c r="AM108" i="52"/>
  <c r="AM107" i="52"/>
  <c r="AM106" i="52"/>
  <c r="AM105" i="52"/>
  <c r="AM104" i="52"/>
  <c r="AM102" i="52"/>
  <c r="AM101" i="52"/>
  <c r="AM100" i="52"/>
  <c r="AM99" i="52"/>
  <c r="AM98" i="52"/>
  <c r="AM97" i="52"/>
  <c r="AM96" i="52"/>
  <c r="AM95" i="52"/>
  <c r="AM94" i="52"/>
  <c r="AM93" i="52"/>
  <c r="AM92" i="52"/>
  <c r="AM91" i="52"/>
  <c r="AM126" i="44"/>
  <c r="AM125" i="44"/>
  <c r="AM124" i="44"/>
  <c r="AM123" i="44"/>
  <c r="AM122" i="44"/>
  <c r="AM121" i="44"/>
  <c r="AM120" i="44"/>
  <c r="AM119" i="44"/>
  <c r="AM118" i="44"/>
  <c r="AM117" i="44"/>
  <c r="AM116" i="44"/>
  <c r="AM115" i="44"/>
  <c r="AM114" i="44"/>
  <c r="AM113" i="44"/>
  <c r="AM112" i="44"/>
  <c r="AM111" i="44"/>
  <c r="AM110" i="44"/>
  <c r="AM109" i="44"/>
  <c r="AM108" i="44"/>
  <c r="AM107" i="44"/>
  <c r="AM106" i="44"/>
  <c r="AM105" i="44"/>
  <c r="AM104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H126" i="45"/>
  <c r="AH125" i="45"/>
  <c r="AH124" i="45"/>
  <c r="AH123" i="45"/>
  <c r="AH122" i="45"/>
  <c r="AH121" i="45"/>
  <c r="AH120" i="45"/>
  <c r="AH119" i="45"/>
  <c r="AH118" i="45"/>
  <c r="AH117" i="45"/>
  <c r="AH116" i="45"/>
  <c r="AH115" i="45"/>
  <c r="AH114" i="45"/>
  <c r="AH113" i="45"/>
  <c r="AH112" i="45"/>
  <c r="AH111" i="45"/>
  <c r="AH110" i="45"/>
  <c r="AH109" i="45"/>
  <c r="AH108" i="45"/>
  <c r="AH107" i="45"/>
  <c r="AH106" i="45"/>
  <c r="AH105" i="45"/>
  <c r="AH104" i="45"/>
  <c r="AH102" i="45"/>
  <c r="AH101" i="45"/>
  <c r="AH100" i="45"/>
  <c r="AH99" i="45"/>
  <c r="AH98" i="45"/>
  <c r="AH97" i="45"/>
  <c r="AH96" i="45"/>
  <c r="AH95" i="45"/>
  <c r="AH94" i="45"/>
  <c r="AH93" i="45"/>
  <c r="AH92" i="45"/>
  <c r="AH91" i="45"/>
  <c r="AH126" i="46"/>
  <c r="AH125" i="46"/>
  <c r="AH124" i="46"/>
  <c r="AH123" i="46"/>
  <c r="AH122" i="46"/>
  <c r="AH121" i="46"/>
  <c r="AH120" i="46"/>
  <c r="AH119" i="46"/>
  <c r="AH118" i="46"/>
  <c r="AH117" i="46"/>
  <c r="AH116" i="46"/>
  <c r="AH115" i="46"/>
  <c r="AH114" i="46"/>
  <c r="AH113" i="46"/>
  <c r="AH112" i="46"/>
  <c r="AH111" i="46"/>
  <c r="AH110" i="46"/>
  <c r="AH109" i="46"/>
  <c r="AH108" i="46"/>
  <c r="AH107" i="46"/>
  <c r="AH106" i="46"/>
  <c r="AH105" i="46"/>
  <c r="AH104" i="46"/>
  <c r="AH102" i="46"/>
  <c r="AH101" i="46"/>
  <c r="AH100" i="46"/>
  <c r="AH99" i="46"/>
  <c r="AH98" i="46"/>
  <c r="AH97" i="46"/>
  <c r="AH96" i="46"/>
  <c r="AH95" i="46"/>
  <c r="AH94" i="46"/>
  <c r="AH93" i="46"/>
  <c r="AH92" i="46"/>
  <c r="AH91" i="46"/>
  <c r="AH126" i="47"/>
  <c r="AH125" i="47"/>
  <c r="AH124" i="47"/>
  <c r="AH123" i="47"/>
  <c r="AH122" i="47"/>
  <c r="AH121" i="47"/>
  <c r="AH120" i="47"/>
  <c r="AH119" i="47"/>
  <c r="AH118" i="47"/>
  <c r="AH117" i="47"/>
  <c r="AH116" i="47"/>
  <c r="AH115" i="47"/>
  <c r="AH114" i="47"/>
  <c r="AH113" i="47"/>
  <c r="AH112" i="47"/>
  <c r="AH111" i="47"/>
  <c r="AH110" i="47"/>
  <c r="AH109" i="47"/>
  <c r="AH108" i="47"/>
  <c r="AH107" i="47"/>
  <c r="AH106" i="47"/>
  <c r="AH105" i="47"/>
  <c r="AH104" i="47"/>
  <c r="AH102" i="47"/>
  <c r="AH101" i="47"/>
  <c r="AH100" i="47"/>
  <c r="AH99" i="47"/>
  <c r="AH98" i="47"/>
  <c r="AH97" i="47"/>
  <c r="AH96" i="47"/>
  <c r="AH95" i="47"/>
  <c r="AH94" i="47"/>
  <c r="AH93" i="47"/>
  <c r="AH92" i="47"/>
  <c r="AH91" i="47"/>
  <c r="AH126" i="48"/>
  <c r="AH125" i="48"/>
  <c r="AH124" i="48"/>
  <c r="AH123" i="48"/>
  <c r="AH122" i="48"/>
  <c r="AH121" i="48"/>
  <c r="AH120" i="48"/>
  <c r="AH119" i="48"/>
  <c r="AH118" i="48"/>
  <c r="AH117" i="48"/>
  <c r="AH116" i="48"/>
  <c r="AH115" i="48"/>
  <c r="AH114" i="48"/>
  <c r="AH113" i="48"/>
  <c r="AH112" i="48"/>
  <c r="AH111" i="48"/>
  <c r="AH110" i="48"/>
  <c r="AH109" i="48"/>
  <c r="AH108" i="48"/>
  <c r="AH107" i="48"/>
  <c r="AH106" i="48"/>
  <c r="AH105" i="48"/>
  <c r="AH104" i="48"/>
  <c r="AH102" i="48"/>
  <c r="AH101" i="48"/>
  <c r="AH100" i="48"/>
  <c r="AH99" i="48"/>
  <c r="AH98" i="48"/>
  <c r="AH97" i="48"/>
  <c r="AH96" i="48"/>
  <c r="AH95" i="48"/>
  <c r="AH94" i="48"/>
  <c r="AH93" i="48"/>
  <c r="AH92" i="48"/>
  <c r="AH91" i="48"/>
  <c r="AH126" i="49"/>
  <c r="AH125" i="49"/>
  <c r="AH124" i="49"/>
  <c r="AH123" i="49"/>
  <c r="AH122" i="49"/>
  <c r="AH121" i="49"/>
  <c r="AH120" i="49"/>
  <c r="AH119" i="49"/>
  <c r="AH118" i="49"/>
  <c r="AH117" i="49"/>
  <c r="AH116" i="49"/>
  <c r="AH115" i="49"/>
  <c r="AH114" i="49"/>
  <c r="AH113" i="49"/>
  <c r="AH112" i="49"/>
  <c r="AH111" i="49"/>
  <c r="AH110" i="49"/>
  <c r="AH109" i="49"/>
  <c r="AH108" i="49"/>
  <c r="AH107" i="49"/>
  <c r="AH106" i="49"/>
  <c r="AH105" i="49"/>
  <c r="AH104" i="49"/>
  <c r="AH102" i="49"/>
  <c r="AH101" i="49"/>
  <c r="AH100" i="49"/>
  <c r="AH99" i="49"/>
  <c r="AH98" i="49"/>
  <c r="AH97" i="49"/>
  <c r="AH96" i="49"/>
  <c r="AH95" i="49"/>
  <c r="AH94" i="49"/>
  <c r="AH93" i="49"/>
  <c r="AH92" i="49"/>
  <c r="AH91" i="49"/>
  <c r="AH126" i="50"/>
  <c r="AH125" i="50"/>
  <c r="AH124" i="50"/>
  <c r="AH123" i="50"/>
  <c r="AH122" i="50"/>
  <c r="AH121" i="50"/>
  <c r="AH120" i="50"/>
  <c r="AH119" i="50"/>
  <c r="AH118" i="50"/>
  <c r="AH117" i="50"/>
  <c r="AH116" i="50"/>
  <c r="AH115" i="50"/>
  <c r="AH114" i="50"/>
  <c r="AH113" i="50"/>
  <c r="AH112" i="50"/>
  <c r="AH111" i="50"/>
  <c r="AH110" i="50"/>
  <c r="AH109" i="50"/>
  <c r="AH108" i="50"/>
  <c r="AH107" i="50"/>
  <c r="AH106" i="50"/>
  <c r="AH105" i="50"/>
  <c r="AH104" i="50"/>
  <c r="AH102" i="50"/>
  <c r="AH101" i="50"/>
  <c r="AH100" i="50"/>
  <c r="AH99" i="50"/>
  <c r="AH98" i="50"/>
  <c r="AH97" i="50"/>
  <c r="AH96" i="50"/>
  <c r="AH95" i="50"/>
  <c r="AH94" i="50"/>
  <c r="AH93" i="50"/>
  <c r="AH92" i="50"/>
  <c r="AH91" i="50"/>
  <c r="AH126" i="51"/>
  <c r="AH125" i="51"/>
  <c r="AH124" i="51"/>
  <c r="AH123" i="51"/>
  <c r="AH122" i="51"/>
  <c r="AH121" i="51"/>
  <c r="AH120" i="51"/>
  <c r="AH119" i="51"/>
  <c r="AH118" i="51"/>
  <c r="AH117" i="51"/>
  <c r="AH116" i="51"/>
  <c r="AH115" i="51"/>
  <c r="AH114" i="51"/>
  <c r="AH113" i="51"/>
  <c r="AH112" i="51"/>
  <c r="AH111" i="51"/>
  <c r="AH110" i="51"/>
  <c r="AH109" i="51"/>
  <c r="AH108" i="51"/>
  <c r="AH107" i="51"/>
  <c r="AH106" i="51"/>
  <c r="AH105" i="51"/>
  <c r="AH104" i="51"/>
  <c r="AH102" i="51"/>
  <c r="AH101" i="51"/>
  <c r="AH100" i="51"/>
  <c r="AH99" i="51"/>
  <c r="AH98" i="51"/>
  <c r="AH97" i="51"/>
  <c r="AH96" i="51"/>
  <c r="AH95" i="51"/>
  <c r="AH94" i="51"/>
  <c r="AH93" i="51"/>
  <c r="AH92" i="51"/>
  <c r="AH91" i="51"/>
  <c r="AH126" i="52"/>
  <c r="AH125" i="52"/>
  <c r="AH124" i="52"/>
  <c r="AH123" i="52"/>
  <c r="AH122" i="52"/>
  <c r="AH121" i="52"/>
  <c r="AH120" i="52"/>
  <c r="AH119" i="52"/>
  <c r="AH118" i="52"/>
  <c r="AH117" i="52"/>
  <c r="AH116" i="52"/>
  <c r="AH115" i="52"/>
  <c r="AH114" i="52"/>
  <c r="AH113" i="52"/>
  <c r="AH112" i="52"/>
  <c r="AH111" i="52"/>
  <c r="AH110" i="52"/>
  <c r="AH109" i="52"/>
  <c r="AH108" i="52"/>
  <c r="AH107" i="52"/>
  <c r="AH106" i="52"/>
  <c r="AH105" i="52"/>
  <c r="AH104" i="52"/>
  <c r="AH102" i="52"/>
  <c r="AH101" i="52"/>
  <c r="AH100" i="52"/>
  <c r="AH99" i="52"/>
  <c r="AH98" i="52"/>
  <c r="AH97" i="52"/>
  <c r="AH96" i="52"/>
  <c r="AH95" i="52"/>
  <c r="AH94" i="52"/>
  <c r="AH93" i="52"/>
  <c r="AH92" i="52"/>
  <c r="AH91" i="52"/>
  <c r="AH126" i="44"/>
  <c r="AH125" i="44"/>
  <c r="AH124" i="44"/>
  <c r="AH123" i="44"/>
  <c r="AH122" i="44"/>
  <c r="AH121" i="44"/>
  <c r="AH120" i="44"/>
  <c r="AH119" i="44"/>
  <c r="AH118" i="44"/>
  <c r="AH117" i="44"/>
  <c r="AH116" i="44"/>
  <c r="AH115" i="44"/>
  <c r="AH114" i="44"/>
  <c r="AH113" i="44"/>
  <c r="AH112" i="44"/>
  <c r="AH111" i="44"/>
  <c r="AH110" i="44"/>
  <c r="AH109" i="44"/>
  <c r="AH108" i="44"/>
  <c r="AH107" i="44"/>
  <c r="AH106" i="44"/>
  <c r="AH105" i="44"/>
  <c r="AH104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C126" i="45"/>
  <c r="AC125" i="45"/>
  <c r="AC124" i="45"/>
  <c r="AC123" i="45"/>
  <c r="AC122" i="45"/>
  <c r="AC121" i="45"/>
  <c r="AC120" i="45"/>
  <c r="AC119" i="45"/>
  <c r="AC118" i="45"/>
  <c r="AC117" i="45"/>
  <c r="AC116" i="45"/>
  <c r="AC115" i="45"/>
  <c r="AC114" i="45"/>
  <c r="AC113" i="45"/>
  <c r="AC112" i="45"/>
  <c r="AC111" i="45"/>
  <c r="AC110" i="45"/>
  <c r="AC109" i="45"/>
  <c r="AC108" i="45"/>
  <c r="AC107" i="45"/>
  <c r="AC106" i="45"/>
  <c r="AC105" i="45"/>
  <c r="AC104" i="45"/>
  <c r="AC102" i="45"/>
  <c r="AC101" i="45"/>
  <c r="AC100" i="45"/>
  <c r="AC99" i="45"/>
  <c r="AC98" i="45"/>
  <c r="AC97" i="45"/>
  <c r="AC96" i="45"/>
  <c r="AC95" i="45"/>
  <c r="AC94" i="45"/>
  <c r="AC93" i="45"/>
  <c r="AC92" i="45"/>
  <c r="AC91" i="45"/>
  <c r="AC126" i="46"/>
  <c r="AC125" i="46"/>
  <c r="AC124" i="46"/>
  <c r="AC123" i="46"/>
  <c r="AC122" i="46"/>
  <c r="AC121" i="46"/>
  <c r="AC120" i="46"/>
  <c r="AC119" i="46"/>
  <c r="AC118" i="46"/>
  <c r="AC117" i="46"/>
  <c r="AC116" i="46"/>
  <c r="AC115" i="46"/>
  <c r="AC114" i="46"/>
  <c r="AC113" i="46"/>
  <c r="AC112" i="46"/>
  <c r="AC111" i="46"/>
  <c r="AC110" i="46"/>
  <c r="AC109" i="46"/>
  <c r="AC108" i="46"/>
  <c r="AC107" i="46"/>
  <c r="AC106" i="46"/>
  <c r="AC105" i="46"/>
  <c r="AC104" i="46"/>
  <c r="AC102" i="46"/>
  <c r="AC101" i="46"/>
  <c r="AC100" i="46"/>
  <c r="AC99" i="46"/>
  <c r="AC98" i="46"/>
  <c r="AC97" i="46"/>
  <c r="AC96" i="46"/>
  <c r="AC95" i="46"/>
  <c r="AC94" i="46"/>
  <c r="AC93" i="46"/>
  <c r="AC92" i="46"/>
  <c r="AC91" i="46"/>
  <c r="AC126" i="47"/>
  <c r="AC125" i="47"/>
  <c r="AC124" i="47"/>
  <c r="AC123" i="47"/>
  <c r="AC122" i="47"/>
  <c r="AC121" i="47"/>
  <c r="AC120" i="47"/>
  <c r="AC119" i="47"/>
  <c r="AC118" i="47"/>
  <c r="AC117" i="47"/>
  <c r="AC116" i="47"/>
  <c r="AC115" i="47"/>
  <c r="AC114" i="47"/>
  <c r="AC113" i="47"/>
  <c r="AC112" i="47"/>
  <c r="AC111" i="47"/>
  <c r="AC110" i="47"/>
  <c r="AC109" i="47"/>
  <c r="AC108" i="47"/>
  <c r="AC107" i="47"/>
  <c r="AC106" i="47"/>
  <c r="AC105" i="47"/>
  <c r="AC104" i="47"/>
  <c r="AC102" i="47"/>
  <c r="AC101" i="47"/>
  <c r="AC100" i="47"/>
  <c r="AC99" i="47"/>
  <c r="AC98" i="47"/>
  <c r="AC97" i="47"/>
  <c r="AC96" i="47"/>
  <c r="AC95" i="47"/>
  <c r="AC94" i="47"/>
  <c r="AC93" i="47"/>
  <c r="AC92" i="47"/>
  <c r="AC91" i="47"/>
  <c r="AC126" i="48"/>
  <c r="AC125" i="48"/>
  <c r="AC124" i="48"/>
  <c r="AC123" i="48"/>
  <c r="AC122" i="48"/>
  <c r="AC121" i="48"/>
  <c r="AC120" i="48"/>
  <c r="AC119" i="48"/>
  <c r="AC118" i="48"/>
  <c r="AC117" i="48"/>
  <c r="AC116" i="48"/>
  <c r="AC115" i="48"/>
  <c r="AC114" i="48"/>
  <c r="AC113" i="48"/>
  <c r="AC112" i="48"/>
  <c r="AC111" i="48"/>
  <c r="AC110" i="48"/>
  <c r="AC109" i="48"/>
  <c r="AC108" i="48"/>
  <c r="AC107" i="48"/>
  <c r="AC106" i="48"/>
  <c r="AC105" i="48"/>
  <c r="AC104" i="48"/>
  <c r="AC102" i="48"/>
  <c r="AC101" i="48"/>
  <c r="AC100" i="48"/>
  <c r="AC99" i="48"/>
  <c r="AC98" i="48"/>
  <c r="AC97" i="48"/>
  <c r="AC96" i="48"/>
  <c r="AC95" i="48"/>
  <c r="AC94" i="48"/>
  <c r="AC93" i="48"/>
  <c r="AC92" i="48"/>
  <c r="AC91" i="48"/>
  <c r="AC126" i="49"/>
  <c r="AC125" i="49"/>
  <c r="AC124" i="49"/>
  <c r="AC123" i="49"/>
  <c r="AC122" i="49"/>
  <c r="AC121" i="49"/>
  <c r="AC120" i="49"/>
  <c r="AC119" i="49"/>
  <c r="AC118" i="49"/>
  <c r="AC117" i="49"/>
  <c r="AC116" i="49"/>
  <c r="AC115" i="49"/>
  <c r="AC114" i="49"/>
  <c r="AC113" i="49"/>
  <c r="AC112" i="49"/>
  <c r="AC111" i="49"/>
  <c r="AC110" i="49"/>
  <c r="AC109" i="49"/>
  <c r="AC108" i="49"/>
  <c r="AC107" i="49"/>
  <c r="AC106" i="49"/>
  <c r="AC105" i="49"/>
  <c r="AC104" i="49"/>
  <c r="AC102" i="49"/>
  <c r="AC101" i="49"/>
  <c r="AC100" i="49"/>
  <c r="AC99" i="49"/>
  <c r="AC98" i="49"/>
  <c r="AC97" i="49"/>
  <c r="AC96" i="49"/>
  <c r="AC95" i="49"/>
  <c r="AC94" i="49"/>
  <c r="AC93" i="49"/>
  <c r="AC92" i="49"/>
  <c r="AC91" i="49"/>
  <c r="AC126" i="50"/>
  <c r="AC125" i="50"/>
  <c r="AC124" i="50"/>
  <c r="AC123" i="50"/>
  <c r="AC122" i="50"/>
  <c r="AC121" i="50"/>
  <c r="AC120" i="50"/>
  <c r="AC119" i="50"/>
  <c r="AC118" i="50"/>
  <c r="AC117" i="50"/>
  <c r="AC116" i="50"/>
  <c r="AC115" i="50"/>
  <c r="AC114" i="50"/>
  <c r="AC113" i="50"/>
  <c r="AC112" i="50"/>
  <c r="AC111" i="50"/>
  <c r="AC110" i="50"/>
  <c r="AC109" i="50"/>
  <c r="AC108" i="50"/>
  <c r="AC107" i="50"/>
  <c r="AC106" i="50"/>
  <c r="AC105" i="50"/>
  <c r="AC104" i="50"/>
  <c r="AC102" i="50"/>
  <c r="AC101" i="50"/>
  <c r="AC100" i="50"/>
  <c r="AC99" i="50"/>
  <c r="AC98" i="50"/>
  <c r="AC97" i="50"/>
  <c r="AC96" i="50"/>
  <c r="AC95" i="50"/>
  <c r="AC94" i="50"/>
  <c r="AC93" i="50"/>
  <c r="AC92" i="50"/>
  <c r="AC91" i="50"/>
  <c r="AC126" i="51"/>
  <c r="AC125" i="51"/>
  <c r="AC124" i="51"/>
  <c r="AC123" i="51"/>
  <c r="AC122" i="51"/>
  <c r="AC121" i="51"/>
  <c r="AC120" i="51"/>
  <c r="AC119" i="51"/>
  <c r="AC118" i="51"/>
  <c r="AC117" i="51"/>
  <c r="AC116" i="51"/>
  <c r="AC115" i="51"/>
  <c r="AC114" i="51"/>
  <c r="AC113" i="51"/>
  <c r="AC112" i="51"/>
  <c r="AC111" i="51"/>
  <c r="AC110" i="51"/>
  <c r="AC109" i="51"/>
  <c r="AC108" i="51"/>
  <c r="AC107" i="51"/>
  <c r="AC106" i="51"/>
  <c r="AC105" i="51"/>
  <c r="AC104" i="51"/>
  <c r="AC102" i="51"/>
  <c r="AC101" i="51"/>
  <c r="AC100" i="51"/>
  <c r="AC99" i="51"/>
  <c r="AC98" i="51"/>
  <c r="AC97" i="51"/>
  <c r="AC96" i="51"/>
  <c r="AC95" i="51"/>
  <c r="AC94" i="51"/>
  <c r="AC93" i="51"/>
  <c r="AC92" i="51"/>
  <c r="AC91" i="51"/>
  <c r="AC126" i="52"/>
  <c r="AC125" i="52"/>
  <c r="AC124" i="52"/>
  <c r="AC123" i="52"/>
  <c r="AC122" i="52"/>
  <c r="AC121" i="52"/>
  <c r="AC120" i="52"/>
  <c r="AC119" i="52"/>
  <c r="AC118" i="52"/>
  <c r="AC117" i="52"/>
  <c r="AC116" i="52"/>
  <c r="AC115" i="52"/>
  <c r="AC114" i="52"/>
  <c r="AC113" i="52"/>
  <c r="AC112" i="52"/>
  <c r="AC111" i="52"/>
  <c r="AC110" i="52"/>
  <c r="AC109" i="52"/>
  <c r="AC108" i="52"/>
  <c r="AC107" i="52"/>
  <c r="AC106" i="52"/>
  <c r="AC105" i="52"/>
  <c r="AC104" i="52"/>
  <c r="AC102" i="52"/>
  <c r="AC101" i="52"/>
  <c r="AC100" i="52"/>
  <c r="AC99" i="52"/>
  <c r="AC98" i="52"/>
  <c r="AC97" i="52"/>
  <c r="AC96" i="52"/>
  <c r="AC95" i="52"/>
  <c r="AC94" i="52"/>
  <c r="AC93" i="52"/>
  <c r="AC92" i="52"/>
  <c r="AC91" i="52"/>
  <c r="AC126" i="44"/>
  <c r="AC125" i="44"/>
  <c r="AC124" i="44"/>
  <c r="AC123" i="44"/>
  <c r="AC122" i="44"/>
  <c r="AC121" i="44"/>
  <c r="AC120" i="44"/>
  <c r="AC119" i="44"/>
  <c r="AC118" i="44"/>
  <c r="AC117" i="44"/>
  <c r="AC116" i="44"/>
  <c r="AC115" i="44"/>
  <c r="AC114" i="44"/>
  <c r="AC113" i="44"/>
  <c r="AC112" i="44"/>
  <c r="AC111" i="44"/>
  <c r="AC110" i="44"/>
  <c r="AC109" i="44"/>
  <c r="AC108" i="44"/>
  <c r="AC107" i="44"/>
  <c r="AC106" i="44"/>
  <c r="AC105" i="44"/>
  <c r="AC104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X126" i="45"/>
  <c r="X125" i="45"/>
  <c r="X124" i="45"/>
  <c r="X123" i="45"/>
  <c r="X122" i="45"/>
  <c r="X121" i="45"/>
  <c r="X120" i="45"/>
  <c r="X119" i="45"/>
  <c r="X118" i="45"/>
  <c r="X117" i="45"/>
  <c r="X116" i="45"/>
  <c r="X115" i="45"/>
  <c r="X114" i="45"/>
  <c r="X113" i="45"/>
  <c r="X112" i="45"/>
  <c r="X111" i="45"/>
  <c r="X110" i="45"/>
  <c r="X109" i="45"/>
  <c r="X108" i="45"/>
  <c r="X107" i="45"/>
  <c r="X106" i="45"/>
  <c r="X105" i="45"/>
  <c r="X104" i="45"/>
  <c r="X102" i="45"/>
  <c r="X101" i="45"/>
  <c r="X100" i="45"/>
  <c r="X99" i="45"/>
  <c r="X98" i="45"/>
  <c r="X97" i="45"/>
  <c r="X96" i="45"/>
  <c r="X95" i="45"/>
  <c r="X94" i="45"/>
  <c r="X93" i="45"/>
  <c r="X92" i="45"/>
  <c r="X91" i="45"/>
  <c r="X126" i="46"/>
  <c r="X125" i="46"/>
  <c r="X124" i="46"/>
  <c r="X123" i="46"/>
  <c r="X122" i="46"/>
  <c r="X121" i="46"/>
  <c r="X120" i="46"/>
  <c r="X119" i="46"/>
  <c r="X118" i="46"/>
  <c r="X117" i="46"/>
  <c r="X116" i="46"/>
  <c r="X115" i="46"/>
  <c r="X114" i="46"/>
  <c r="X113" i="46"/>
  <c r="X112" i="46"/>
  <c r="X111" i="46"/>
  <c r="X110" i="46"/>
  <c r="X109" i="46"/>
  <c r="X108" i="46"/>
  <c r="X107" i="46"/>
  <c r="X106" i="46"/>
  <c r="X105" i="46"/>
  <c r="X104" i="46"/>
  <c r="X102" i="46"/>
  <c r="X101" i="46"/>
  <c r="X100" i="46"/>
  <c r="X99" i="46"/>
  <c r="X98" i="46"/>
  <c r="X97" i="46"/>
  <c r="X96" i="46"/>
  <c r="X95" i="46"/>
  <c r="X94" i="46"/>
  <c r="X93" i="46"/>
  <c r="X92" i="46"/>
  <c r="X91" i="46"/>
  <c r="X126" i="47"/>
  <c r="X125" i="47"/>
  <c r="X124" i="47"/>
  <c r="X123" i="47"/>
  <c r="X122" i="47"/>
  <c r="X121" i="47"/>
  <c r="X120" i="47"/>
  <c r="X119" i="47"/>
  <c r="X118" i="47"/>
  <c r="X117" i="47"/>
  <c r="X116" i="47"/>
  <c r="X115" i="47"/>
  <c r="X114" i="47"/>
  <c r="X113" i="47"/>
  <c r="X112" i="47"/>
  <c r="X111" i="47"/>
  <c r="X110" i="47"/>
  <c r="X109" i="47"/>
  <c r="X108" i="47"/>
  <c r="X107" i="47"/>
  <c r="X106" i="47"/>
  <c r="X105" i="47"/>
  <c r="X104" i="47"/>
  <c r="X102" i="47"/>
  <c r="X101" i="47"/>
  <c r="X100" i="47"/>
  <c r="X99" i="47"/>
  <c r="X98" i="47"/>
  <c r="X97" i="47"/>
  <c r="X96" i="47"/>
  <c r="X95" i="47"/>
  <c r="X94" i="47"/>
  <c r="X93" i="47"/>
  <c r="X92" i="47"/>
  <c r="X91" i="47"/>
  <c r="X126" i="48"/>
  <c r="X125" i="48"/>
  <c r="X124" i="48"/>
  <c r="X123" i="48"/>
  <c r="X122" i="48"/>
  <c r="X121" i="48"/>
  <c r="X120" i="48"/>
  <c r="X119" i="48"/>
  <c r="X118" i="48"/>
  <c r="X117" i="48"/>
  <c r="X116" i="48"/>
  <c r="X115" i="48"/>
  <c r="X114" i="48"/>
  <c r="X113" i="48"/>
  <c r="X112" i="48"/>
  <c r="X111" i="48"/>
  <c r="X110" i="48"/>
  <c r="X109" i="48"/>
  <c r="X108" i="48"/>
  <c r="X107" i="48"/>
  <c r="X106" i="48"/>
  <c r="X105" i="48"/>
  <c r="X104" i="48"/>
  <c r="X102" i="48"/>
  <c r="X101" i="48"/>
  <c r="X100" i="48"/>
  <c r="X99" i="48"/>
  <c r="X98" i="48"/>
  <c r="X97" i="48"/>
  <c r="X96" i="48"/>
  <c r="X95" i="48"/>
  <c r="X94" i="48"/>
  <c r="X93" i="48"/>
  <c r="X92" i="48"/>
  <c r="X91" i="48"/>
  <c r="X126" i="49"/>
  <c r="X125" i="49"/>
  <c r="X124" i="49"/>
  <c r="X123" i="49"/>
  <c r="X122" i="49"/>
  <c r="X121" i="49"/>
  <c r="X120" i="49"/>
  <c r="X119" i="49"/>
  <c r="X118" i="49"/>
  <c r="X117" i="49"/>
  <c r="X116" i="49"/>
  <c r="X115" i="49"/>
  <c r="X114" i="49"/>
  <c r="X113" i="49"/>
  <c r="X112" i="49"/>
  <c r="X111" i="49"/>
  <c r="X110" i="49"/>
  <c r="X109" i="49"/>
  <c r="X108" i="49"/>
  <c r="X107" i="49"/>
  <c r="X106" i="49"/>
  <c r="X105" i="49"/>
  <c r="X104" i="49"/>
  <c r="X102" i="49"/>
  <c r="X101" i="49"/>
  <c r="X100" i="49"/>
  <c r="X99" i="49"/>
  <c r="X98" i="49"/>
  <c r="X97" i="49"/>
  <c r="X96" i="49"/>
  <c r="X95" i="49"/>
  <c r="X94" i="49"/>
  <c r="X93" i="49"/>
  <c r="X92" i="49"/>
  <c r="X91" i="49"/>
  <c r="X126" i="50"/>
  <c r="X125" i="50"/>
  <c r="X124" i="50"/>
  <c r="X123" i="50"/>
  <c r="X122" i="50"/>
  <c r="X121" i="50"/>
  <c r="X120" i="50"/>
  <c r="X119" i="50"/>
  <c r="X118" i="50"/>
  <c r="X117" i="50"/>
  <c r="X116" i="50"/>
  <c r="X115" i="50"/>
  <c r="X114" i="50"/>
  <c r="X113" i="50"/>
  <c r="X112" i="50"/>
  <c r="X111" i="50"/>
  <c r="X110" i="50"/>
  <c r="X109" i="50"/>
  <c r="X108" i="50"/>
  <c r="X107" i="50"/>
  <c r="X106" i="50"/>
  <c r="X105" i="50"/>
  <c r="X104" i="50"/>
  <c r="X102" i="50"/>
  <c r="X101" i="50"/>
  <c r="X100" i="50"/>
  <c r="X99" i="50"/>
  <c r="X98" i="50"/>
  <c r="X97" i="50"/>
  <c r="X96" i="50"/>
  <c r="X95" i="50"/>
  <c r="X94" i="50"/>
  <c r="X93" i="50"/>
  <c r="X92" i="50"/>
  <c r="X91" i="50"/>
  <c r="X126" i="51"/>
  <c r="X125" i="51"/>
  <c r="X124" i="51"/>
  <c r="X123" i="51"/>
  <c r="X122" i="51"/>
  <c r="X121" i="51"/>
  <c r="X120" i="51"/>
  <c r="X119" i="51"/>
  <c r="X118" i="51"/>
  <c r="X117" i="51"/>
  <c r="X116" i="51"/>
  <c r="X115" i="51"/>
  <c r="X114" i="51"/>
  <c r="X113" i="51"/>
  <c r="X112" i="51"/>
  <c r="X111" i="51"/>
  <c r="X110" i="51"/>
  <c r="X109" i="51"/>
  <c r="X108" i="51"/>
  <c r="X107" i="51"/>
  <c r="X106" i="51"/>
  <c r="X105" i="51"/>
  <c r="X104" i="51"/>
  <c r="X102" i="51"/>
  <c r="X101" i="51"/>
  <c r="X100" i="51"/>
  <c r="X99" i="51"/>
  <c r="X98" i="51"/>
  <c r="X97" i="51"/>
  <c r="X96" i="51"/>
  <c r="X95" i="51"/>
  <c r="X94" i="51"/>
  <c r="X93" i="51"/>
  <c r="X92" i="51"/>
  <c r="X91" i="51"/>
  <c r="X126" i="52"/>
  <c r="X125" i="52"/>
  <c r="X124" i="52"/>
  <c r="X123" i="52"/>
  <c r="X122" i="52"/>
  <c r="X121" i="52"/>
  <c r="X120" i="52"/>
  <c r="X119" i="52"/>
  <c r="X118" i="52"/>
  <c r="X117" i="52"/>
  <c r="X116" i="52"/>
  <c r="X115" i="52"/>
  <c r="X114" i="52"/>
  <c r="X113" i="52"/>
  <c r="X112" i="52"/>
  <c r="X111" i="52"/>
  <c r="X110" i="52"/>
  <c r="X109" i="52"/>
  <c r="X108" i="52"/>
  <c r="X107" i="52"/>
  <c r="X106" i="52"/>
  <c r="X105" i="52"/>
  <c r="X104" i="52"/>
  <c r="X102" i="52"/>
  <c r="X101" i="52"/>
  <c r="X100" i="52"/>
  <c r="X99" i="52"/>
  <c r="X98" i="52"/>
  <c r="X97" i="52"/>
  <c r="X96" i="52"/>
  <c r="X95" i="52"/>
  <c r="X94" i="52"/>
  <c r="X93" i="52"/>
  <c r="X92" i="52"/>
  <c r="X91" i="52"/>
  <c r="X126" i="44"/>
  <c r="X125" i="44"/>
  <c r="X124" i="44"/>
  <c r="X123" i="44"/>
  <c r="X122" i="44"/>
  <c r="X121" i="44"/>
  <c r="X120" i="44"/>
  <c r="X119" i="44"/>
  <c r="X118" i="44"/>
  <c r="X117" i="44"/>
  <c r="X116" i="44"/>
  <c r="X115" i="44"/>
  <c r="X114" i="44"/>
  <c r="X113" i="44"/>
  <c r="X112" i="44"/>
  <c r="X111" i="44"/>
  <c r="X110" i="44"/>
  <c r="X109" i="44"/>
  <c r="X108" i="44"/>
  <c r="X107" i="44"/>
  <c r="X106" i="44"/>
  <c r="X105" i="44"/>
  <c r="X104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S92" i="45"/>
  <c r="S93" i="45"/>
  <c r="S94" i="45"/>
  <c r="S95" i="45"/>
  <c r="S96" i="45"/>
  <c r="S97" i="45"/>
  <c r="S98" i="45"/>
  <c r="S99" i="45"/>
  <c r="S100" i="45"/>
  <c r="S101" i="45"/>
  <c r="S102" i="45"/>
  <c r="S103" i="45"/>
  <c r="S104" i="45"/>
  <c r="S105" i="45"/>
  <c r="S106" i="45"/>
  <c r="S107" i="45"/>
  <c r="S108" i="45"/>
  <c r="S109" i="45"/>
  <c r="S110" i="45"/>
  <c r="S111" i="45"/>
  <c r="S112" i="45"/>
  <c r="S113" i="45"/>
  <c r="S114" i="45"/>
  <c r="S115" i="45"/>
  <c r="S116" i="45"/>
  <c r="S117" i="45"/>
  <c r="S118" i="45"/>
  <c r="S119" i="45"/>
  <c r="S120" i="45"/>
  <c r="S121" i="45"/>
  <c r="S122" i="45"/>
  <c r="S123" i="45"/>
  <c r="S124" i="45"/>
  <c r="S125" i="45"/>
  <c r="S126" i="45"/>
  <c r="S92" i="46"/>
  <c r="S93" i="46"/>
  <c r="S94" i="46"/>
  <c r="S95" i="46"/>
  <c r="S96" i="46"/>
  <c r="S97" i="46"/>
  <c r="S98" i="46"/>
  <c r="S99" i="46"/>
  <c r="S100" i="46"/>
  <c r="S101" i="46"/>
  <c r="S102" i="46"/>
  <c r="S103" i="46"/>
  <c r="S104" i="46"/>
  <c r="S105" i="46"/>
  <c r="S106" i="46"/>
  <c r="S107" i="46"/>
  <c r="S108" i="46"/>
  <c r="S109" i="46"/>
  <c r="S110" i="46"/>
  <c r="S111" i="46"/>
  <c r="S112" i="46"/>
  <c r="S113" i="46"/>
  <c r="S114" i="46"/>
  <c r="S115" i="46"/>
  <c r="S116" i="46"/>
  <c r="S117" i="46"/>
  <c r="S118" i="46"/>
  <c r="S119" i="46"/>
  <c r="S120" i="46"/>
  <c r="S121" i="46"/>
  <c r="S122" i="46"/>
  <c r="S123" i="46"/>
  <c r="S124" i="46"/>
  <c r="S125" i="46"/>
  <c r="S126" i="46"/>
  <c r="S92" i="47"/>
  <c r="S93" i="47"/>
  <c r="S94" i="47"/>
  <c r="S95" i="47"/>
  <c r="S96" i="47"/>
  <c r="S97" i="47"/>
  <c r="S98" i="47"/>
  <c r="S99" i="47"/>
  <c r="S100" i="47"/>
  <c r="S101" i="47"/>
  <c r="S102" i="47"/>
  <c r="S103" i="47"/>
  <c r="S104" i="47"/>
  <c r="S105" i="47"/>
  <c r="S106" i="47"/>
  <c r="S107" i="47"/>
  <c r="S108" i="47"/>
  <c r="S109" i="47"/>
  <c r="S110" i="47"/>
  <c r="S111" i="47"/>
  <c r="S112" i="47"/>
  <c r="S113" i="47"/>
  <c r="S114" i="47"/>
  <c r="S115" i="47"/>
  <c r="S116" i="47"/>
  <c r="S117" i="47"/>
  <c r="S118" i="47"/>
  <c r="S119" i="47"/>
  <c r="S120" i="47"/>
  <c r="S121" i="47"/>
  <c r="S122" i="47"/>
  <c r="S123" i="47"/>
  <c r="S124" i="47"/>
  <c r="S125" i="47"/>
  <c r="S126" i="47"/>
  <c r="S92" i="48"/>
  <c r="S93" i="48"/>
  <c r="S94" i="48"/>
  <c r="S95" i="48"/>
  <c r="S96" i="48"/>
  <c r="S97" i="48"/>
  <c r="S98" i="48"/>
  <c r="S99" i="48"/>
  <c r="S100" i="48"/>
  <c r="S101" i="48"/>
  <c r="S102" i="48"/>
  <c r="S103" i="48"/>
  <c r="S104" i="48"/>
  <c r="S105" i="48"/>
  <c r="S106" i="48"/>
  <c r="S107" i="48"/>
  <c r="S108" i="48"/>
  <c r="S109" i="48"/>
  <c r="S110" i="48"/>
  <c r="S111" i="48"/>
  <c r="S112" i="48"/>
  <c r="S113" i="48"/>
  <c r="S114" i="48"/>
  <c r="S115" i="48"/>
  <c r="S116" i="48"/>
  <c r="S117" i="48"/>
  <c r="S118" i="48"/>
  <c r="S119" i="48"/>
  <c r="S120" i="48"/>
  <c r="S121" i="48"/>
  <c r="S122" i="48"/>
  <c r="S123" i="48"/>
  <c r="S124" i="48"/>
  <c r="S125" i="48"/>
  <c r="S126" i="48"/>
  <c r="S92" i="49"/>
  <c r="S93" i="49"/>
  <c r="S94" i="49"/>
  <c r="S95" i="49"/>
  <c r="S96" i="49"/>
  <c r="S97" i="49"/>
  <c r="S98" i="49"/>
  <c r="S99" i="49"/>
  <c r="S100" i="49"/>
  <c r="S101" i="49"/>
  <c r="S102" i="49"/>
  <c r="S103" i="49"/>
  <c r="S104" i="49"/>
  <c r="S105" i="49"/>
  <c r="S106" i="49"/>
  <c r="S107" i="49"/>
  <c r="S108" i="49"/>
  <c r="S109" i="49"/>
  <c r="S110" i="49"/>
  <c r="S111" i="49"/>
  <c r="S112" i="49"/>
  <c r="S113" i="49"/>
  <c r="S114" i="49"/>
  <c r="S115" i="49"/>
  <c r="S116" i="49"/>
  <c r="S117" i="49"/>
  <c r="S118" i="49"/>
  <c r="S119" i="49"/>
  <c r="S120" i="49"/>
  <c r="S121" i="49"/>
  <c r="S122" i="49"/>
  <c r="S123" i="49"/>
  <c r="S124" i="49"/>
  <c r="S125" i="49"/>
  <c r="S126" i="49"/>
  <c r="S92" i="50"/>
  <c r="S93" i="50"/>
  <c r="S94" i="50"/>
  <c r="S95" i="50"/>
  <c r="S96" i="50"/>
  <c r="S97" i="50"/>
  <c r="S98" i="50"/>
  <c r="S99" i="50"/>
  <c r="S100" i="50"/>
  <c r="S101" i="50"/>
  <c r="S102" i="50"/>
  <c r="S103" i="50"/>
  <c r="S104" i="50"/>
  <c r="S105" i="50"/>
  <c r="S106" i="50"/>
  <c r="S107" i="50"/>
  <c r="S108" i="50"/>
  <c r="S109" i="50"/>
  <c r="S110" i="50"/>
  <c r="S111" i="50"/>
  <c r="S112" i="50"/>
  <c r="S113" i="50"/>
  <c r="S114" i="50"/>
  <c r="S115" i="50"/>
  <c r="S116" i="50"/>
  <c r="S117" i="50"/>
  <c r="S118" i="50"/>
  <c r="S119" i="50"/>
  <c r="S120" i="50"/>
  <c r="S121" i="50"/>
  <c r="S122" i="50"/>
  <c r="S123" i="50"/>
  <c r="S124" i="50"/>
  <c r="S125" i="50"/>
  <c r="S126" i="50"/>
  <c r="S92" i="51"/>
  <c r="S93" i="51"/>
  <c r="S94" i="51"/>
  <c r="S95" i="51"/>
  <c r="S96" i="51"/>
  <c r="S97" i="51"/>
  <c r="S98" i="51"/>
  <c r="S99" i="51"/>
  <c r="S100" i="51"/>
  <c r="S101" i="51"/>
  <c r="S102" i="51"/>
  <c r="S103" i="51"/>
  <c r="S104" i="51"/>
  <c r="S105" i="51"/>
  <c r="S106" i="51"/>
  <c r="S107" i="51"/>
  <c r="S108" i="51"/>
  <c r="S109" i="51"/>
  <c r="S110" i="51"/>
  <c r="S111" i="51"/>
  <c r="S112" i="51"/>
  <c r="S113" i="51"/>
  <c r="S114" i="51"/>
  <c r="S115" i="51"/>
  <c r="S116" i="51"/>
  <c r="S117" i="51"/>
  <c r="S118" i="51"/>
  <c r="S119" i="51"/>
  <c r="S120" i="51"/>
  <c r="S121" i="51"/>
  <c r="S122" i="51"/>
  <c r="S123" i="51"/>
  <c r="S124" i="51"/>
  <c r="S125" i="51"/>
  <c r="S126" i="51"/>
  <c r="S92" i="52"/>
  <c r="S93" i="52"/>
  <c r="S94" i="52"/>
  <c r="S95" i="52"/>
  <c r="S96" i="52"/>
  <c r="S97" i="52"/>
  <c r="S98" i="52"/>
  <c r="S99" i="52"/>
  <c r="S100" i="52"/>
  <c r="S101" i="52"/>
  <c r="S102" i="52"/>
  <c r="S103" i="52"/>
  <c r="S104" i="52"/>
  <c r="S105" i="52"/>
  <c r="S106" i="52"/>
  <c r="S107" i="52"/>
  <c r="S108" i="52"/>
  <c r="S109" i="52"/>
  <c r="S110" i="52"/>
  <c r="S111" i="52"/>
  <c r="S112" i="52"/>
  <c r="S113" i="52"/>
  <c r="S114" i="52"/>
  <c r="S115" i="52"/>
  <c r="S116" i="52"/>
  <c r="S117" i="52"/>
  <c r="S118" i="52"/>
  <c r="S119" i="52"/>
  <c r="S120" i="52"/>
  <c r="S121" i="52"/>
  <c r="S122" i="52"/>
  <c r="S123" i="52"/>
  <c r="S124" i="52"/>
  <c r="S125" i="52"/>
  <c r="S126" i="52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113" i="44"/>
  <c r="S114" i="44"/>
  <c r="S115" i="44"/>
  <c r="S116" i="44"/>
  <c r="S117" i="44"/>
  <c r="S118" i="44"/>
  <c r="S119" i="44"/>
  <c r="S120" i="44"/>
  <c r="S121" i="44"/>
  <c r="S122" i="44"/>
  <c r="S123" i="44"/>
  <c r="S124" i="44"/>
  <c r="S125" i="44"/>
  <c r="S126" i="44"/>
  <c r="S91" i="45"/>
  <c r="S91" i="46"/>
  <c r="S91" i="47"/>
  <c r="S91" i="48"/>
  <c r="S91" i="49"/>
  <c r="S91" i="50"/>
  <c r="S91" i="51"/>
  <c r="S91" i="52"/>
  <c r="S91" i="44"/>
  <c r="M92" i="45"/>
  <c r="M93" i="45"/>
  <c r="M94" i="45"/>
  <c r="M95" i="45"/>
  <c r="M96" i="45"/>
  <c r="M97" i="45"/>
  <c r="M98" i="45"/>
  <c r="M99" i="45"/>
  <c r="M100" i="45"/>
  <c r="M101" i="45"/>
  <c r="M102" i="45"/>
  <c r="M103" i="45"/>
  <c r="M104" i="45"/>
  <c r="M105" i="45"/>
  <c r="M106" i="45"/>
  <c r="M107" i="45"/>
  <c r="M108" i="45"/>
  <c r="M109" i="45"/>
  <c r="M110" i="45"/>
  <c r="M111" i="45"/>
  <c r="M112" i="45"/>
  <c r="M113" i="45"/>
  <c r="M114" i="45"/>
  <c r="M115" i="45"/>
  <c r="M116" i="45"/>
  <c r="M117" i="45"/>
  <c r="M118" i="45"/>
  <c r="M119" i="45"/>
  <c r="M120" i="45"/>
  <c r="M121" i="45"/>
  <c r="M122" i="45"/>
  <c r="M123" i="45"/>
  <c r="M124" i="45"/>
  <c r="M125" i="45"/>
  <c r="M126" i="45"/>
  <c r="M92" i="46"/>
  <c r="M93" i="46"/>
  <c r="M94" i="46"/>
  <c r="M95" i="46"/>
  <c r="M96" i="46"/>
  <c r="M97" i="46"/>
  <c r="M98" i="46"/>
  <c r="M99" i="46"/>
  <c r="M100" i="46"/>
  <c r="M101" i="46"/>
  <c r="M102" i="46"/>
  <c r="M103" i="46"/>
  <c r="M104" i="46"/>
  <c r="M105" i="46"/>
  <c r="M106" i="46"/>
  <c r="M107" i="46"/>
  <c r="M108" i="46"/>
  <c r="M109" i="46"/>
  <c r="M110" i="46"/>
  <c r="M111" i="46"/>
  <c r="M112" i="46"/>
  <c r="M113" i="46"/>
  <c r="M114" i="46"/>
  <c r="M115" i="46"/>
  <c r="M116" i="46"/>
  <c r="M117" i="46"/>
  <c r="M118" i="46"/>
  <c r="M119" i="46"/>
  <c r="M120" i="46"/>
  <c r="M121" i="46"/>
  <c r="M122" i="46"/>
  <c r="M123" i="46"/>
  <c r="M124" i="46"/>
  <c r="M125" i="46"/>
  <c r="M126" i="46"/>
  <c r="M92" i="47"/>
  <c r="M93" i="47"/>
  <c r="M94" i="47"/>
  <c r="M95" i="47"/>
  <c r="M96" i="47"/>
  <c r="M97" i="47"/>
  <c r="M98" i="47"/>
  <c r="M99" i="47"/>
  <c r="M100" i="47"/>
  <c r="M101" i="47"/>
  <c r="M102" i="47"/>
  <c r="M103" i="47"/>
  <c r="M104" i="47"/>
  <c r="M105" i="47"/>
  <c r="M106" i="47"/>
  <c r="M107" i="47"/>
  <c r="M108" i="47"/>
  <c r="M109" i="47"/>
  <c r="M110" i="47"/>
  <c r="M111" i="47"/>
  <c r="M112" i="47"/>
  <c r="M113" i="47"/>
  <c r="M114" i="47"/>
  <c r="M115" i="47"/>
  <c r="M116" i="47"/>
  <c r="M117" i="47"/>
  <c r="M118" i="47"/>
  <c r="M119" i="47"/>
  <c r="M120" i="47"/>
  <c r="M121" i="47"/>
  <c r="M122" i="47"/>
  <c r="M123" i="47"/>
  <c r="M124" i="47"/>
  <c r="M125" i="47"/>
  <c r="M126" i="47"/>
  <c r="M92" i="48"/>
  <c r="M93" i="48"/>
  <c r="M94" i="48"/>
  <c r="M95" i="48"/>
  <c r="M96" i="48"/>
  <c r="M97" i="48"/>
  <c r="M98" i="48"/>
  <c r="M99" i="48"/>
  <c r="M100" i="48"/>
  <c r="M101" i="48"/>
  <c r="M102" i="48"/>
  <c r="M103" i="48"/>
  <c r="M104" i="48"/>
  <c r="M105" i="48"/>
  <c r="M106" i="48"/>
  <c r="M107" i="48"/>
  <c r="M108" i="48"/>
  <c r="M109" i="48"/>
  <c r="M110" i="48"/>
  <c r="M111" i="48"/>
  <c r="M112" i="48"/>
  <c r="M113" i="48"/>
  <c r="M114" i="48"/>
  <c r="M115" i="48"/>
  <c r="M116" i="48"/>
  <c r="M117" i="48"/>
  <c r="M118" i="48"/>
  <c r="M119" i="48"/>
  <c r="M120" i="48"/>
  <c r="M121" i="48"/>
  <c r="M122" i="48"/>
  <c r="M123" i="48"/>
  <c r="M124" i="48"/>
  <c r="M125" i="48"/>
  <c r="M126" i="48"/>
  <c r="M92" i="49"/>
  <c r="M93" i="49"/>
  <c r="M94" i="49"/>
  <c r="M95" i="49"/>
  <c r="M96" i="49"/>
  <c r="M97" i="49"/>
  <c r="M98" i="49"/>
  <c r="M99" i="49"/>
  <c r="M100" i="49"/>
  <c r="M101" i="49"/>
  <c r="M102" i="49"/>
  <c r="M103" i="49"/>
  <c r="M104" i="49"/>
  <c r="M105" i="49"/>
  <c r="M106" i="49"/>
  <c r="M107" i="49"/>
  <c r="M108" i="49"/>
  <c r="M109" i="49"/>
  <c r="M110" i="49"/>
  <c r="M111" i="49"/>
  <c r="M112" i="49"/>
  <c r="M113" i="49"/>
  <c r="M114" i="49"/>
  <c r="M115" i="49"/>
  <c r="M116" i="49"/>
  <c r="M117" i="49"/>
  <c r="M118" i="49"/>
  <c r="M119" i="49"/>
  <c r="M120" i="49"/>
  <c r="M121" i="49"/>
  <c r="M122" i="49"/>
  <c r="M123" i="49"/>
  <c r="M124" i="49"/>
  <c r="M125" i="49"/>
  <c r="M126" i="49"/>
  <c r="M92" i="50"/>
  <c r="M93" i="50"/>
  <c r="M94" i="50"/>
  <c r="M95" i="50"/>
  <c r="M96" i="50"/>
  <c r="M97" i="50"/>
  <c r="M98" i="50"/>
  <c r="M99" i="50"/>
  <c r="M100" i="50"/>
  <c r="M101" i="50"/>
  <c r="M102" i="50"/>
  <c r="M103" i="50"/>
  <c r="M104" i="50"/>
  <c r="M105" i="50"/>
  <c r="M106" i="50"/>
  <c r="M107" i="50"/>
  <c r="M108" i="50"/>
  <c r="M109" i="50"/>
  <c r="M110" i="50"/>
  <c r="M111" i="50"/>
  <c r="M112" i="50"/>
  <c r="M113" i="50"/>
  <c r="M114" i="50"/>
  <c r="M115" i="50"/>
  <c r="M116" i="50"/>
  <c r="M117" i="50"/>
  <c r="M118" i="50"/>
  <c r="M119" i="50"/>
  <c r="M120" i="50"/>
  <c r="M121" i="50"/>
  <c r="M122" i="50"/>
  <c r="M123" i="50"/>
  <c r="M124" i="50"/>
  <c r="M125" i="50"/>
  <c r="M126" i="50"/>
  <c r="M92" i="51"/>
  <c r="M93" i="51"/>
  <c r="M94" i="51"/>
  <c r="M95" i="51"/>
  <c r="M96" i="51"/>
  <c r="M97" i="51"/>
  <c r="M98" i="51"/>
  <c r="M99" i="51"/>
  <c r="M100" i="51"/>
  <c r="M101" i="51"/>
  <c r="M102" i="51"/>
  <c r="M103" i="51"/>
  <c r="M104" i="51"/>
  <c r="M105" i="51"/>
  <c r="M106" i="51"/>
  <c r="M107" i="51"/>
  <c r="M108" i="51"/>
  <c r="M109" i="51"/>
  <c r="M110" i="51"/>
  <c r="M111" i="51"/>
  <c r="M112" i="51"/>
  <c r="M113" i="51"/>
  <c r="M114" i="51"/>
  <c r="M115" i="51"/>
  <c r="M116" i="51"/>
  <c r="M117" i="51"/>
  <c r="M118" i="51"/>
  <c r="M119" i="51"/>
  <c r="M120" i="51"/>
  <c r="M121" i="51"/>
  <c r="M122" i="51"/>
  <c r="M123" i="51"/>
  <c r="M124" i="51"/>
  <c r="M125" i="51"/>
  <c r="M126" i="51"/>
  <c r="M92" i="52"/>
  <c r="M93" i="52"/>
  <c r="M94" i="52"/>
  <c r="M95" i="52"/>
  <c r="M96" i="52"/>
  <c r="M97" i="52"/>
  <c r="M98" i="52"/>
  <c r="M99" i="52"/>
  <c r="M100" i="52"/>
  <c r="M101" i="52"/>
  <c r="M102" i="52"/>
  <c r="M103" i="52"/>
  <c r="M104" i="52"/>
  <c r="M105" i="52"/>
  <c r="M106" i="52"/>
  <c r="M107" i="52"/>
  <c r="M108" i="52"/>
  <c r="M109" i="52"/>
  <c r="M110" i="52"/>
  <c r="M111" i="52"/>
  <c r="M112" i="52"/>
  <c r="M113" i="52"/>
  <c r="M114" i="52"/>
  <c r="M115" i="52"/>
  <c r="M116" i="52"/>
  <c r="M117" i="52"/>
  <c r="M118" i="52"/>
  <c r="M119" i="52"/>
  <c r="M120" i="52"/>
  <c r="M121" i="52"/>
  <c r="M122" i="52"/>
  <c r="M123" i="52"/>
  <c r="M124" i="52"/>
  <c r="M125" i="52"/>
  <c r="M126" i="52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117" i="44"/>
  <c r="M118" i="44"/>
  <c r="M119" i="44"/>
  <c r="M120" i="44"/>
  <c r="M121" i="44"/>
  <c r="M122" i="44"/>
  <c r="M123" i="44"/>
  <c r="M124" i="44"/>
  <c r="M125" i="44"/>
  <c r="M126" i="44"/>
  <c r="M91" i="45"/>
  <c r="M91" i="46"/>
  <c r="M91" i="47"/>
  <c r="M91" i="48"/>
  <c r="M91" i="49"/>
  <c r="M91" i="50"/>
  <c r="M91" i="51"/>
  <c r="M91" i="52"/>
  <c r="M91" i="44"/>
  <c r="AV93" i="45"/>
  <c r="AQ93" i="45"/>
  <c r="AL93" i="45"/>
  <c r="AG93" i="45"/>
  <c r="AB93" i="45"/>
  <c r="W93" i="45"/>
  <c r="R93" i="45"/>
  <c r="K93" i="45"/>
  <c r="J93" i="45"/>
  <c r="I93" i="45"/>
  <c r="G93" i="45"/>
  <c r="AV92" i="45"/>
  <c r="AQ92" i="45"/>
  <c r="AL92" i="45"/>
  <c r="AG92" i="45"/>
  <c r="AB92" i="45"/>
  <c r="W92" i="45"/>
  <c r="R92" i="45"/>
  <c r="K92" i="45"/>
  <c r="J92" i="45"/>
  <c r="I92" i="45"/>
  <c r="G92" i="45"/>
  <c r="AX91" i="45"/>
  <c r="AV91" i="45"/>
  <c r="AQ91" i="45"/>
  <c r="AS91" i="45" s="1"/>
  <c r="AL91" i="45"/>
  <c r="AN91" i="45" s="1"/>
  <c r="AG91" i="45"/>
  <c r="AI91" i="45" s="1"/>
  <c r="AB91" i="45"/>
  <c r="AD91" i="45" s="1"/>
  <c r="W91" i="45"/>
  <c r="Y91" i="45" s="1"/>
  <c r="T91" i="45"/>
  <c r="R91" i="45"/>
  <c r="K91" i="45" s="1"/>
  <c r="J91" i="45"/>
  <c r="I91" i="45"/>
  <c r="G91" i="45"/>
  <c r="H91" i="45" s="1"/>
  <c r="AV92" i="46"/>
  <c r="AQ92" i="46"/>
  <c r="AL92" i="46"/>
  <c r="AG92" i="46"/>
  <c r="AB92" i="46"/>
  <c r="W92" i="46"/>
  <c r="R92" i="46"/>
  <c r="K92" i="46" s="1"/>
  <c r="J92" i="46"/>
  <c r="I92" i="46"/>
  <c r="G92" i="46"/>
  <c r="AV91" i="46"/>
  <c r="AX91" i="46" s="1"/>
  <c r="AQ91" i="46"/>
  <c r="AL91" i="46"/>
  <c r="AN91" i="46" s="1"/>
  <c r="AG91" i="46"/>
  <c r="AI91" i="46" s="1"/>
  <c r="AB91" i="46"/>
  <c r="K91" i="46" s="1"/>
  <c r="W91" i="46"/>
  <c r="Y91" i="46" s="1"/>
  <c r="R91" i="46"/>
  <c r="T91" i="46" s="1"/>
  <c r="J91" i="46"/>
  <c r="I91" i="46"/>
  <c r="G91" i="46"/>
  <c r="H91" i="46" s="1"/>
  <c r="AV95" i="47"/>
  <c r="AQ95" i="47"/>
  <c r="K95" i="47" s="1"/>
  <c r="AL95" i="47"/>
  <c r="AG95" i="47"/>
  <c r="AB95" i="47"/>
  <c r="W95" i="47"/>
  <c r="R95" i="47"/>
  <c r="J95" i="47"/>
  <c r="I95" i="47"/>
  <c r="G95" i="47"/>
  <c r="AV94" i="47"/>
  <c r="AQ94" i="47"/>
  <c r="AL94" i="47"/>
  <c r="AG94" i="47"/>
  <c r="K94" i="47" s="1"/>
  <c r="AB94" i="47"/>
  <c r="W94" i="47"/>
  <c r="R94" i="47"/>
  <c r="J94" i="47"/>
  <c r="I94" i="47"/>
  <c r="G94" i="47"/>
  <c r="AV93" i="47"/>
  <c r="AQ93" i="47"/>
  <c r="AL93" i="47"/>
  <c r="K93" i="47" s="1"/>
  <c r="AG93" i="47"/>
  <c r="AB93" i="47"/>
  <c r="W93" i="47"/>
  <c r="R93" i="47"/>
  <c r="J93" i="47"/>
  <c r="I93" i="47"/>
  <c r="G93" i="47"/>
  <c r="AV92" i="47"/>
  <c r="AQ92" i="47"/>
  <c r="AL92" i="47"/>
  <c r="AG92" i="47"/>
  <c r="AB92" i="47"/>
  <c r="K92" i="47" s="1"/>
  <c r="W92" i="47"/>
  <c r="R92" i="47"/>
  <c r="J92" i="47"/>
  <c r="I92" i="47"/>
  <c r="G92" i="47"/>
  <c r="AX91" i="47"/>
  <c r="AV91" i="47"/>
  <c r="AQ91" i="47"/>
  <c r="AS91" i="47" s="1"/>
  <c r="AL91" i="47"/>
  <c r="AG91" i="47"/>
  <c r="AB91" i="47"/>
  <c r="AD91" i="47" s="1"/>
  <c r="W91" i="47"/>
  <c r="Y91" i="47" s="1"/>
  <c r="R91" i="47"/>
  <c r="T91" i="47" s="1"/>
  <c r="J91" i="47"/>
  <c r="I91" i="47"/>
  <c r="G91" i="47"/>
  <c r="H91" i="47" s="1"/>
  <c r="AV99" i="48"/>
  <c r="AQ99" i="48"/>
  <c r="AL99" i="48"/>
  <c r="AG99" i="48"/>
  <c r="AB99" i="48"/>
  <c r="W99" i="48"/>
  <c r="R99" i="48"/>
  <c r="J99" i="48"/>
  <c r="I99" i="48"/>
  <c r="G99" i="48"/>
  <c r="R98" i="48"/>
  <c r="K98" i="48"/>
  <c r="J98" i="48"/>
  <c r="I98" i="48"/>
  <c r="G98" i="48"/>
  <c r="AV97" i="48"/>
  <c r="AQ97" i="48"/>
  <c r="AL97" i="48"/>
  <c r="AG97" i="48"/>
  <c r="AB97" i="48"/>
  <c r="W97" i="48"/>
  <c r="R97" i="48"/>
  <c r="J97" i="48"/>
  <c r="I97" i="48"/>
  <c r="G97" i="48"/>
  <c r="AV96" i="48"/>
  <c r="AQ96" i="48"/>
  <c r="AL96" i="48"/>
  <c r="AG96" i="48"/>
  <c r="AB96" i="48"/>
  <c r="W96" i="48"/>
  <c r="R96" i="48"/>
  <c r="J96" i="48"/>
  <c r="I96" i="48"/>
  <c r="G96" i="48"/>
  <c r="AV95" i="48"/>
  <c r="AQ95" i="48"/>
  <c r="AL95" i="48"/>
  <c r="AG95" i="48"/>
  <c r="AB95" i="48"/>
  <c r="W95" i="48"/>
  <c r="R95" i="48"/>
  <c r="J95" i="48"/>
  <c r="I95" i="48"/>
  <c r="G95" i="48"/>
  <c r="AV94" i="48"/>
  <c r="AQ94" i="48"/>
  <c r="AL94" i="48"/>
  <c r="AG94" i="48"/>
  <c r="AB94" i="48"/>
  <c r="W94" i="48"/>
  <c r="R94" i="48"/>
  <c r="J94" i="48"/>
  <c r="I94" i="48"/>
  <c r="G94" i="48"/>
  <c r="AV93" i="48"/>
  <c r="AQ93" i="48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H91" i="48" s="1"/>
  <c r="AV91" i="48"/>
  <c r="AX91" i="48" s="1"/>
  <c r="AQ91" i="48"/>
  <c r="AS91" i="48" s="1"/>
  <c r="AL91" i="48"/>
  <c r="AN91" i="48" s="1"/>
  <c r="AG91" i="48"/>
  <c r="AI91" i="48" s="1"/>
  <c r="AB91" i="48"/>
  <c r="W91" i="48"/>
  <c r="Y91" i="48" s="1"/>
  <c r="R91" i="48"/>
  <c r="K91" i="48" s="1"/>
  <c r="J91" i="48"/>
  <c r="I91" i="48"/>
  <c r="G91" i="48"/>
  <c r="AV99" i="49"/>
  <c r="AQ99" i="49"/>
  <c r="AL99" i="49"/>
  <c r="AG99" i="49"/>
  <c r="AB99" i="49"/>
  <c r="W99" i="49"/>
  <c r="R99" i="49"/>
  <c r="K99" i="49" s="1"/>
  <c r="J99" i="49"/>
  <c r="I99" i="49"/>
  <c r="G99" i="49"/>
  <c r="AV98" i="49"/>
  <c r="AQ98" i="49"/>
  <c r="AL98" i="49"/>
  <c r="AG98" i="49"/>
  <c r="AB98" i="49"/>
  <c r="W98" i="49"/>
  <c r="R98" i="49"/>
  <c r="J98" i="49"/>
  <c r="I98" i="49"/>
  <c r="G98" i="49"/>
  <c r="AV97" i="49"/>
  <c r="AQ97" i="49"/>
  <c r="AL97" i="49"/>
  <c r="AG97" i="49"/>
  <c r="AB97" i="49"/>
  <c r="W97" i="49"/>
  <c r="R97" i="49"/>
  <c r="J97" i="49"/>
  <c r="I97" i="49"/>
  <c r="G97" i="49"/>
  <c r="AV96" i="49"/>
  <c r="AQ96" i="49"/>
  <c r="AL96" i="49"/>
  <c r="AG96" i="49"/>
  <c r="AB96" i="49"/>
  <c r="W96" i="49"/>
  <c r="R96" i="49"/>
  <c r="J96" i="49"/>
  <c r="I96" i="49"/>
  <c r="G96" i="49"/>
  <c r="AV95" i="49"/>
  <c r="AQ95" i="49"/>
  <c r="AL95" i="49"/>
  <c r="AG95" i="49"/>
  <c r="AB95" i="49"/>
  <c r="W95" i="49"/>
  <c r="R95" i="49"/>
  <c r="J95" i="49"/>
  <c r="I95" i="49"/>
  <c r="G95" i="49"/>
  <c r="AV94" i="49"/>
  <c r="AQ94" i="49"/>
  <c r="AL94" i="49"/>
  <c r="AG94" i="49"/>
  <c r="AB94" i="49"/>
  <c r="W94" i="49"/>
  <c r="R94" i="49"/>
  <c r="J94" i="49"/>
  <c r="I94" i="49"/>
  <c r="G94" i="49"/>
  <c r="AV93" i="49"/>
  <c r="AQ93" i="49"/>
  <c r="AL93" i="49"/>
  <c r="AG93" i="49"/>
  <c r="AB93" i="49"/>
  <c r="W93" i="49"/>
  <c r="R93" i="49"/>
  <c r="J93" i="49"/>
  <c r="I93" i="49"/>
  <c r="G93" i="49"/>
  <c r="AV92" i="49"/>
  <c r="AQ92" i="49"/>
  <c r="AL92" i="49"/>
  <c r="AG92" i="49"/>
  <c r="AB92" i="49"/>
  <c r="W92" i="49"/>
  <c r="R92" i="49"/>
  <c r="J92" i="49"/>
  <c r="I92" i="49"/>
  <c r="G92" i="49"/>
  <c r="AV91" i="49"/>
  <c r="AX91" i="49" s="1"/>
  <c r="AQ91" i="49"/>
  <c r="AS91" i="49" s="1"/>
  <c r="AL91" i="49"/>
  <c r="AN91" i="49" s="1"/>
  <c r="AG91" i="49"/>
  <c r="AI91" i="49" s="1"/>
  <c r="AB91" i="49"/>
  <c r="W91" i="49"/>
  <c r="Y91" i="49" s="1"/>
  <c r="R91" i="49"/>
  <c r="K91" i="49" s="1"/>
  <c r="J91" i="49"/>
  <c r="I91" i="49"/>
  <c r="H91" i="49"/>
  <c r="G91" i="49"/>
  <c r="U86" i="50"/>
  <c r="Z86" i="50" s="1"/>
  <c r="AE86" i="50" s="1"/>
  <c r="AJ86" i="50" s="1"/>
  <c r="AO86" i="50" s="1"/>
  <c r="AT86" i="50" s="1"/>
  <c r="P86" i="50"/>
  <c r="AV97" i="51"/>
  <c r="AQ97" i="51"/>
  <c r="AL97" i="51"/>
  <c r="AG97" i="51"/>
  <c r="AB97" i="51"/>
  <c r="W97" i="51"/>
  <c r="R97" i="51"/>
  <c r="J97" i="51"/>
  <c r="I97" i="51"/>
  <c r="G97" i="51"/>
  <c r="AV96" i="51"/>
  <c r="AQ96" i="51"/>
  <c r="AL96" i="51"/>
  <c r="AG96" i="51"/>
  <c r="AB96" i="51"/>
  <c r="K96" i="51" s="1"/>
  <c r="W96" i="51"/>
  <c r="R96" i="51"/>
  <c r="J96" i="51"/>
  <c r="I96" i="51"/>
  <c r="G96" i="51"/>
  <c r="AV95" i="51"/>
  <c r="AQ95" i="51"/>
  <c r="AL95" i="51"/>
  <c r="AG95" i="51"/>
  <c r="AB95" i="51"/>
  <c r="W95" i="51"/>
  <c r="R95" i="51"/>
  <c r="K95" i="51"/>
  <c r="J95" i="51"/>
  <c r="I95" i="51"/>
  <c r="G95" i="51"/>
  <c r="AV94" i="51"/>
  <c r="AQ94" i="51"/>
  <c r="AL94" i="51"/>
  <c r="AG94" i="51"/>
  <c r="AB94" i="51"/>
  <c r="W94" i="51"/>
  <c r="K94" i="51" s="1"/>
  <c r="R94" i="51"/>
  <c r="J94" i="51"/>
  <c r="I94" i="51"/>
  <c r="G94" i="51"/>
  <c r="AV93" i="51"/>
  <c r="AQ93" i="51"/>
  <c r="AL93" i="51"/>
  <c r="AG93" i="51"/>
  <c r="AB93" i="51"/>
  <c r="W93" i="51"/>
  <c r="R93" i="51"/>
  <c r="K93" i="51"/>
  <c r="J93" i="51"/>
  <c r="I93" i="51"/>
  <c r="G93" i="51"/>
  <c r="AV92" i="51"/>
  <c r="AQ92" i="51"/>
  <c r="AL92" i="51"/>
  <c r="AG92" i="51"/>
  <c r="AB92" i="51"/>
  <c r="W92" i="51"/>
  <c r="R92" i="51"/>
  <c r="K92" i="51" s="1"/>
  <c r="J92" i="51"/>
  <c r="I92" i="51"/>
  <c r="G92" i="51"/>
  <c r="AV91" i="51"/>
  <c r="AX91" i="51" s="1"/>
  <c r="AQ91" i="51"/>
  <c r="AL91" i="51"/>
  <c r="AN91" i="51" s="1"/>
  <c r="AG91" i="51"/>
  <c r="AB91" i="51"/>
  <c r="AD91" i="51" s="1"/>
  <c r="W91" i="51"/>
  <c r="Y91" i="51" s="1"/>
  <c r="R91" i="51"/>
  <c r="T91" i="51" s="1"/>
  <c r="J91" i="51"/>
  <c r="I91" i="51"/>
  <c r="G91" i="51"/>
  <c r="H91" i="51" s="1"/>
  <c r="AV95" i="52"/>
  <c r="AQ95" i="52"/>
  <c r="AL95" i="52"/>
  <c r="AN91" i="52" s="1"/>
  <c r="AG95" i="52"/>
  <c r="AB95" i="52"/>
  <c r="W95" i="52"/>
  <c r="R95" i="52"/>
  <c r="J95" i="52"/>
  <c r="I95" i="52"/>
  <c r="G95" i="52"/>
  <c r="AV94" i="52"/>
  <c r="AQ94" i="52"/>
  <c r="AL94" i="52"/>
  <c r="AG94" i="52"/>
  <c r="K94" i="52" s="1"/>
  <c r="AB94" i="52"/>
  <c r="W94" i="52"/>
  <c r="R94" i="52"/>
  <c r="J94" i="52"/>
  <c r="I94" i="52"/>
  <c r="G94" i="52"/>
  <c r="AV93" i="52"/>
  <c r="AQ93" i="52"/>
  <c r="AL93" i="52"/>
  <c r="AG93" i="52"/>
  <c r="AB93" i="52"/>
  <c r="W93" i="52"/>
  <c r="R93" i="52"/>
  <c r="J93" i="52"/>
  <c r="I93" i="52"/>
  <c r="G93" i="52"/>
  <c r="H91" i="52" s="1"/>
  <c r="AV92" i="52"/>
  <c r="AQ92" i="52"/>
  <c r="AL92" i="52"/>
  <c r="AG92" i="52"/>
  <c r="AB92" i="52"/>
  <c r="K92" i="52" s="1"/>
  <c r="W92" i="52"/>
  <c r="R92" i="52"/>
  <c r="J92" i="52"/>
  <c r="I92" i="52"/>
  <c r="G92" i="52"/>
  <c r="AX91" i="52"/>
  <c r="AV91" i="52"/>
  <c r="AQ91" i="52"/>
  <c r="AS91" i="52" s="1"/>
  <c r="AL91" i="52"/>
  <c r="AG91" i="52"/>
  <c r="AB91" i="52"/>
  <c r="AD91" i="52" s="1"/>
  <c r="Y91" i="52"/>
  <c r="W91" i="52"/>
  <c r="R91" i="52"/>
  <c r="T91" i="52" s="1"/>
  <c r="J91" i="52"/>
  <c r="I91" i="52"/>
  <c r="G91" i="52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K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K121" i="44" s="1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K119" i="44" s="1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K117" i="44" s="1"/>
  <c r="R117" i="44"/>
  <c r="J117" i="44"/>
  <c r="I117" i="44"/>
  <c r="G117" i="44"/>
  <c r="AV116" i="44"/>
  <c r="AQ116" i="44"/>
  <c r="AL116" i="44"/>
  <c r="AG116" i="44"/>
  <c r="AB116" i="44"/>
  <c r="W116" i="44"/>
  <c r="R116" i="44"/>
  <c r="K116" i="44"/>
  <c r="J116" i="44"/>
  <c r="I116" i="44"/>
  <c r="G116" i="44"/>
  <c r="AV115" i="44"/>
  <c r="AQ115" i="44"/>
  <c r="AL115" i="44"/>
  <c r="AG115" i="44"/>
  <c r="AB115" i="44"/>
  <c r="W115" i="44"/>
  <c r="R115" i="44"/>
  <c r="K115" i="44" s="1"/>
  <c r="J115" i="44"/>
  <c r="I115" i="44"/>
  <c r="G115" i="44"/>
  <c r="AV114" i="44"/>
  <c r="AQ114" i="44"/>
  <c r="AL114" i="44"/>
  <c r="AG114" i="44"/>
  <c r="AB114" i="44"/>
  <c r="W114" i="44"/>
  <c r="R114" i="44"/>
  <c r="K114" i="44" s="1"/>
  <c r="J114" i="44"/>
  <c r="I114" i="44"/>
  <c r="G114" i="44"/>
  <c r="AV113" i="44"/>
  <c r="AQ113" i="44"/>
  <c r="AL113" i="44"/>
  <c r="K113" i="44" s="1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AV111" i="44"/>
  <c r="AQ111" i="44"/>
  <c r="AL111" i="44"/>
  <c r="AG111" i="44"/>
  <c r="AI91" i="44" s="1"/>
  <c r="AB111" i="44"/>
  <c r="W111" i="44"/>
  <c r="R111" i="44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W109" i="44"/>
  <c r="R109" i="44"/>
  <c r="J109" i="44"/>
  <c r="I109" i="44"/>
  <c r="G109" i="44"/>
  <c r="AV108" i="44"/>
  <c r="AQ108" i="44"/>
  <c r="AL108" i="44"/>
  <c r="AG108" i="44"/>
  <c r="AB108" i="44"/>
  <c r="W108" i="44"/>
  <c r="R108" i="44"/>
  <c r="J108" i="44"/>
  <c r="I108" i="44"/>
  <c r="G108" i="44"/>
  <c r="AV107" i="44"/>
  <c r="AQ107" i="44"/>
  <c r="AL107" i="44"/>
  <c r="AG107" i="44"/>
  <c r="AB107" i="44"/>
  <c r="W107" i="44"/>
  <c r="R107" i="44"/>
  <c r="J107" i="44"/>
  <c r="I107" i="44"/>
  <c r="G107" i="44"/>
  <c r="AV106" i="44"/>
  <c r="AQ106" i="44"/>
  <c r="AL106" i="44"/>
  <c r="AG106" i="44"/>
  <c r="AB106" i="44"/>
  <c r="W106" i="44"/>
  <c r="R106" i="44"/>
  <c r="J106" i="44"/>
  <c r="I106" i="44"/>
  <c r="G106" i="44"/>
  <c r="AV105" i="44"/>
  <c r="AQ105" i="44"/>
  <c r="AL105" i="44"/>
  <c r="AG105" i="44"/>
  <c r="AB105" i="44"/>
  <c r="W105" i="44"/>
  <c r="R105" i="44"/>
  <c r="J105" i="44"/>
  <c r="I105" i="44"/>
  <c r="G105" i="44"/>
  <c r="AV104" i="44"/>
  <c r="AQ104" i="44"/>
  <c r="AL104" i="44"/>
  <c r="AG104" i="44"/>
  <c r="AB104" i="44"/>
  <c r="W104" i="44"/>
  <c r="R104" i="44"/>
  <c r="J104" i="44"/>
  <c r="I104" i="44"/>
  <c r="G104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K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K93" i="44" s="1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X91" i="44" s="1"/>
  <c r="AQ91" i="44"/>
  <c r="AS91" i="44" s="1"/>
  <c r="AL91" i="44"/>
  <c r="AN91" i="44" s="1"/>
  <c r="AG91" i="44"/>
  <c r="AB91" i="44"/>
  <c r="AD91" i="44" s="1"/>
  <c r="W91" i="44"/>
  <c r="Y91" i="44" s="1"/>
  <c r="R91" i="44"/>
  <c r="J91" i="44"/>
  <c r="I91" i="44"/>
  <c r="G91" i="44"/>
  <c r="H91" i="44" s="1"/>
  <c r="I24" i="39"/>
  <c r="H23" i="39"/>
  <c r="H22" i="39"/>
  <c r="H21" i="39"/>
  <c r="H20" i="39"/>
  <c r="H19" i="39"/>
  <c r="H18" i="39"/>
  <c r="H17" i="39"/>
  <c r="H16" i="39"/>
  <c r="H15" i="39"/>
  <c r="B21" i="6"/>
  <c r="D21" i="6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AC27" i="6"/>
  <c r="AD27" i="6" s="1"/>
  <c r="S27" i="6"/>
  <c r="T27" i="6" s="1"/>
  <c r="M27" i="6"/>
  <c r="N27" i="6" s="1"/>
  <c r="F27" i="6"/>
  <c r="AL27" i="6" s="1"/>
  <c r="AC26" i="6"/>
  <c r="AD26" i="6" s="1"/>
  <c r="S26" i="6"/>
  <c r="M26" i="6"/>
  <c r="N26" i="6" s="1"/>
  <c r="F26" i="6"/>
  <c r="AL26" i="6" s="1"/>
  <c r="AC25" i="6"/>
  <c r="AD25" i="6" s="1"/>
  <c r="S25" i="6"/>
  <c r="M25" i="6"/>
  <c r="N25" i="6" s="1"/>
  <c r="F25" i="6"/>
  <c r="AL25" i="6" s="1"/>
  <c r="AC24" i="6"/>
  <c r="AD24" i="6" s="1"/>
  <c r="S24" i="6"/>
  <c r="M24" i="6"/>
  <c r="N24" i="6" s="1"/>
  <c r="F24" i="6"/>
  <c r="AL24" i="6" s="1"/>
  <c r="AC23" i="6"/>
  <c r="AD23" i="6" s="1"/>
  <c r="S23" i="6"/>
  <c r="M23" i="6"/>
  <c r="N23" i="6" s="1"/>
  <c r="F23" i="6"/>
  <c r="AL23" i="6" s="1"/>
  <c r="AC22" i="6"/>
  <c r="AD22" i="6" s="1"/>
  <c r="S22" i="6"/>
  <c r="M22" i="6"/>
  <c r="N22" i="6" s="1"/>
  <c r="F22" i="6"/>
  <c r="AL22" i="6" s="1"/>
  <c r="AC21" i="6"/>
  <c r="AD21" i="6" s="1"/>
  <c r="S21" i="6"/>
  <c r="M21" i="6"/>
  <c r="N21" i="6" s="1"/>
  <c r="F21" i="6"/>
  <c r="AL21" i="6" s="1"/>
  <c r="B23" i="39"/>
  <c r="B22" i="39"/>
  <c r="B21" i="39"/>
  <c r="B20" i="39"/>
  <c r="B19" i="39"/>
  <c r="B18" i="39"/>
  <c r="B17" i="39"/>
  <c r="B16" i="39"/>
  <c r="B15" i="39"/>
  <c r="B21" i="7"/>
  <c r="AC27" i="7"/>
  <c r="S27" i="7"/>
  <c r="M27" i="7"/>
  <c r="AC26" i="7"/>
  <c r="S26" i="7"/>
  <c r="M26" i="7"/>
  <c r="AC25" i="7"/>
  <c r="S25" i="7"/>
  <c r="M25" i="7"/>
  <c r="AC24" i="7"/>
  <c r="S24" i="7"/>
  <c r="M24" i="7"/>
  <c r="F24" i="7" s="1"/>
  <c r="AC23" i="7"/>
  <c r="S23" i="7"/>
  <c r="M23" i="7"/>
  <c r="AC22" i="7"/>
  <c r="S22" i="7"/>
  <c r="M22" i="7"/>
  <c r="AC21" i="7"/>
  <c r="S21" i="7"/>
  <c r="T21" i="7" s="1"/>
  <c r="M21" i="7"/>
  <c r="F21" i="7" s="1"/>
  <c r="I11" i="39"/>
  <c r="I10" i="39"/>
  <c r="I9" i="39"/>
  <c r="I8" i="39"/>
  <c r="I7" i="39"/>
  <c r="I6" i="39"/>
  <c r="B11" i="39"/>
  <c r="B10" i="39"/>
  <c r="B9" i="39"/>
  <c r="B8" i="39"/>
  <c r="B7" i="39"/>
  <c r="B6" i="39"/>
  <c r="U20" i="5"/>
  <c r="U21" i="5"/>
  <c r="U22" i="5"/>
  <c r="U23" i="5"/>
  <c r="U24" i="5"/>
  <c r="U25" i="5"/>
  <c r="U19" i="5"/>
  <c r="U169" i="66" l="1"/>
  <c r="V179" i="66"/>
  <c r="X179" i="66" s="1"/>
  <c r="X178" i="66"/>
  <c r="U164" i="66"/>
  <c r="X164" i="66"/>
  <c r="U172" i="66"/>
  <c r="F165" i="66"/>
  <c r="F164" i="66"/>
  <c r="V172" i="66"/>
  <c r="X172" i="66" s="1"/>
  <c r="AL164" i="66"/>
  <c r="H37" i="41" s="1"/>
  <c r="W174" i="63"/>
  <c r="X179" i="63"/>
  <c r="W179" i="63"/>
  <c r="W176" i="63"/>
  <c r="X176" i="63"/>
  <c r="X173" i="63"/>
  <c r="W173" i="63"/>
  <c r="X177" i="63"/>
  <c r="W177" i="63"/>
  <c r="V171" i="63"/>
  <c r="T171" i="63"/>
  <c r="X168" i="63"/>
  <c r="F189" i="66"/>
  <c r="V189" i="66"/>
  <c r="U189" i="66"/>
  <c r="F183" i="66"/>
  <c r="U183" i="66"/>
  <c r="V183" i="66"/>
  <c r="W190" i="66"/>
  <c r="X190" i="66"/>
  <c r="X201" i="66"/>
  <c r="W201" i="66"/>
  <c r="X198" i="66"/>
  <c r="W198" i="66"/>
  <c r="X185" i="66"/>
  <c r="W185" i="66"/>
  <c r="F192" i="66"/>
  <c r="V192" i="66"/>
  <c r="U192" i="66"/>
  <c r="F195" i="66"/>
  <c r="V195" i="66"/>
  <c r="U195" i="66"/>
  <c r="X186" i="66"/>
  <c r="W186" i="66"/>
  <c r="X202" i="66"/>
  <c r="W202" i="66"/>
  <c r="V196" i="66"/>
  <c r="U196" i="66"/>
  <c r="F196" i="66"/>
  <c r="W199" i="66"/>
  <c r="X199" i="66"/>
  <c r="X184" i="66"/>
  <c r="W184" i="66"/>
  <c r="W193" i="66"/>
  <c r="X193" i="66"/>
  <c r="W187" i="66"/>
  <c r="X187" i="66"/>
  <c r="W188" i="66"/>
  <c r="X188" i="66"/>
  <c r="X200" i="66"/>
  <c r="W200" i="66"/>
  <c r="V194" i="66"/>
  <c r="U194" i="66"/>
  <c r="F194" i="66"/>
  <c r="X191" i="66"/>
  <c r="W191" i="66"/>
  <c r="W169" i="66"/>
  <c r="W165" i="66"/>
  <c r="V175" i="66"/>
  <c r="X175" i="66" s="1"/>
  <c r="U165" i="66"/>
  <c r="F178" i="66"/>
  <c r="F175" i="66"/>
  <c r="U178" i="66"/>
  <c r="U179" i="66"/>
  <c r="X171" i="66"/>
  <c r="W171" i="66"/>
  <c r="X173" i="66"/>
  <c r="W173" i="66"/>
  <c r="W168" i="66"/>
  <c r="X168" i="66"/>
  <c r="F161" i="66"/>
  <c r="AK164" i="66" s="1"/>
  <c r="F37" i="41" s="1"/>
  <c r="V161" i="66"/>
  <c r="U161" i="66"/>
  <c r="X176" i="66"/>
  <c r="W176" i="66"/>
  <c r="F170" i="66"/>
  <c r="V170" i="66"/>
  <c r="U170" i="66"/>
  <c r="W177" i="66"/>
  <c r="X177" i="66"/>
  <c r="X162" i="66"/>
  <c r="W162" i="66"/>
  <c r="X167" i="66"/>
  <c r="W167" i="66"/>
  <c r="W174" i="66"/>
  <c r="X174" i="66"/>
  <c r="V195" i="63"/>
  <c r="U195" i="63"/>
  <c r="T195" i="63"/>
  <c r="X186" i="63"/>
  <c r="W186" i="63"/>
  <c r="W199" i="63"/>
  <c r="X199" i="63"/>
  <c r="X194" i="63"/>
  <c r="W194" i="63"/>
  <c r="X196" i="63"/>
  <c r="W196" i="63"/>
  <c r="X197" i="63"/>
  <c r="W197" i="63"/>
  <c r="X188" i="63"/>
  <c r="W188" i="63"/>
  <c r="X202" i="63"/>
  <c r="W202" i="63"/>
  <c r="V200" i="63"/>
  <c r="U200" i="63"/>
  <c r="T200" i="63"/>
  <c r="X187" i="63"/>
  <c r="W187" i="63"/>
  <c r="X193" i="63"/>
  <c r="W193" i="63"/>
  <c r="W198" i="63"/>
  <c r="X198" i="63"/>
  <c r="X185" i="63"/>
  <c r="W185" i="63"/>
  <c r="U183" i="63"/>
  <c r="V183" i="63"/>
  <c r="T183" i="63"/>
  <c r="X201" i="63"/>
  <c r="W201" i="63"/>
  <c r="X189" i="63"/>
  <c r="W189" i="63"/>
  <c r="V192" i="63"/>
  <c r="U192" i="63"/>
  <c r="T192" i="63"/>
  <c r="X191" i="63"/>
  <c r="W191" i="63"/>
  <c r="W165" i="63"/>
  <c r="X165" i="63"/>
  <c r="X161" i="63"/>
  <c r="W161" i="63"/>
  <c r="X169" i="63"/>
  <c r="W169" i="63"/>
  <c r="X171" i="63"/>
  <c r="W171" i="63"/>
  <c r="W164" i="63"/>
  <c r="X164" i="63"/>
  <c r="X170" i="63"/>
  <c r="W170" i="63"/>
  <c r="W166" i="63"/>
  <c r="X166" i="63"/>
  <c r="X167" i="63"/>
  <c r="W167" i="63"/>
  <c r="X180" i="63"/>
  <c r="W180" i="63"/>
  <c r="X172" i="63"/>
  <c r="W172" i="63"/>
  <c r="X163" i="63"/>
  <c r="W163" i="63"/>
  <c r="G3" i="56"/>
  <c r="H3" i="56" s="1"/>
  <c r="H13" i="56"/>
  <c r="K51" i="52"/>
  <c r="K50" i="52"/>
  <c r="K48" i="52"/>
  <c r="K47" i="51"/>
  <c r="K53" i="51"/>
  <c r="K52" i="51"/>
  <c r="K51" i="51"/>
  <c r="T47" i="51"/>
  <c r="K50" i="51"/>
  <c r="K49" i="51"/>
  <c r="AI47" i="51"/>
  <c r="AN47" i="49"/>
  <c r="K47" i="49"/>
  <c r="AS47" i="49"/>
  <c r="K55" i="49"/>
  <c r="K51" i="49"/>
  <c r="T47" i="49"/>
  <c r="K49" i="48"/>
  <c r="K55" i="48"/>
  <c r="AN47" i="48"/>
  <c r="K47" i="48"/>
  <c r="K47" i="47"/>
  <c r="AS47" i="47"/>
  <c r="K51" i="47"/>
  <c r="K49" i="47"/>
  <c r="K48" i="47"/>
  <c r="L47" i="46"/>
  <c r="T47" i="46"/>
  <c r="K48" i="46"/>
  <c r="AD47" i="46"/>
  <c r="K47" i="45"/>
  <c r="AN47" i="45"/>
  <c r="L91" i="46"/>
  <c r="L91" i="45"/>
  <c r="K112" i="44"/>
  <c r="AI91" i="52"/>
  <c r="K98" i="49"/>
  <c r="K103" i="44"/>
  <c r="K111" i="44"/>
  <c r="K97" i="49"/>
  <c r="K97" i="48"/>
  <c r="AI91" i="47"/>
  <c r="K102" i="44"/>
  <c r="K110" i="44"/>
  <c r="K96" i="49"/>
  <c r="K96" i="48"/>
  <c r="AD91" i="46"/>
  <c r="K101" i="44"/>
  <c r="K109" i="44"/>
  <c r="K95" i="49"/>
  <c r="K95" i="48"/>
  <c r="K100" i="44"/>
  <c r="K108" i="44"/>
  <c r="AI91" i="51"/>
  <c r="T91" i="49"/>
  <c r="K94" i="49"/>
  <c r="T91" i="48"/>
  <c r="K94" i="48"/>
  <c r="AN91" i="47"/>
  <c r="K91" i="44"/>
  <c r="K99" i="44"/>
  <c r="K107" i="44"/>
  <c r="K93" i="49"/>
  <c r="K93" i="48"/>
  <c r="K98" i="44"/>
  <c r="K106" i="44"/>
  <c r="K126" i="44"/>
  <c r="K91" i="52"/>
  <c r="K92" i="49"/>
  <c r="K92" i="48"/>
  <c r="K97" i="44"/>
  <c r="K105" i="44"/>
  <c r="K125" i="44"/>
  <c r="K99" i="48"/>
  <c r="K91" i="47"/>
  <c r="K96" i="44"/>
  <c r="K104" i="44"/>
  <c r="K124" i="44"/>
  <c r="T91" i="44"/>
  <c r="K94" i="44"/>
  <c r="K122" i="44"/>
  <c r="K95" i="52"/>
  <c r="K91" i="51"/>
  <c r="AS91" i="51"/>
  <c r="AD91" i="49"/>
  <c r="AD91" i="48"/>
  <c r="AS91" i="46"/>
  <c r="K92" i="44"/>
  <c r="K120" i="44"/>
  <c r="K93" i="52"/>
  <c r="K97" i="51"/>
  <c r="K118" i="44"/>
  <c r="G21" i="6"/>
  <c r="J21" i="6"/>
  <c r="J22" i="6"/>
  <c r="J23" i="6"/>
  <c r="J24" i="6"/>
  <c r="J25" i="6"/>
  <c r="J26" i="6"/>
  <c r="J27" i="6"/>
  <c r="L21" i="6"/>
  <c r="L22" i="6"/>
  <c r="L23" i="6"/>
  <c r="L24" i="6"/>
  <c r="L25" i="6"/>
  <c r="L26" i="6"/>
  <c r="L27" i="6"/>
  <c r="P21" i="6"/>
  <c r="P22" i="6"/>
  <c r="P23" i="6"/>
  <c r="P24" i="6"/>
  <c r="P25" i="6"/>
  <c r="P26" i="6"/>
  <c r="P27" i="6"/>
  <c r="R21" i="6"/>
  <c r="R22" i="6"/>
  <c r="R23" i="6"/>
  <c r="R24" i="6"/>
  <c r="R25" i="6"/>
  <c r="R26" i="6"/>
  <c r="R27" i="6"/>
  <c r="T21" i="6"/>
  <c r="T22" i="6"/>
  <c r="T23" i="6"/>
  <c r="T24" i="6"/>
  <c r="T25" i="6"/>
  <c r="T26" i="6"/>
  <c r="V21" i="6"/>
  <c r="V22" i="6"/>
  <c r="V23" i="6"/>
  <c r="V24" i="6"/>
  <c r="V25" i="6"/>
  <c r="V26" i="6"/>
  <c r="V27" i="6"/>
  <c r="X21" i="6"/>
  <c r="X22" i="6"/>
  <c r="X23" i="6"/>
  <c r="X24" i="6"/>
  <c r="X25" i="6"/>
  <c r="X26" i="6"/>
  <c r="X27" i="6"/>
  <c r="Z21" i="6"/>
  <c r="Z22" i="6"/>
  <c r="Z23" i="6"/>
  <c r="Z24" i="6"/>
  <c r="Z25" i="6"/>
  <c r="Z26" i="6"/>
  <c r="Z27" i="6"/>
  <c r="AB21" i="6"/>
  <c r="AB22" i="6"/>
  <c r="AB23" i="6"/>
  <c r="AB24" i="6"/>
  <c r="AB25" i="6"/>
  <c r="AB26" i="6"/>
  <c r="AB27" i="6"/>
  <c r="AF21" i="6"/>
  <c r="AF22" i="6"/>
  <c r="AF23" i="6"/>
  <c r="AF24" i="6"/>
  <c r="AF25" i="6"/>
  <c r="AF26" i="6"/>
  <c r="AF27" i="6"/>
  <c r="AH21" i="6"/>
  <c r="AH22" i="6"/>
  <c r="AH23" i="6"/>
  <c r="AH24" i="6"/>
  <c r="AH25" i="6"/>
  <c r="AH26" i="6"/>
  <c r="AH27" i="6"/>
  <c r="AJ21" i="6"/>
  <c r="AJ22" i="6"/>
  <c r="AJ23" i="6"/>
  <c r="AJ24" i="6"/>
  <c r="AJ25" i="6"/>
  <c r="AJ26" i="6"/>
  <c r="AJ27" i="6"/>
  <c r="AL24" i="7"/>
  <c r="X24" i="7"/>
  <c r="AJ24" i="7"/>
  <c r="V24" i="7"/>
  <c r="AH24" i="7"/>
  <c r="AF24" i="7"/>
  <c r="AD24" i="7"/>
  <c r="L24" i="7"/>
  <c r="AB24" i="7"/>
  <c r="Z24" i="7"/>
  <c r="R24" i="7"/>
  <c r="P24" i="7"/>
  <c r="J24" i="7"/>
  <c r="T24" i="7"/>
  <c r="N25" i="7"/>
  <c r="T25" i="7"/>
  <c r="N26" i="7"/>
  <c r="T26" i="7"/>
  <c r="AL21" i="7"/>
  <c r="AJ21" i="7"/>
  <c r="L21" i="7"/>
  <c r="AH21" i="7"/>
  <c r="X21" i="7"/>
  <c r="AF21" i="7"/>
  <c r="AD21" i="7"/>
  <c r="AB21" i="7"/>
  <c r="Z21" i="7"/>
  <c r="V21" i="7"/>
  <c r="R21" i="7"/>
  <c r="P21" i="7"/>
  <c r="J21" i="7"/>
  <c r="G21" i="7"/>
  <c r="T27" i="7"/>
  <c r="AD27" i="7"/>
  <c r="N24" i="7"/>
  <c r="F22" i="7"/>
  <c r="T22" i="7" s="1"/>
  <c r="F23" i="7"/>
  <c r="N23" i="7" s="1"/>
  <c r="F25" i="7"/>
  <c r="F26" i="7"/>
  <c r="F27" i="7"/>
  <c r="N21" i="7"/>
  <c r="W172" i="66" l="1"/>
  <c r="W179" i="66"/>
  <c r="AJ164" i="66"/>
  <c r="L32" i="41" s="1"/>
  <c r="W194" i="66"/>
  <c r="X194" i="66"/>
  <c r="X192" i="66"/>
  <c r="W192" i="66"/>
  <c r="X195" i="66"/>
  <c r="W195" i="66"/>
  <c r="X183" i="66"/>
  <c r="W183" i="66"/>
  <c r="X196" i="66"/>
  <c r="W196" i="66"/>
  <c r="X189" i="66"/>
  <c r="W189" i="66"/>
  <c r="W175" i="66"/>
  <c r="X170" i="66"/>
  <c r="W170" i="66"/>
  <c r="X161" i="66"/>
  <c r="W161" i="66"/>
  <c r="X200" i="63"/>
  <c r="W200" i="63"/>
  <c r="X192" i="63"/>
  <c r="W192" i="63"/>
  <c r="X183" i="63"/>
  <c r="W183" i="63"/>
  <c r="X195" i="63"/>
  <c r="W195" i="63"/>
  <c r="L47" i="52"/>
  <c r="L47" i="51"/>
  <c r="L47" i="49"/>
  <c r="L47" i="48"/>
  <c r="L47" i="47"/>
  <c r="B30" i="39"/>
  <c r="L47" i="45"/>
  <c r="L91" i="44"/>
  <c r="L91" i="51"/>
  <c r="L91" i="52"/>
  <c r="L91" i="48"/>
  <c r="L91" i="47"/>
  <c r="L91" i="49"/>
  <c r="AL27" i="7"/>
  <c r="AJ27" i="7"/>
  <c r="AH27" i="7"/>
  <c r="AF27" i="7"/>
  <c r="AB27" i="7"/>
  <c r="Z27" i="7"/>
  <c r="X27" i="7"/>
  <c r="V27" i="7"/>
  <c r="L27" i="7"/>
  <c r="R27" i="7"/>
  <c r="P27" i="7"/>
  <c r="J27" i="7"/>
  <c r="AL26" i="7"/>
  <c r="AJ26" i="7"/>
  <c r="AH26" i="7"/>
  <c r="AF26" i="7"/>
  <c r="AD26" i="7"/>
  <c r="AB26" i="7"/>
  <c r="Z26" i="7"/>
  <c r="R26" i="7"/>
  <c r="P26" i="7"/>
  <c r="L26" i="7"/>
  <c r="J26" i="7"/>
  <c r="X26" i="7"/>
  <c r="V26" i="7"/>
  <c r="T23" i="7"/>
  <c r="AL25" i="7"/>
  <c r="V25" i="7"/>
  <c r="AJ25" i="7"/>
  <c r="AH25" i="7"/>
  <c r="L25" i="7"/>
  <c r="AF25" i="7"/>
  <c r="X25" i="7"/>
  <c r="AD25" i="7"/>
  <c r="AB25" i="7"/>
  <c r="Z25" i="7"/>
  <c r="R25" i="7"/>
  <c r="P25" i="7"/>
  <c r="J25" i="7"/>
  <c r="N27" i="7"/>
  <c r="AL23" i="7"/>
  <c r="AJ23" i="7"/>
  <c r="AH23" i="7"/>
  <c r="AF23" i="7"/>
  <c r="AD23" i="7"/>
  <c r="X23" i="7"/>
  <c r="AB23" i="7"/>
  <c r="Z23" i="7"/>
  <c r="V23" i="7"/>
  <c r="R23" i="7"/>
  <c r="P23" i="7"/>
  <c r="J23" i="7"/>
  <c r="L23" i="7"/>
  <c r="AL22" i="7"/>
  <c r="L22" i="7"/>
  <c r="AJ22" i="7"/>
  <c r="AH22" i="7"/>
  <c r="AF22" i="7"/>
  <c r="AD22" i="7"/>
  <c r="AB22" i="7"/>
  <c r="X22" i="7"/>
  <c r="Z22" i="7"/>
  <c r="V22" i="7"/>
  <c r="R22" i="7"/>
  <c r="P22" i="7"/>
  <c r="J22" i="7"/>
  <c r="N22" i="7"/>
  <c r="B36" i="39" l="1"/>
  <c r="C1" i="52"/>
  <c r="B35" i="39"/>
  <c r="C1" i="51"/>
  <c r="B33" i="39"/>
  <c r="C1" i="49"/>
  <c r="B32" i="39"/>
  <c r="C1" i="48"/>
  <c r="C1" i="47"/>
  <c r="B31" i="39"/>
  <c r="M86" i="62" l="1"/>
  <c r="M85" i="62"/>
  <c r="M84" i="62"/>
  <c r="M83" i="62"/>
  <c r="M82" i="62"/>
  <c r="M81" i="62"/>
  <c r="M77" i="62"/>
  <c r="M76" i="62"/>
  <c r="M75" i="62"/>
  <c r="M74" i="62"/>
  <c r="M73" i="62"/>
  <c r="M78" i="62" s="1"/>
  <c r="M69" i="62"/>
  <c r="M68" i="62"/>
  <c r="M67" i="62"/>
  <c r="M66" i="62"/>
  <c r="M65" i="62"/>
  <c r="M70" i="62" s="1"/>
  <c r="M57" i="62"/>
  <c r="M56" i="62"/>
  <c r="M55" i="62"/>
  <c r="M54" i="62"/>
  <c r="M53" i="62"/>
  <c r="M49" i="62"/>
  <c r="M48" i="62"/>
  <c r="M47" i="62"/>
  <c r="M46" i="62"/>
  <c r="M45" i="62"/>
  <c r="M50" i="62" s="1"/>
  <c r="M41" i="62"/>
  <c r="M40" i="62"/>
  <c r="M39" i="62"/>
  <c r="M38" i="62"/>
  <c r="M37" i="62"/>
  <c r="M107" i="20"/>
  <c r="M106" i="20"/>
  <c r="M105" i="20"/>
  <c r="M110" i="20" s="1"/>
  <c r="M101" i="20"/>
  <c r="M100" i="20"/>
  <c r="M99" i="20"/>
  <c r="M98" i="20"/>
  <c r="M97" i="20"/>
  <c r="M102" i="20" s="1"/>
  <c r="M93" i="20"/>
  <c r="M92" i="20"/>
  <c r="M91" i="20"/>
  <c r="M90" i="20"/>
  <c r="M89" i="20"/>
  <c r="M94" i="20" s="1"/>
  <c r="M86" i="20"/>
  <c r="M85" i="20"/>
  <c r="M84" i="20"/>
  <c r="M83" i="20"/>
  <c r="M82" i="20"/>
  <c r="M81" i="20"/>
  <c r="M74" i="20"/>
  <c r="M71" i="20"/>
  <c r="M70" i="20"/>
  <c r="M69" i="20"/>
  <c r="M65" i="20"/>
  <c r="M64" i="20"/>
  <c r="M63" i="20"/>
  <c r="M62" i="20"/>
  <c r="M61" i="20"/>
  <c r="M57" i="20"/>
  <c r="M56" i="20"/>
  <c r="M55" i="20"/>
  <c r="M54" i="20"/>
  <c r="M53" i="20"/>
  <c r="M58" i="20" s="1"/>
  <c r="M50" i="20"/>
  <c r="M49" i="20"/>
  <c r="M48" i="20"/>
  <c r="M47" i="20"/>
  <c r="M46" i="20"/>
  <c r="M45" i="20"/>
  <c r="M35" i="20"/>
  <c r="M34" i="20"/>
  <c r="M33" i="20"/>
  <c r="M38" i="20" s="1"/>
  <c r="M29" i="20"/>
  <c r="M28" i="20"/>
  <c r="M27" i="20"/>
  <c r="M26" i="20"/>
  <c r="M25" i="20"/>
  <c r="M21" i="20"/>
  <c r="M20" i="20"/>
  <c r="M19" i="20"/>
  <c r="M18" i="20"/>
  <c r="M17" i="20"/>
  <c r="M22" i="20" s="1"/>
  <c r="M13" i="20"/>
  <c r="M12" i="20"/>
  <c r="M11" i="20"/>
  <c r="M10" i="20"/>
  <c r="M9" i="20"/>
  <c r="M85" i="19"/>
  <c r="M84" i="19"/>
  <c r="M83" i="19"/>
  <c r="M82" i="19"/>
  <c r="M81" i="19"/>
  <c r="M77" i="19"/>
  <c r="M76" i="19"/>
  <c r="M75" i="19"/>
  <c r="M74" i="19"/>
  <c r="M73" i="19"/>
  <c r="M69" i="19"/>
  <c r="M68" i="19"/>
  <c r="M67" i="19"/>
  <c r="M66" i="19"/>
  <c r="M65" i="19"/>
  <c r="M57" i="19"/>
  <c r="M56" i="19"/>
  <c r="M55" i="19"/>
  <c r="M54" i="19"/>
  <c r="M53" i="19"/>
  <c r="M49" i="19"/>
  <c r="M48" i="19"/>
  <c r="M47" i="19"/>
  <c r="M46" i="19"/>
  <c r="M45" i="19"/>
  <c r="M41" i="19"/>
  <c r="M40" i="19"/>
  <c r="M39" i="19"/>
  <c r="M38" i="19"/>
  <c r="M37" i="19"/>
  <c r="M42" i="62" l="1"/>
  <c r="M58" i="62"/>
  <c r="M66" i="20"/>
  <c r="M14" i="20"/>
  <c r="M30" i="20"/>
  <c r="M50" i="19"/>
  <c r="M70" i="19"/>
  <c r="M78" i="19"/>
  <c r="M86" i="19"/>
  <c r="M58" i="19"/>
  <c r="M42" i="19"/>
  <c r="R158" i="63" l="1"/>
  <c r="R157" i="63"/>
  <c r="R156" i="63"/>
  <c r="R155" i="63"/>
  <c r="R154" i="63"/>
  <c r="R153" i="63"/>
  <c r="R152" i="63"/>
  <c r="R151" i="63"/>
  <c r="R150" i="63"/>
  <c r="R149" i="63"/>
  <c r="R148" i="63"/>
  <c r="R147" i="63"/>
  <c r="R146" i="63"/>
  <c r="R145" i="63"/>
  <c r="R144" i="63"/>
  <c r="R143" i="63"/>
  <c r="R142" i="63"/>
  <c r="R141" i="63"/>
  <c r="R140" i="63"/>
  <c r="R139" i="63"/>
  <c r="AH141" i="66" l="1"/>
  <c r="AH143" i="66" s="1"/>
  <c r="I21" i="41" s="1"/>
  <c r="AI141" i="66"/>
  <c r="AI143" i="66" s="1"/>
  <c r="K21" i="41" s="1"/>
  <c r="AJ141" i="66"/>
  <c r="AJ143" i="66" s="1"/>
  <c r="M21" i="41" s="1"/>
  <c r="AK141" i="66"/>
  <c r="AK143" i="66" s="1"/>
  <c r="G26" i="41" s="1"/>
  <c r="AL141" i="66"/>
  <c r="AL143" i="66" s="1"/>
  <c r="I26" i="41" s="1"/>
  <c r="AM141" i="66"/>
  <c r="AM143" i="66" s="1"/>
  <c r="K26" i="41" s="1"/>
  <c r="AH142" i="66"/>
  <c r="H21" i="41" s="1"/>
  <c r="AI142" i="66"/>
  <c r="J21" i="41" s="1"/>
  <c r="AM142" i="66"/>
  <c r="J26" i="41" s="1"/>
  <c r="AG142" i="66"/>
  <c r="F21" i="41" s="1"/>
  <c r="AG141" i="66"/>
  <c r="AG143" i="66" s="1"/>
  <c r="G21" i="41" s="1"/>
  <c r="S158" i="66"/>
  <c r="R158" i="66"/>
  <c r="O158" i="66"/>
  <c r="P158" i="66" s="1"/>
  <c r="N158" i="66"/>
  <c r="L158" i="66"/>
  <c r="J158" i="66"/>
  <c r="S157" i="66"/>
  <c r="R157" i="66"/>
  <c r="O157" i="66"/>
  <c r="T157" i="66" s="1"/>
  <c r="N157" i="66"/>
  <c r="L157" i="66"/>
  <c r="J157" i="66"/>
  <c r="S156" i="66"/>
  <c r="R156" i="66"/>
  <c r="O156" i="66"/>
  <c r="P156" i="66" s="1"/>
  <c r="N156" i="66"/>
  <c r="L156" i="66"/>
  <c r="J156" i="66"/>
  <c r="S155" i="66"/>
  <c r="R155" i="66"/>
  <c r="O155" i="66"/>
  <c r="P155" i="66" s="1"/>
  <c r="N155" i="66"/>
  <c r="L155" i="66"/>
  <c r="J155" i="66"/>
  <c r="S154" i="66"/>
  <c r="R154" i="66"/>
  <c r="O154" i="66"/>
  <c r="T154" i="66" s="1"/>
  <c r="N154" i="66"/>
  <c r="L154" i="66"/>
  <c r="J154" i="66"/>
  <c r="S153" i="66"/>
  <c r="R153" i="66"/>
  <c r="O153" i="66"/>
  <c r="P153" i="66" s="1"/>
  <c r="N153" i="66"/>
  <c r="L153" i="66"/>
  <c r="J153" i="66"/>
  <c r="S152" i="66"/>
  <c r="R152" i="66"/>
  <c r="O152" i="66"/>
  <c r="T152" i="66" s="1"/>
  <c r="F152" i="66" s="1"/>
  <c r="N152" i="66"/>
  <c r="L152" i="66"/>
  <c r="J152" i="66"/>
  <c r="S151" i="66"/>
  <c r="R151" i="66"/>
  <c r="O151" i="66"/>
  <c r="T151" i="66" s="1"/>
  <c r="N151" i="66"/>
  <c r="L151" i="66"/>
  <c r="J151" i="66"/>
  <c r="S150" i="66"/>
  <c r="R150" i="66"/>
  <c r="O150" i="66"/>
  <c r="P150" i="66" s="1"/>
  <c r="N150" i="66"/>
  <c r="L150" i="66"/>
  <c r="J150" i="66"/>
  <c r="S149" i="66"/>
  <c r="R149" i="66"/>
  <c r="O149" i="66"/>
  <c r="P149" i="66" s="1"/>
  <c r="N149" i="66"/>
  <c r="L149" i="66"/>
  <c r="J149" i="66"/>
  <c r="S148" i="66"/>
  <c r="R148" i="66"/>
  <c r="O148" i="66"/>
  <c r="P148" i="66" s="1"/>
  <c r="N148" i="66"/>
  <c r="L148" i="66"/>
  <c r="J148" i="66"/>
  <c r="S147" i="66"/>
  <c r="R147" i="66"/>
  <c r="O147" i="66"/>
  <c r="T147" i="66" s="1"/>
  <c r="U147" i="66" s="1"/>
  <c r="N147" i="66"/>
  <c r="L147" i="66"/>
  <c r="J147" i="66"/>
  <c r="S146" i="66"/>
  <c r="R146" i="66"/>
  <c r="O146" i="66"/>
  <c r="T146" i="66" s="1"/>
  <c r="N146" i="66"/>
  <c r="L146" i="66"/>
  <c r="J146" i="66"/>
  <c r="S145" i="66"/>
  <c r="R145" i="66"/>
  <c r="O145" i="66"/>
  <c r="P145" i="66" s="1"/>
  <c r="N145" i="66"/>
  <c r="L145" i="66"/>
  <c r="J145" i="66"/>
  <c r="S144" i="66"/>
  <c r="R144" i="66"/>
  <c r="O144" i="66"/>
  <c r="T144" i="66" s="1"/>
  <c r="N144" i="66"/>
  <c r="L144" i="66"/>
  <c r="J144" i="66"/>
  <c r="S143" i="66"/>
  <c r="R143" i="66"/>
  <c r="O143" i="66"/>
  <c r="T143" i="66" s="1"/>
  <c r="N143" i="66"/>
  <c r="L143" i="66"/>
  <c r="J143" i="66"/>
  <c r="S142" i="66"/>
  <c r="R142" i="66"/>
  <c r="O142" i="66"/>
  <c r="T142" i="66" s="1"/>
  <c r="N142" i="66"/>
  <c r="L142" i="66"/>
  <c r="J142" i="66"/>
  <c r="AF141" i="66"/>
  <c r="S141" i="66"/>
  <c r="R141" i="66"/>
  <c r="O141" i="66"/>
  <c r="T141" i="66" s="1"/>
  <c r="U141" i="66" s="1"/>
  <c r="N141" i="66"/>
  <c r="L141" i="66"/>
  <c r="J141" i="66"/>
  <c r="S140" i="66"/>
  <c r="R140" i="66"/>
  <c r="O140" i="66"/>
  <c r="P140" i="66" s="1"/>
  <c r="N140" i="66"/>
  <c r="L140" i="66"/>
  <c r="J140" i="66"/>
  <c r="S139" i="66"/>
  <c r="R139" i="66"/>
  <c r="O139" i="66"/>
  <c r="P139" i="66" s="1"/>
  <c r="N139" i="66"/>
  <c r="L139" i="66"/>
  <c r="J139" i="66"/>
  <c r="AH141" i="63"/>
  <c r="AI141" i="63"/>
  <c r="AI143" i="63" s="1"/>
  <c r="K20" i="41" s="1"/>
  <c r="AJ141" i="63"/>
  <c r="AJ143" i="63" s="1"/>
  <c r="M20" i="41" s="1"/>
  <c r="AK141" i="63"/>
  <c r="AK143" i="63" s="1"/>
  <c r="G25" i="41" s="1"/>
  <c r="AL141" i="63"/>
  <c r="AL143" i="63" s="1"/>
  <c r="I25" i="41" s="1"/>
  <c r="AM141" i="63"/>
  <c r="AM143" i="63" s="1"/>
  <c r="K25" i="41" s="1"/>
  <c r="AH142" i="63"/>
  <c r="H20" i="41" s="1"/>
  <c r="AJ142" i="63"/>
  <c r="L20" i="41" s="1"/>
  <c r="AK142" i="63"/>
  <c r="F25" i="41" s="1"/>
  <c r="AL142" i="63"/>
  <c r="H25" i="41" s="1"/>
  <c r="AM142" i="63"/>
  <c r="J25" i="41" s="1"/>
  <c r="AG142" i="63"/>
  <c r="F20" i="41" s="1"/>
  <c r="AG141" i="63"/>
  <c r="AG143" i="63" s="1"/>
  <c r="G20" i="41" s="1"/>
  <c r="F139" i="63"/>
  <c r="AI142" i="63" s="1"/>
  <c r="J20" i="41" s="1"/>
  <c r="F140" i="63"/>
  <c r="F141" i="63"/>
  <c r="F142" i="63"/>
  <c r="F143" i="63"/>
  <c r="F144" i="63"/>
  <c r="F145" i="63"/>
  <c r="F146" i="63"/>
  <c r="F147" i="63"/>
  <c r="F148" i="63"/>
  <c r="F149" i="63"/>
  <c r="F150" i="63"/>
  <c r="F151" i="63"/>
  <c r="F152" i="63"/>
  <c r="F153" i="63"/>
  <c r="F154" i="63"/>
  <c r="F155" i="63"/>
  <c r="F156" i="63"/>
  <c r="F157" i="63"/>
  <c r="F158" i="63"/>
  <c r="O158" i="63"/>
  <c r="S158" i="63" s="1"/>
  <c r="N158" i="63"/>
  <c r="L158" i="63"/>
  <c r="J158" i="63"/>
  <c r="O157" i="63"/>
  <c r="P157" i="63" s="1"/>
  <c r="N157" i="63"/>
  <c r="L157" i="63"/>
  <c r="J157" i="63"/>
  <c r="O156" i="63"/>
  <c r="S156" i="63" s="1"/>
  <c r="N156" i="63"/>
  <c r="L156" i="63"/>
  <c r="J156" i="63"/>
  <c r="O155" i="63"/>
  <c r="S155" i="63" s="1"/>
  <c r="N155" i="63"/>
  <c r="L155" i="63"/>
  <c r="J155" i="63"/>
  <c r="O154" i="63"/>
  <c r="S154" i="63" s="1"/>
  <c r="U154" i="63" s="1"/>
  <c r="N154" i="63"/>
  <c r="L154" i="63"/>
  <c r="J154" i="63"/>
  <c r="O153" i="63"/>
  <c r="S153" i="63" s="1"/>
  <c r="N153" i="63"/>
  <c r="L153" i="63"/>
  <c r="J153" i="63"/>
  <c r="O152" i="63"/>
  <c r="S152" i="63" s="1"/>
  <c r="N152" i="63"/>
  <c r="L152" i="63"/>
  <c r="J152" i="63"/>
  <c r="O151" i="63"/>
  <c r="S151" i="63" s="1"/>
  <c r="N151" i="63"/>
  <c r="L151" i="63"/>
  <c r="J151" i="63"/>
  <c r="O150" i="63"/>
  <c r="P150" i="63" s="1"/>
  <c r="N150" i="63"/>
  <c r="L150" i="63"/>
  <c r="J150" i="63"/>
  <c r="O149" i="63"/>
  <c r="S149" i="63" s="1"/>
  <c r="N149" i="63"/>
  <c r="L149" i="63"/>
  <c r="J149" i="63"/>
  <c r="O148" i="63"/>
  <c r="P148" i="63" s="1"/>
  <c r="N148" i="63"/>
  <c r="L148" i="63"/>
  <c r="J148" i="63"/>
  <c r="O147" i="63"/>
  <c r="P147" i="63" s="1"/>
  <c r="N147" i="63"/>
  <c r="L147" i="63"/>
  <c r="J147" i="63"/>
  <c r="O146" i="63"/>
  <c r="S146" i="63" s="1"/>
  <c r="N146" i="63"/>
  <c r="L146" i="63"/>
  <c r="J146" i="63"/>
  <c r="O145" i="63"/>
  <c r="P145" i="63" s="1"/>
  <c r="N145" i="63"/>
  <c r="L145" i="63"/>
  <c r="J145" i="63"/>
  <c r="O144" i="63"/>
  <c r="S144" i="63" s="1"/>
  <c r="V144" i="63" s="1"/>
  <c r="N144" i="63"/>
  <c r="L144" i="63"/>
  <c r="J144" i="63"/>
  <c r="O143" i="63"/>
  <c r="P143" i="63" s="1"/>
  <c r="N143" i="63"/>
  <c r="L143" i="63"/>
  <c r="J143" i="63"/>
  <c r="O142" i="63"/>
  <c r="S142" i="63" s="1"/>
  <c r="V142" i="63" s="1"/>
  <c r="N142" i="63"/>
  <c r="L142" i="63"/>
  <c r="J142" i="63"/>
  <c r="AH143" i="63"/>
  <c r="I20" i="41" s="1"/>
  <c r="AF141" i="63"/>
  <c r="O141" i="63"/>
  <c r="P141" i="63" s="1"/>
  <c r="N141" i="63"/>
  <c r="L141" i="63"/>
  <c r="J141" i="63"/>
  <c r="O140" i="63"/>
  <c r="S140" i="63" s="1"/>
  <c r="N140" i="63"/>
  <c r="L140" i="63"/>
  <c r="J140" i="63"/>
  <c r="O139" i="63"/>
  <c r="S139" i="63" s="1"/>
  <c r="N139" i="63"/>
  <c r="L139" i="63"/>
  <c r="J139" i="63"/>
  <c r="F9" i="41"/>
  <c r="C10" i="41"/>
  <c r="B10" i="41"/>
  <c r="B9" i="41"/>
  <c r="B20" i="41"/>
  <c r="B21" i="41"/>
  <c r="C21" i="41" s="1"/>
  <c r="J38" i="25"/>
  <c r="J37" i="25"/>
  <c r="J36" i="25"/>
  <c r="J35" i="25"/>
  <c r="J34" i="25"/>
  <c r="J52" i="24"/>
  <c r="J51" i="24"/>
  <c r="J50" i="24"/>
  <c r="J49" i="24"/>
  <c r="J48" i="24"/>
  <c r="J47" i="24"/>
  <c r="J46" i="24"/>
  <c r="J45" i="24"/>
  <c r="J53" i="23"/>
  <c r="J51" i="23"/>
  <c r="J52" i="23"/>
  <c r="J50" i="23"/>
  <c r="J49" i="23"/>
  <c r="J48" i="23"/>
  <c r="J47" i="23"/>
  <c r="J46" i="23"/>
  <c r="J45" i="23"/>
  <c r="J42" i="23"/>
  <c r="J41" i="23"/>
  <c r="J40" i="23"/>
  <c r="J38" i="23"/>
  <c r="J37" i="23"/>
  <c r="J36" i="23"/>
  <c r="J35" i="23"/>
  <c r="J34" i="23"/>
  <c r="J47" i="22"/>
  <c r="J46" i="22"/>
  <c r="J49" i="22"/>
  <c r="J48" i="22"/>
  <c r="J45" i="22"/>
  <c r="AW31" i="52"/>
  <c r="AW30" i="52"/>
  <c r="AW29" i="52"/>
  <c r="AW28" i="52"/>
  <c r="AW27" i="52"/>
  <c r="AR31" i="52"/>
  <c r="AR30" i="52"/>
  <c r="AR29" i="52"/>
  <c r="AR28" i="52"/>
  <c r="AR27" i="52"/>
  <c r="AM31" i="52"/>
  <c r="AM30" i="52"/>
  <c r="AM29" i="52"/>
  <c r="AM28" i="52"/>
  <c r="AM27" i="52"/>
  <c r="AH31" i="52"/>
  <c r="AH30" i="52"/>
  <c r="AH29" i="52"/>
  <c r="AH28" i="52"/>
  <c r="AH27" i="52"/>
  <c r="AC31" i="52"/>
  <c r="AC30" i="52"/>
  <c r="AC29" i="52"/>
  <c r="AC28" i="52"/>
  <c r="AC27" i="52"/>
  <c r="X31" i="52"/>
  <c r="X30" i="52"/>
  <c r="X29" i="52"/>
  <c r="X28" i="52"/>
  <c r="X27" i="52"/>
  <c r="S28" i="52"/>
  <c r="S29" i="52"/>
  <c r="S30" i="52"/>
  <c r="S31" i="52"/>
  <c r="S27" i="52"/>
  <c r="M28" i="52"/>
  <c r="M29" i="52"/>
  <c r="M30" i="52"/>
  <c r="M31" i="52"/>
  <c r="M27" i="52"/>
  <c r="AV31" i="52"/>
  <c r="AQ31" i="52"/>
  <c r="AL31" i="52"/>
  <c r="AG31" i="52"/>
  <c r="AB31" i="52"/>
  <c r="W31" i="52"/>
  <c r="R31" i="52"/>
  <c r="J31" i="52"/>
  <c r="I31" i="52"/>
  <c r="G31" i="52"/>
  <c r="AV30" i="52"/>
  <c r="AQ30" i="52"/>
  <c r="AL30" i="52"/>
  <c r="AG30" i="52"/>
  <c r="AB30" i="52"/>
  <c r="W30" i="52"/>
  <c r="R30" i="52"/>
  <c r="J30" i="52"/>
  <c r="I30" i="52"/>
  <c r="G30" i="52"/>
  <c r="AV29" i="52"/>
  <c r="AX27" i="52" s="1"/>
  <c r="AQ29" i="52"/>
  <c r="AL29" i="52"/>
  <c r="AG29" i="52"/>
  <c r="AB29" i="52"/>
  <c r="W29" i="52"/>
  <c r="R29" i="52"/>
  <c r="J29" i="52"/>
  <c r="I29" i="52"/>
  <c r="G29" i="52"/>
  <c r="AV28" i="52"/>
  <c r="AQ28" i="52"/>
  <c r="AL28" i="52"/>
  <c r="AG28" i="52"/>
  <c r="AB28" i="52"/>
  <c r="W28" i="52"/>
  <c r="R28" i="52"/>
  <c r="J28" i="52"/>
  <c r="I28" i="52"/>
  <c r="G28" i="52"/>
  <c r="AV27" i="52"/>
  <c r="AS27" i="52"/>
  <c r="AQ27" i="52"/>
  <c r="AL27" i="52"/>
  <c r="AN27" i="52" s="1"/>
  <c r="AG27" i="52"/>
  <c r="AB27" i="52"/>
  <c r="AD27" i="52" s="1"/>
  <c r="W27" i="52"/>
  <c r="Y27" i="52" s="1"/>
  <c r="R27" i="52"/>
  <c r="T27" i="52" s="1"/>
  <c r="K27" i="52"/>
  <c r="J27" i="52"/>
  <c r="I27" i="52"/>
  <c r="G27" i="52"/>
  <c r="H27" i="52" s="1"/>
  <c r="AW35" i="51"/>
  <c r="AW34" i="51"/>
  <c r="AW33" i="51"/>
  <c r="AW32" i="51"/>
  <c r="AW30" i="51"/>
  <c r="AW28" i="51"/>
  <c r="AW27" i="51"/>
  <c r="AR35" i="51"/>
  <c r="AR34" i="51"/>
  <c r="AR33" i="51"/>
  <c r="AR32" i="51"/>
  <c r="AR30" i="51"/>
  <c r="AR28" i="51"/>
  <c r="AR27" i="51"/>
  <c r="AM35" i="51"/>
  <c r="AM34" i="51"/>
  <c r="AM33" i="51"/>
  <c r="AM32" i="51"/>
  <c r="AM30" i="51"/>
  <c r="AM28" i="51"/>
  <c r="AM27" i="51"/>
  <c r="AH35" i="51"/>
  <c r="AH34" i="51"/>
  <c r="AH33" i="51"/>
  <c r="AH32" i="51"/>
  <c r="AH30" i="51"/>
  <c r="AH28" i="51"/>
  <c r="AH27" i="51"/>
  <c r="AC35" i="51"/>
  <c r="AC34" i="51"/>
  <c r="AC33" i="51"/>
  <c r="AC32" i="51"/>
  <c r="AC31" i="51"/>
  <c r="AC30" i="51"/>
  <c r="AC29" i="51"/>
  <c r="AC28" i="51"/>
  <c r="AC27" i="51"/>
  <c r="X35" i="51"/>
  <c r="X34" i="51"/>
  <c r="X33" i="51"/>
  <c r="X32" i="51"/>
  <c r="X31" i="51"/>
  <c r="X30" i="51"/>
  <c r="X29" i="51"/>
  <c r="X28" i="51"/>
  <c r="X27" i="51"/>
  <c r="S28" i="51"/>
  <c r="S29" i="51"/>
  <c r="S30" i="51"/>
  <c r="S31" i="51"/>
  <c r="S32" i="51"/>
  <c r="S33" i="51"/>
  <c r="S34" i="51"/>
  <c r="S35" i="51"/>
  <c r="S27" i="51"/>
  <c r="M28" i="51"/>
  <c r="M29" i="51"/>
  <c r="M30" i="51"/>
  <c r="M31" i="51"/>
  <c r="M32" i="51"/>
  <c r="M33" i="51"/>
  <c r="M34" i="51"/>
  <c r="M35" i="51"/>
  <c r="M27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AD27" i="51" s="1"/>
  <c r="W34" i="51"/>
  <c r="R34" i="51"/>
  <c r="J34" i="51"/>
  <c r="I34" i="51"/>
  <c r="G34" i="51"/>
  <c r="AV33" i="51"/>
  <c r="AQ33" i="51"/>
  <c r="AL33" i="51"/>
  <c r="AG33" i="51"/>
  <c r="AB33" i="51"/>
  <c r="W33" i="51"/>
  <c r="K33" i="51" s="1"/>
  <c r="R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B31" i="51"/>
  <c r="W31" i="51"/>
  <c r="K31" i="51" s="1"/>
  <c r="R31" i="51"/>
  <c r="J31" i="51"/>
  <c r="I31" i="51"/>
  <c r="G31" i="51"/>
  <c r="AV30" i="51"/>
  <c r="AQ30" i="51"/>
  <c r="AL30" i="51"/>
  <c r="AG30" i="51"/>
  <c r="AB30" i="51"/>
  <c r="W30" i="51"/>
  <c r="K30" i="51" s="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S27" i="51"/>
  <c r="AQ27" i="51"/>
  <c r="AL27" i="51"/>
  <c r="AN27" i="51" s="1"/>
  <c r="AG27" i="51"/>
  <c r="AI27" i="51" s="1"/>
  <c r="AB27" i="51"/>
  <c r="W27" i="51"/>
  <c r="Y27" i="51" s="1"/>
  <c r="R27" i="51"/>
  <c r="T27" i="51" s="1"/>
  <c r="J27" i="51"/>
  <c r="I27" i="51"/>
  <c r="G27" i="51"/>
  <c r="H27" i="51" s="1"/>
  <c r="U22" i="50"/>
  <c r="Z22" i="50" s="1"/>
  <c r="AE22" i="50" s="1"/>
  <c r="AJ22" i="50" s="1"/>
  <c r="AO22" i="50" s="1"/>
  <c r="AT22" i="50" s="1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K29" i="49"/>
  <c r="J29" i="49"/>
  <c r="I29" i="49"/>
  <c r="G29" i="49"/>
  <c r="AV28" i="49"/>
  <c r="AQ28" i="49"/>
  <c r="AL28" i="49"/>
  <c r="AG28" i="49"/>
  <c r="AB28" i="49"/>
  <c r="W28" i="49"/>
  <c r="R28" i="49"/>
  <c r="K28" i="49"/>
  <c r="J28" i="49"/>
  <c r="I28" i="49"/>
  <c r="G28" i="49"/>
  <c r="AV27" i="49"/>
  <c r="AX27" i="49" s="1"/>
  <c r="AQ27" i="49"/>
  <c r="AL27" i="49"/>
  <c r="AG27" i="49"/>
  <c r="AI27" i="49" s="1"/>
  <c r="AB27" i="49"/>
  <c r="AD27" i="49" s="1"/>
  <c r="W27" i="49"/>
  <c r="R27" i="49"/>
  <c r="T27" i="49" s="1"/>
  <c r="J27" i="49"/>
  <c r="I27" i="49"/>
  <c r="G27" i="49"/>
  <c r="H27" i="49" s="1"/>
  <c r="AW35" i="48"/>
  <c r="AW34" i="48"/>
  <c r="AW33" i="48"/>
  <c r="AW32" i="48"/>
  <c r="AW31" i="48"/>
  <c r="AW30" i="48"/>
  <c r="AW29" i="48"/>
  <c r="AW28" i="48"/>
  <c r="AW27" i="48"/>
  <c r="AR35" i="48"/>
  <c r="AR34" i="48"/>
  <c r="AR33" i="48"/>
  <c r="AR32" i="48"/>
  <c r="AR31" i="48"/>
  <c r="AR30" i="48"/>
  <c r="AR29" i="48"/>
  <c r="AR28" i="48"/>
  <c r="AR27" i="48"/>
  <c r="AM35" i="48"/>
  <c r="AM34" i="48"/>
  <c r="AM33" i="48"/>
  <c r="AM32" i="48"/>
  <c r="AM31" i="48"/>
  <c r="AM30" i="48"/>
  <c r="AM29" i="48"/>
  <c r="AM28" i="48"/>
  <c r="AM27" i="48"/>
  <c r="AH35" i="48"/>
  <c r="AH34" i="48"/>
  <c r="AH33" i="48"/>
  <c r="AH32" i="48"/>
  <c r="AH31" i="48"/>
  <c r="AH30" i="48"/>
  <c r="AH29" i="48"/>
  <c r="AH28" i="48"/>
  <c r="AH27" i="48"/>
  <c r="AI27" i="48"/>
  <c r="AC35" i="48"/>
  <c r="AC34" i="48"/>
  <c r="AC33" i="48"/>
  <c r="AC32" i="48"/>
  <c r="AC31" i="48"/>
  <c r="AC30" i="48"/>
  <c r="AC29" i="48"/>
  <c r="AC28" i="48"/>
  <c r="AC27" i="48"/>
  <c r="X35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35" i="48"/>
  <c r="S27" i="48"/>
  <c r="M28" i="48"/>
  <c r="M29" i="48"/>
  <c r="M30" i="48"/>
  <c r="M31" i="48"/>
  <c r="M32" i="48"/>
  <c r="M33" i="48"/>
  <c r="M34" i="48"/>
  <c r="M35" i="48"/>
  <c r="M27" i="48"/>
  <c r="AV35" i="48"/>
  <c r="AQ35" i="48"/>
  <c r="AL35" i="48"/>
  <c r="AG35" i="48"/>
  <c r="AB35" i="48"/>
  <c r="W35" i="48"/>
  <c r="R35" i="48"/>
  <c r="K35" i="48"/>
  <c r="J35" i="48"/>
  <c r="I35" i="48"/>
  <c r="G35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K33" i="48" s="1"/>
  <c r="AQ33" i="48"/>
  <c r="AL33" i="48"/>
  <c r="AG33" i="48"/>
  <c r="AB33" i="48"/>
  <c r="W33" i="48"/>
  <c r="R33" i="48"/>
  <c r="J33" i="48"/>
  <c r="I33" i="48"/>
  <c r="G33" i="48"/>
  <c r="AV32" i="48"/>
  <c r="K32" i="48" s="1"/>
  <c r="AQ32" i="48"/>
  <c r="AL32" i="48"/>
  <c r="AG32" i="48"/>
  <c r="AB32" i="48"/>
  <c r="W32" i="48"/>
  <c r="R32" i="48"/>
  <c r="J32" i="48"/>
  <c r="I32" i="48"/>
  <c r="G32" i="48"/>
  <c r="H27" i="48" s="1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V29" i="48"/>
  <c r="AQ29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X27" i="48" s="1"/>
  <c r="AQ27" i="48"/>
  <c r="AS27" i="48" s="1"/>
  <c r="AN27" i="48"/>
  <c r="AL27" i="48"/>
  <c r="AG27" i="48"/>
  <c r="AB27" i="48"/>
  <c r="AD27" i="48" s="1"/>
  <c r="W27" i="48"/>
  <c r="R27" i="48"/>
  <c r="T27" i="48" s="1"/>
  <c r="J27" i="48"/>
  <c r="I27" i="48"/>
  <c r="G27" i="48"/>
  <c r="AW31" i="47"/>
  <c r="AW30" i="47"/>
  <c r="AW29" i="47"/>
  <c r="AW28" i="47"/>
  <c r="AW27" i="47"/>
  <c r="AR31" i="47"/>
  <c r="AR30" i="47"/>
  <c r="AR29" i="47"/>
  <c r="AR28" i="47"/>
  <c r="AR27" i="47"/>
  <c r="AM31" i="47"/>
  <c r="AM30" i="47"/>
  <c r="AM29" i="47"/>
  <c r="AM28" i="47"/>
  <c r="AM27" i="47"/>
  <c r="AH31" i="47"/>
  <c r="AH30" i="47"/>
  <c r="AH29" i="47"/>
  <c r="AH28" i="47"/>
  <c r="AH27" i="47"/>
  <c r="AC31" i="47"/>
  <c r="AC30" i="47"/>
  <c r="AC29" i="47"/>
  <c r="AC28" i="47"/>
  <c r="AC27" i="47"/>
  <c r="X31" i="47"/>
  <c r="X30" i="47"/>
  <c r="X29" i="47"/>
  <c r="X28" i="47"/>
  <c r="X27" i="47"/>
  <c r="S28" i="47"/>
  <c r="S29" i="47"/>
  <c r="S30" i="47"/>
  <c r="S31" i="47"/>
  <c r="S27" i="47"/>
  <c r="M28" i="47"/>
  <c r="M29" i="47"/>
  <c r="M30" i="47"/>
  <c r="M31" i="47"/>
  <c r="M27" i="47"/>
  <c r="AV31" i="47"/>
  <c r="AQ31" i="47"/>
  <c r="AL31" i="47"/>
  <c r="AG31" i="47"/>
  <c r="AB31" i="47"/>
  <c r="W31" i="47"/>
  <c r="R31" i="47"/>
  <c r="J31" i="47"/>
  <c r="I31" i="47"/>
  <c r="G31" i="47"/>
  <c r="AV30" i="47"/>
  <c r="AQ30" i="47"/>
  <c r="AL30" i="47"/>
  <c r="AG30" i="47"/>
  <c r="AB30" i="47"/>
  <c r="W30" i="47"/>
  <c r="R30" i="47"/>
  <c r="J30" i="47"/>
  <c r="I30" i="47"/>
  <c r="G30" i="47"/>
  <c r="AV29" i="47"/>
  <c r="AQ29" i="47"/>
  <c r="AL29" i="47"/>
  <c r="AG29" i="47"/>
  <c r="AB29" i="47"/>
  <c r="W29" i="47"/>
  <c r="R29" i="47"/>
  <c r="J29" i="47"/>
  <c r="I29" i="47"/>
  <c r="G29" i="47"/>
  <c r="AV28" i="47"/>
  <c r="AQ28" i="47"/>
  <c r="AL28" i="47"/>
  <c r="AG28" i="47"/>
  <c r="AB28" i="47"/>
  <c r="W28" i="47"/>
  <c r="R28" i="47"/>
  <c r="K28" i="47"/>
  <c r="J28" i="47"/>
  <c r="I28" i="47"/>
  <c r="G28" i="47"/>
  <c r="AV27" i="47"/>
  <c r="AX27" i="47" s="1"/>
  <c r="AS27" i="47"/>
  <c r="AQ27" i="47"/>
  <c r="AL27" i="47"/>
  <c r="AN27" i="47" s="1"/>
  <c r="AG27" i="47"/>
  <c r="AI27" i="47" s="1"/>
  <c r="AB27" i="47"/>
  <c r="AD27" i="47" s="1"/>
  <c r="Y27" i="47"/>
  <c r="W27" i="47"/>
  <c r="R27" i="47"/>
  <c r="T27" i="47" s="1"/>
  <c r="J27" i="47"/>
  <c r="I27" i="47"/>
  <c r="G27" i="47"/>
  <c r="H27" i="47" s="1"/>
  <c r="AW28" i="46"/>
  <c r="AW27" i="46"/>
  <c r="AR28" i="46"/>
  <c r="AR27" i="46"/>
  <c r="AM28" i="46"/>
  <c r="AM27" i="46"/>
  <c r="AH28" i="46"/>
  <c r="AH27" i="46"/>
  <c r="AC28" i="46"/>
  <c r="AC27" i="46"/>
  <c r="X28" i="46"/>
  <c r="X27" i="46"/>
  <c r="S28" i="46"/>
  <c r="S27" i="46"/>
  <c r="M28" i="46"/>
  <c r="M27" i="46"/>
  <c r="AV28" i="46"/>
  <c r="AQ28" i="46"/>
  <c r="AL28" i="46"/>
  <c r="AG28" i="46"/>
  <c r="AB28" i="46"/>
  <c r="W28" i="46"/>
  <c r="R28" i="46"/>
  <c r="K28" i="46"/>
  <c r="J28" i="46"/>
  <c r="I28" i="46"/>
  <c r="G28" i="46"/>
  <c r="AX27" i="46"/>
  <c r="AV27" i="46"/>
  <c r="AQ27" i="46"/>
  <c r="AS27" i="46" s="1"/>
  <c r="AL27" i="46"/>
  <c r="AN27" i="46" s="1"/>
  <c r="AI27" i="46"/>
  <c r="AG27" i="46"/>
  <c r="AB27" i="46"/>
  <c r="AD27" i="46" s="1"/>
  <c r="Y27" i="46"/>
  <c r="W27" i="46"/>
  <c r="T27" i="46"/>
  <c r="R27" i="46"/>
  <c r="K27" i="46" s="1"/>
  <c r="J27" i="46"/>
  <c r="I27" i="46"/>
  <c r="G27" i="46"/>
  <c r="H27" i="46" s="1"/>
  <c r="R27" i="45"/>
  <c r="AW29" i="45"/>
  <c r="AW28" i="45"/>
  <c r="AW27" i="45"/>
  <c r="AR29" i="45"/>
  <c r="AR28" i="45"/>
  <c r="AR27" i="45"/>
  <c r="AM29" i="45"/>
  <c r="AM28" i="45"/>
  <c r="AM27" i="45"/>
  <c r="AH29" i="45"/>
  <c r="AH28" i="45"/>
  <c r="AH27" i="45"/>
  <c r="AC29" i="45"/>
  <c r="AC28" i="45"/>
  <c r="AC27" i="45"/>
  <c r="X29" i="45"/>
  <c r="X28" i="45"/>
  <c r="X27" i="45"/>
  <c r="S28" i="45"/>
  <c r="S29" i="45"/>
  <c r="S27" i="45"/>
  <c r="AV29" i="45"/>
  <c r="AQ29" i="45"/>
  <c r="AL29" i="45"/>
  <c r="AG29" i="45"/>
  <c r="AB29" i="45"/>
  <c r="W29" i="45"/>
  <c r="R29" i="45"/>
  <c r="K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X27" i="45"/>
  <c r="AV27" i="45"/>
  <c r="AQ27" i="45"/>
  <c r="AS27" i="45" s="1"/>
  <c r="AL27" i="45"/>
  <c r="AG27" i="45"/>
  <c r="AI27" i="45" s="1"/>
  <c r="AB27" i="45"/>
  <c r="AD27" i="45" s="1"/>
  <c r="W27" i="45"/>
  <c r="Y27" i="45" s="1"/>
  <c r="K27" i="45"/>
  <c r="L27" i="45" s="1"/>
  <c r="J27" i="45"/>
  <c r="I27" i="45"/>
  <c r="G27" i="45"/>
  <c r="H27" i="45" s="1"/>
  <c r="AW83" i="44"/>
  <c r="AW82" i="44"/>
  <c r="AW81" i="44"/>
  <c r="AW80" i="44"/>
  <c r="AW79" i="44"/>
  <c r="AW78" i="44"/>
  <c r="AW77" i="44"/>
  <c r="AW76" i="44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R83" i="44"/>
  <c r="AR82" i="44"/>
  <c r="AR81" i="44"/>
  <c r="AR80" i="44"/>
  <c r="AR79" i="44"/>
  <c r="AR78" i="44"/>
  <c r="AR77" i="44"/>
  <c r="AR76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M83" i="44"/>
  <c r="AM82" i="44"/>
  <c r="AM81" i="44"/>
  <c r="AM80" i="44"/>
  <c r="AM79" i="44"/>
  <c r="AM78" i="44"/>
  <c r="AM77" i="44"/>
  <c r="AM76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H83" i="44"/>
  <c r="AH82" i="44"/>
  <c r="AH81" i="44"/>
  <c r="AH80" i="44"/>
  <c r="AH79" i="44"/>
  <c r="AH78" i="44"/>
  <c r="AH77" i="44"/>
  <c r="AH76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C83" i="44"/>
  <c r="AC82" i="44"/>
  <c r="AC81" i="44"/>
  <c r="AC80" i="44"/>
  <c r="AC79" i="44"/>
  <c r="AC78" i="44"/>
  <c r="AC77" i="44"/>
  <c r="AC76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X83" i="44"/>
  <c r="X82" i="44"/>
  <c r="X81" i="44"/>
  <c r="X80" i="44"/>
  <c r="X79" i="44"/>
  <c r="X78" i="44"/>
  <c r="X77" i="44"/>
  <c r="X76" i="44"/>
  <c r="X7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76" i="44"/>
  <c r="S77" i="44"/>
  <c r="S78" i="44"/>
  <c r="S79" i="44"/>
  <c r="S80" i="44"/>
  <c r="S81" i="44"/>
  <c r="S82" i="44"/>
  <c r="S83" i="44"/>
  <c r="S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80" i="44"/>
  <c r="M81" i="44"/>
  <c r="M82" i="44"/>
  <c r="M83" i="44"/>
  <c r="M49" i="44"/>
  <c r="AV83" i="44"/>
  <c r="AQ83" i="44"/>
  <c r="AL83" i="44"/>
  <c r="AG83" i="44"/>
  <c r="AB83" i="44"/>
  <c r="W83" i="44"/>
  <c r="R83" i="44"/>
  <c r="K83" i="44"/>
  <c r="J83" i="44"/>
  <c r="I83" i="44"/>
  <c r="G83" i="44"/>
  <c r="AV82" i="44"/>
  <c r="AQ82" i="44"/>
  <c r="AL82" i="44"/>
  <c r="AG82" i="44"/>
  <c r="AB82" i="44"/>
  <c r="W82" i="44"/>
  <c r="R82" i="44"/>
  <c r="K82" i="44"/>
  <c r="J82" i="44"/>
  <c r="I82" i="44"/>
  <c r="G82" i="44"/>
  <c r="AV81" i="44"/>
  <c r="K81" i="44" s="1"/>
  <c r="AQ81" i="44"/>
  <c r="AL81" i="44"/>
  <c r="AG81" i="44"/>
  <c r="AB81" i="44"/>
  <c r="W81" i="44"/>
  <c r="R81" i="44"/>
  <c r="J81" i="44"/>
  <c r="I81" i="44"/>
  <c r="G81" i="44"/>
  <c r="AV80" i="44"/>
  <c r="K80" i="44" s="1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K77" i="44" s="1"/>
  <c r="AG77" i="44"/>
  <c r="AB77" i="44"/>
  <c r="W77" i="44"/>
  <c r="R77" i="44"/>
  <c r="J77" i="44"/>
  <c r="I77" i="44"/>
  <c r="G77" i="44"/>
  <c r="AV76" i="44"/>
  <c r="AQ76" i="44"/>
  <c r="AL76" i="44"/>
  <c r="K76" i="44" s="1"/>
  <c r="AG76" i="44"/>
  <c r="AB76" i="44"/>
  <c r="W76" i="44"/>
  <c r="R76" i="44"/>
  <c r="J76" i="44"/>
  <c r="I76" i="44"/>
  <c r="G76" i="44"/>
  <c r="AV75" i="44"/>
  <c r="AQ75" i="44"/>
  <c r="AL75" i="44"/>
  <c r="AG75" i="44"/>
  <c r="K75" i="44" s="1"/>
  <c r="AB75" i="44"/>
  <c r="W75" i="44"/>
  <c r="R75" i="44"/>
  <c r="J75" i="44"/>
  <c r="I75" i="44"/>
  <c r="G75" i="44"/>
  <c r="AV74" i="44"/>
  <c r="AQ74" i="44"/>
  <c r="AL74" i="44"/>
  <c r="AG74" i="44"/>
  <c r="AB74" i="44"/>
  <c r="W74" i="44"/>
  <c r="R74" i="44"/>
  <c r="K74" i="44" s="1"/>
  <c r="J74" i="44"/>
  <c r="I74" i="44"/>
  <c r="G74" i="44"/>
  <c r="AV73" i="44"/>
  <c r="AQ73" i="44"/>
  <c r="AL73" i="44"/>
  <c r="AG73" i="44"/>
  <c r="AB73" i="44"/>
  <c r="K73" i="44" s="1"/>
  <c r="W73" i="44"/>
  <c r="R73" i="44"/>
  <c r="J73" i="44"/>
  <c r="I73" i="44"/>
  <c r="G73" i="44"/>
  <c r="AV72" i="44"/>
  <c r="AQ72" i="44"/>
  <c r="AL72" i="44"/>
  <c r="AG72" i="44"/>
  <c r="AB72" i="44"/>
  <c r="K72" i="44" s="1"/>
  <c r="W72" i="44"/>
  <c r="R72" i="44"/>
  <c r="J72" i="44"/>
  <c r="I72" i="44"/>
  <c r="G72" i="44"/>
  <c r="AV71" i="44"/>
  <c r="AQ71" i="44"/>
  <c r="AL71" i="44"/>
  <c r="AG71" i="44"/>
  <c r="AB71" i="44"/>
  <c r="W71" i="44"/>
  <c r="K71" i="44" s="1"/>
  <c r="R71" i="44"/>
  <c r="J71" i="44"/>
  <c r="I71" i="44"/>
  <c r="G71" i="44"/>
  <c r="AV70" i="44"/>
  <c r="AQ70" i="44"/>
  <c r="AL70" i="44"/>
  <c r="AG70" i="44"/>
  <c r="AB70" i="44"/>
  <c r="W70" i="44"/>
  <c r="K70" i="44" s="1"/>
  <c r="R70" i="44"/>
  <c r="J70" i="44"/>
  <c r="I70" i="44"/>
  <c r="G70" i="44"/>
  <c r="AV69" i="44"/>
  <c r="AQ69" i="44"/>
  <c r="AL69" i="44"/>
  <c r="AG69" i="44"/>
  <c r="AB69" i="44"/>
  <c r="W69" i="44"/>
  <c r="R69" i="44"/>
  <c r="K69" i="44" s="1"/>
  <c r="J69" i="44"/>
  <c r="I69" i="44"/>
  <c r="G69" i="44"/>
  <c r="AV68" i="44"/>
  <c r="AQ68" i="44"/>
  <c r="AL68" i="44"/>
  <c r="AG68" i="44"/>
  <c r="AB68" i="44"/>
  <c r="W68" i="44"/>
  <c r="R68" i="44"/>
  <c r="K68" i="44" s="1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K66" i="44"/>
  <c r="J66" i="44"/>
  <c r="I66" i="44"/>
  <c r="G66" i="44"/>
  <c r="AV65" i="44"/>
  <c r="AQ65" i="44"/>
  <c r="AL65" i="44"/>
  <c r="AG65" i="44"/>
  <c r="AB65" i="44"/>
  <c r="W65" i="44"/>
  <c r="R65" i="44"/>
  <c r="K65" i="44"/>
  <c r="J65" i="44"/>
  <c r="I65" i="44"/>
  <c r="G65" i="44"/>
  <c r="AV64" i="44"/>
  <c r="AQ64" i="44"/>
  <c r="AL64" i="44"/>
  <c r="AG64" i="44"/>
  <c r="AB64" i="44"/>
  <c r="W64" i="44"/>
  <c r="R64" i="44"/>
  <c r="K64" i="44"/>
  <c r="J64" i="44"/>
  <c r="I64" i="44"/>
  <c r="G64" i="44"/>
  <c r="AV63" i="44"/>
  <c r="AQ63" i="44"/>
  <c r="AL63" i="44"/>
  <c r="AG63" i="44"/>
  <c r="AB63" i="44"/>
  <c r="W63" i="44"/>
  <c r="R63" i="44"/>
  <c r="K63" i="44"/>
  <c r="J63" i="44"/>
  <c r="I63" i="44"/>
  <c r="G63" i="44"/>
  <c r="AV62" i="44"/>
  <c r="AQ62" i="44"/>
  <c r="AL62" i="44"/>
  <c r="AG62" i="44"/>
  <c r="AB62" i="44"/>
  <c r="W62" i="44"/>
  <c r="R62" i="44"/>
  <c r="K62" i="44"/>
  <c r="J62" i="44"/>
  <c r="I62" i="44"/>
  <c r="G62" i="44"/>
  <c r="AV61" i="44"/>
  <c r="K61" i="44" s="1"/>
  <c r="AQ61" i="44"/>
  <c r="AL61" i="44"/>
  <c r="AG61" i="44"/>
  <c r="AB61" i="44"/>
  <c r="W61" i="44"/>
  <c r="R61" i="44"/>
  <c r="J61" i="44"/>
  <c r="I61" i="44"/>
  <c r="G61" i="44"/>
  <c r="AV60" i="44"/>
  <c r="K60" i="44" s="1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K57" i="44" s="1"/>
  <c r="AG57" i="44"/>
  <c r="AB57" i="44"/>
  <c r="W57" i="44"/>
  <c r="R57" i="44"/>
  <c r="J57" i="44"/>
  <c r="I57" i="44"/>
  <c r="G57" i="44"/>
  <c r="AV56" i="44"/>
  <c r="AQ56" i="44"/>
  <c r="AL56" i="44"/>
  <c r="K56" i="44" s="1"/>
  <c r="AG56" i="44"/>
  <c r="AB56" i="44"/>
  <c r="W56" i="44"/>
  <c r="R56" i="44"/>
  <c r="J56" i="44"/>
  <c r="I56" i="44"/>
  <c r="G56" i="44"/>
  <c r="AV55" i="44"/>
  <c r="AQ55" i="44"/>
  <c r="AL55" i="44"/>
  <c r="AG55" i="44"/>
  <c r="K55" i="44" s="1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K54" i="44" s="1"/>
  <c r="J54" i="44"/>
  <c r="I54" i="44"/>
  <c r="G54" i="44"/>
  <c r="AV53" i="44"/>
  <c r="AQ53" i="44"/>
  <c r="AS49" i="44" s="1"/>
  <c r="AL53" i="44"/>
  <c r="AG53" i="44"/>
  <c r="AB53" i="44"/>
  <c r="K53" i="44" s="1"/>
  <c r="W53" i="44"/>
  <c r="R53" i="44"/>
  <c r="J53" i="44"/>
  <c r="I53" i="44"/>
  <c r="G53" i="44"/>
  <c r="AV52" i="44"/>
  <c r="AQ52" i="44"/>
  <c r="AL52" i="44"/>
  <c r="AG52" i="44"/>
  <c r="AB52" i="44"/>
  <c r="K52" i="44" s="1"/>
  <c r="W52" i="44"/>
  <c r="R52" i="44"/>
  <c r="J52" i="44"/>
  <c r="I52" i="44"/>
  <c r="G52" i="44"/>
  <c r="AV51" i="44"/>
  <c r="AQ51" i="44"/>
  <c r="AL51" i="44"/>
  <c r="AG51" i="44"/>
  <c r="AB51" i="44"/>
  <c r="W51" i="44"/>
  <c r="K51" i="44" s="1"/>
  <c r="R51" i="44"/>
  <c r="J51" i="44"/>
  <c r="I51" i="44"/>
  <c r="G51" i="44"/>
  <c r="AV50" i="44"/>
  <c r="AQ50" i="44"/>
  <c r="AL50" i="44"/>
  <c r="AG50" i="44"/>
  <c r="AB50" i="44"/>
  <c r="W50" i="44"/>
  <c r="K50" i="44" s="1"/>
  <c r="R50" i="44"/>
  <c r="J50" i="44"/>
  <c r="I50" i="44"/>
  <c r="G50" i="44"/>
  <c r="AV49" i="44"/>
  <c r="AX49" i="44" s="1"/>
  <c r="AQ49" i="44"/>
  <c r="AL49" i="44"/>
  <c r="AN49" i="44" s="1"/>
  <c r="AG49" i="44"/>
  <c r="K49" i="44" s="1"/>
  <c r="AB49" i="44"/>
  <c r="W49" i="44"/>
  <c r="Y49" i="44" s="1"/>
  <c r="R49" i="44"/>
  <c r="J49" i="44"/>
  <c r="I49" i="44"/>
  <c r="G49" i="44"/>
  <c r="H49" i="44" s="1"/>
  <c r="G14" i="6"/>
  <c r="B14" i="6"/>
  <c r="D14" i="6"/>
  <c r="D15" i="6"/>
  <c r="D16" i="6"/>
  <c r="D17" i="6" s="1"/>
  <c r="D18" i="6" s="1"/>
  <c r="D19" i="6" s="1"/>
  <c r="D20" i="6" s="1"/>
  <c r="AC20" i="6"/>
  <c r="AD20" i="6" s="1"/>
  <c r="S20" i="6"/>
  <c r="M20" i="6"/>
  <c r="F20" i="6"/>
  <c r="AL20" i="6" s="1"/>
  <c r="AC19" i="6"/>
  <c r="AD19" i="6" s="1"/>
  <c r="S19" i="6"/>
  <c r="M19" i="6"/>
  <c r="F19" i="6"/>
  <c r="AL19" i="6" s="1"/>
  <c r="AC18" i="6"/>
  <c r="AD18" i="6" s="1"/>
  <c r="S18" i="6"/>
  <c r="M18" i="6"/>
  <c r="F18" i="6"/>
  <c r="AL18" i="6" s="1"/>
  <c r="AC17" i="6"/>
  <c r="AD17" i="6" s="1"/>
  <c r="S17" i="6"/>
  <c r="M17" i="6"/>
  <c r="F17" i="6"/>
  <c r="AL17" i="6" s="1"/>
  <c r="AC16" i="6"/>
  <c r="AD16" i="6" s="1"/>
  <c r="S16" i="6"/>
  <c r="M16" i="6"/>
  <c r="F16" i="6"/>
  <c r="AL16" i="6" s="1"/>
  <c r="AC15" i="6"/>
  <c r="AD15" i="6" s="1"/>
  <c r="S15" i="6"/>
  <c r="M15" i="6"/>
  <c r="F15" i="6"/>
  <c r="AL15" i="6" s="1"/>
  <c r="AC14" i="6"/>
  <c r="AD14" i="6" s="1"/>
  <c r="S14" i="6"/>
  <c r="M14" i="6"/>
  <c r="F14" i="6"/>
  <c r="AL14" i="6" s="1"/>
  <c r="H8" i="7"/>
  <c r="G14" i="7"/>
  <c r="B14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AC14" i="7"/>
  <c r="S14" i="7"/>
  <c r="M14" i="7"/>
  <c r="U13" i="5"/>
  <c r="U14" i="5"/>
  <c r="U15" i="5"/>
  <c r="U16" i="5"/>
  <c r="U17" i="5"/>
  <c r="U18" i="5"/>
  <c r="U12" i="5"/>
  <c r="K78" i="62" l="1"/>
  <c r="K50" i="62"/>
  <c r="K70" i="62"/>
  <c r="K86" i="62"/>
  <c r="K42" i="62"/>
  <c r="K58" i="62"/>
  <c r="K74" i="20"/>
  <c r="K50" i="20"/>
  <c r="K102" i="20"/>
  <c r="K86" i="20"/>
  <c r="K110" i="20"/>
  <c r="K58" i="19"/>
  <c r="K86" i="19"/>
  <c r="K78" i="19"/>
  <c r="K50" i="19"/>
  <c r="K66" i="20"/>
  <c r="K42" i="19"/>
  <c r="K70" i="19"/>
  <c r="K94" i="20"/>
  <c r="K38" i="20"/>
  <c r="K22" i="20"/>
  <c r="K58" i="20"/>
  <c r="K14" i="20"/>
  <c r="K30" i="20"/>
  <c r="K22" i="61"/>
  <c r="K30" i="61"/>
  <c r="K14" i="61"/>
  <c r="C9" i="41"/>
  <c r="P147" i="66"/>
  <c r="T150" i="66"/>
  <c r="V150" i="66" s="1"/>
  <c r="X150" i="66" s="1"/>
  <c r="T153" i="66"/>
  <c r="V153" i="66" s="1"/>
  <c r="X153" i="66" s="1"/>
  <c r="T156" i="66"/>
  <c r="V156" i="66" s="1"/>
  <c r="X156" i="66" s="1"/>
  <c r="P141" i="66"/>
  <c r="P152" i="66"/>
  <c r="T155" i="66"/>
  <c r="V155" i="66" s="1"/>
  <c r="T158" i="66"/>
  <c r="V158" i="66" s="1"/>
  <c r="X158" i="66" s="1"/>
  <c r="V147" i="66"/>
  <c r="X147" i="66" s="1"/>
  <c r="V141" i="66"/>
  <c r="X141" i="66" s="1"/>
  <c r="F147" i="66"/>
  <c r="F141" i="66"/>
  <c r="V142" i="66"/>
  <c r="U142" i="66"/>
  <c r="F142" i="66"/>
  <c r="F151" i="66"/>
  <c r="V151" i="66"/>
  <c r="U151" i="66"/>
  <c r="U157" i="66"/>
  <c r="V157" i="66"/>
  <c r="F157" i="66"/>
  <c r="F146" i="66"/>
  <c r="U146" i="66"/>
  <c r="V146" i="66"/>
  <c r="V143" i="66"/>
  <c r="U143" i="66"/>
  <c r="F143" i="66"/>
  <c r="F154" i="66"/>
  <c r="V154" i="66"/>
  <c r="U154" i="66"/>
  <c r="X155" i="66"/>
  <c r="W155" i="66"/>
  <c r="V144" i="66"/>
  <c r="F144" i="66"/>
  <c r="U144" i="66"/>
  <c r="T149" i="66"/>
  <c r="U152" i="66"/>
  <c r="T140" i="66"/>
  <c r="P151" i="66"/>
  <c r="T148" i="66"/>
  <c r="T139" i="66"/>
  <c r="T145" i="66"/>
  <c r="P146" i="66"/>
  <c r="V152" i="66"/>
  <c r="P157" i="66"/>
  <c r="P154" i="66"/>
  <c r="P142" i="66"/>
  <c r="P143" i="66"/>
  <c r="P144" i="66"/>
  <c r="P144" i="63"/>
  <c r="P142" i="63"/>
  <c r="S157" i="63"/>
  <c r="T157" i="63" s="1"/>
  <c r="S150" i="63"/>
  <c r="V150" i="63" s="1"/>
  <c r="X150" i="63" s="1"/>
  <c r="S143" i="63"/>
  <c r="V143" i="63" s="1"/>
  <c r="X143" i="63" s="1"/>
  <c r="P149" i="63"/>
  <c r="S141" i="63"/>
  <c r="V141" i="63" s="1"/>
  <c r="X141" i="63" s="1"/>
  <c r="P154" i="63"/>
  <c r="S147" i="63"/>
  <c r="V147" i="63" s="1"/>
  <c r="X147" i="63" s="1"/>
  <c r="T146" i="63"/>
  <c r="V146" i="63"/>
  <c r="U146" i="63"/>
  <c r="T153" i="63"/>
  <c r="V153" i="63"/>
  <c r="U153" i="63"/>
  <c r="V140" i="63"/>
  <c r="U140" i="63"/>
  <c r="T140" i="63"/>
  <c r="U156" i="63"/>
  <c r="V156" i="63"/>
  <c r="T156" i="63"/>
  <c r="X142" i="63"/>
  <c r="W142" i="63"/>
  <c r="V139" i="63"/>
  <c r="U139" i="63"/>
  <c r="T139" i="63"/>
  <c r="V158" i="63"/>
  <c r="U158" i="63"/>
  <c r="T158" i="63"/>
  <c r="X144" i="63"/>
  <c r="W144" i="63"/>
  <c r="U151" i="63"/>
  <c r="V151" i="63"/>
  <c r="T151" i="63"/>
  <c r="U149" i="63"/>
  <c r="T149" i="63"/>
  <c r="V149" i="63"/>
  <c r="V152" i="63"/>
  <c r="U152" i="63"/>
  <c r="T152" i="63"/>
  <c r="V155" i="63"/>
  <c r="U155" i="63"/>
  <c r="T155" i="63"/>
  <c r="S145" i="63"/>
  <c r="P156" i="63"/>
  <c r="P153" i="63"/>
  <c r="P151" i="63"/>
  <c r="T154" i="63"/>
  <c r="S148" i="63"/>
  <c r="V154" i="63"/>
  <c r="P158" i="63"/>
  <c r="T142" i="63"/>
  <c r="T144" i="63"/>
  <c r="P155" i="63"/>
  <c r="U142" i="63"/>
  <c r="U144" i="63"/>
  <c r="P152" i="63"/>
  <c r="P140" i="63"/>
  <c r="P146" i="63"/>
  <c r="P139" i="63"/>
  <c r="C20" i="41"/>
  <c r="L27" i="52"/>
  <c r="K29" i="52"/>
  <c r="K28" i="52"/>
  <c r="K31" i="52"/>
  <c r="K30" i="52"/>
  <c r="AI27" i="52"/>
  <c r="K27" i="51"/>
  <c r="AX27" i="51"/>
  <c r="K35" i="51"/>
  <c r="K29" i="51"/>
  <c r="K28" i="51"/>
  <c r="K32" i="51"/>
  <c r="K34" i="51"/>
  <c r="AN27" i="49"/>
  <c r="K27" i="49"/>
  <c r="AS27" i="49"/>
  <c r="K35" i="49"/>
  <c r="K33" i="49"/>
  <c r="K32" i="49"/>
  <c r="K31" i="49"/>
  <c r="K34" i="49"/>
  <c r="K30" i="49"/>
  <c r="Y27" i="49"/>
  <c r="K29" i="48"/>
  <c r="K27" i="48"/>
  <c r="K31" i="48"/>
  <c r="K30" i="48"/>
  <c r="K28" i="48"/>
  <c r="Y27" i="48"/>
  <c r="K27" i="47"/>
  <c r="K30" i="47"/>
  <c r="K31" i="47"/>
  <c r="K29" i="47"/>
  <c r="L27" i="46"/>
  <c r="M29" i="45"/>
  <c r="M28" i="45"/>
  <c r="M27" i="45"/>
  <c r="K28" i="45"/>
  <c r="T27" i="45"/>
  <c r="AN27" i="45"/>
  <c r="K67" i="44"/>
  <c r="AD49" i="44"/>
  <c r="K59" i="44"/>
  <c r="K79" i="44"/>
  <c r="AI49" i="44"/>
  <c r="K58" i="44"/>
  <c r="K78" i="44"/>
  <c r="T49" i="44"/>
  <c r="J14" i="6"/>
  <c r="J15" i="6"/>
  <c r="J16" i="6"/>
  <c r="J17" i="6"/>
  <c r="J18" i="6"/>
  <c r="J19" i="6"/>
  <c r="J20" i="6"/>
  <c r="L14" i="6"/>
  <c r="L15" i="6"/>
  <c r="L16" i="6"/>
  <c r="L17" i="6"/>
  <c r="L18" i="6"/>
  <c r="L19" i="6"/>
  <c r="L20" i="6"/>
  <c r="N14" i="6"/>
  <c r="N15" i="6"/>
  <c r="N16" i="6"/>
  <c r="N17" i="6"/>
  <c r="N18" i="6"/>
  <c r="N19" i="6"/>
  <c r="N20" i="6"/>
  <c r="P14" i="6"/>
  <c r="P15" i="6"/>
  <c r="P16" i="6"/>
  <c r="P17" i="6"/>
  <c r="P18" i="6"/>
  <c r="P19" i="6"/>
  <c r="P20" i="6"/>
  <c r="R14" i="6"/>
  <c r="R15" i="6"/>
  <c r="R16" i="6"/>
  <c r="R17" i="6"/>
  <c r="R18" i="6"/>
  <c r="R19" i="6"/>
  <c r="R20" i="6"/>
  <c r="T14" i="6"/>
  <c r="T15" i="6"/>
  <c r="T16" i="6"/>
  <c r="T17" i="6"/>
  <c r="T18" i="6"/>
  <c r="T19" i="6"/>
  <c r="T20" i="6"/>
  <c r="V14" i="6"/>
  <c r="V15" i="6"/>
  <c r="V16" i="6"/>
  <c r="V17" i="6"/>
  <c r="V18" i="6"/>
  <c r="V19" i="6"/>
  <c r="V20" i="6"/>
  <c r="X14" i="6"/>
  <c r="X15" i="6"/>
  <c r="X16" i="6"/>
  <c r="X17" i="6"/>
  <c r="X18" i="6"/>
  <c r="X19" i="6"/>
  <c r="X20" i="6"/>
  <c r="Z14" i="6"/>
  <c r="Z15" i="6"/>
  <c r="Z16" i="6"/>
  <c r="Z17" i="6"/>
  <c r="Z18" i="6"/>
  <c r="Z19" i="6"/>
  <c r="Z20" i="6"/>
  <c r="AB14" i="6"/>
  <c r="AB15" i="6"/>
  <c r="AB16" i="6"/>
  <c r="AB17" i="6"/>
  <c r="AB18" i="6"/>
  <c r="AB19" i="6"/>
  <c r="AB20" i="6"/>
  <c r="AF14" i="6"/>
  <c r="AF15" i="6"/>
  <c r="AF16" i="6"/>
  <c r="AF17" i="6"/>
  <c r="AF18" i="6"/>
  <c r="AF19" i="6"/>
  <c r="AF20" i="6"/>
  <c r="AH14" i="6"/>
  <c r="AH15" i="6"/>
  <c r="AH16" i="6"/>
  <c r="AH17" i="6"/>
  <c r="AH18" i="6"/>
  <c r="AH19" i="6"/>
  <c r="AH20" i="6"/>
  <c r="AJ14" i="6"/>
  <c r="AJ15" i="6"/>
  <c r="AJ16" i="6"/>
  <c r="AJ17" i="6"/>
  <c r="AJ18" i="6"/>
  <c r="AJ19" i="6"/>
  <c r="AJ20" i="6"/>
  <c r="N16" i="7"/>
  <c r="AD16" i="7"/>
  <c r="AD15" i="7"/>
  <c r="N18" i="7"/>
  <c r="T18" i="7"/>
  <c r="AD18" i="7"/>
  <c r="N19" i="7"/>
  <c r="T19" i="7"/>
  <c r="N20" i="7"/>
  <c r="N14" i="7"/>
  <c r="T20" i="7"/>
  <c r="T14" i="7"/>
  <c r="F15" i="7"/>
  <c r="T15" i="7" s="1"/>
  <c r="F16" i="7"/>
  <c r="T16" i="7" s="1"/>
  <c r="F17" i="7"/>
  <c r="N17" i="7" s="1"/>
  <c r="F18" i="7"/>
  <c r="F19" i="7"/>
  <c r="AD19" i="7" s="1"/>
  <c r="F20" i="7"/>
  <c r="F14" i="7"/>
  <c r="U158" i="66" l="1"/>
  <c r="W147" i="66"/>
  <c r="F155" i="66"/>
  <c r="F150" i="66"/>
  <c r="W141" i="66"/>
  <c r="F153" i="66"/>
  <c r="F158" i="66"/>
  <c r="U150" i="66"/>
  <c r="U153" i="66"/>
  <c r="W150" i="66"/>
  <c r="F156" i="66"/>
  <c r="W156" i="66"/>
  <c r="U156" i="66"/>
  <c r="W153" i="66"/>
  <c r="W158" i="66"/>
  <c r="U155" i="66"/>
  <c r="X154" i="66"/>
  <c r="W154" i="66"/>
  <c r="X142" i="66"/>
  <c r="W142" i="66"/>
  <c r="X143" i="66"/>
  <c r="W143" i="66"/>
  <c r="V145" i="66"/>
  <c r="U145" i="66"/>
  <c r="F145" i="66"/>
  <c r="AJ142" i="66" s="1"/>
  <c r="L21" i="41" s="1"/>
  <c r="W146" i="66"/>
  <c r="X146" i="66"/>
  <c r="F139" i="66"/>
  <c r="AK142" i="66" s="1"/>
  <c r="F26" i="41" s="1"/>
  <c r="V139" i="66"/>
  <c r="U139" i="66"/>
  <c r="F148" i="66"/>
  <c r="V148" i="66"/>
  <c r="U148" i="66"/>
  <c r="F140" i="66"/>
  <c r="V140" i="66"/>
  <c r="U140" i="66"/>
  <c r="X157" i="66"/>
  <c r="W157" i="66"/>
  <c r="F149" i="66"/>
  <c r="V149" i="66"/>
  <c r="U149" i="66"/>
  <c r="X151" i="66"/>
  <c r="W151" i="66"/>
  <c r="X144" i="66"/>
  <c r="W144" i="66"/>
  <c r="W152" i="66"/>
  <c r="X152" i="66"/>
  <c r="U147" i="63"/>
  <c r="U150" i="63"/>
  <c r="W147" i="63"/>
  <c r="V157" i="63"/>
  <c r="X157" i="63" s="1"/>
  <c r="U157" i="63"/>
  <c r="U143" i="63"/>
  <c r="W141" i="63"/>
  <c r="W143" i="63"/>
  <c r="T143" i="63"/>
  <c r="U141" i="63"/>
  <c r="T147" i="63"/>
  <c r="W150" i="63"/>
  <c r="T141" i="63"/>
  <c r="T150" i="63"/>
  <c r="W152" i="63"/>
  <c r="X152" i="63"/>
  <c r="X154" i="63"/>
  <c r="W154" i="63"/>
  <c r="X158" i="63"/>
  <c r="W158" i="63"/>
  <c r="W146" i="63"/>
  <c r="X146" i="63"/>
  <c r="W155" i="63"/>
  <c r="X155" i="63"/>
  <c r="X156" i="63"/>
  <c r="W156" i="63"/>
  <c r="X149" i="63"/>
  <c r="W149" i="63"/>
  <c r="X140" i="63"/>
  <c r="W140" i="63"/>
  <c r="X151" i="63"/>
  <c r="W151" i="63"/>
  <c r="X153" i="63"/>
  <c r="W153" i="63"/>
  <c r="V148" i="63"/>
  <c r="U148" i="63"/>
  <c r="T148" i="63"/>
  <c r="V145" i="63"/>
  <c r="U145" i="63"/>
  <c r="T145" i="63"/>
  <c r="X139" i="63"/>
  <c r="W139" i="63"/>
  <c r="L27" i="51"/>
  <c r="L27" i="49"/>
  <c r="L27" i="48"/>
  <c r="L27" i="47"/>
  <c r="L49" i="44"/>
  <c r="AD17" i="7"/>
  <c r="T17" i="7"/>
  <c r="AL14" i="7"/>
  <c r="AB14" i="7"/>
  <c r="Z14" i="7"/>
  <c r="X14" i="7"/>
  <c r="V14" i="7"/>
  <c r="AJ14" i="7"/>
  <c r="AH14" i="7"/>
  <c r="AF14" i="7"/>
  <c r="R14" i="7"/>
  <c r="P14" i="7"/>
  <c r="L14" i="7"/>
  <c r="J14" i="7"/>
  <c r="AL20" i="7"/>
  <c r="AB20" i="7"/>
  <c r="Z20" i="7"/>
  <c r="X20" i="7"/>
  <c r="V20" i="7"/>
  <c r="AJ20" i="7"/>
  <c r="AH20" i="7"/>
  <c r="AF20" i="7"/>
  <c r="R20" i="7"/>
  <c r="P20" i="7"/>
  <c r="L20" i="7"/>
  <c r="J20" i="7"/>
  <c r="AL19" i="7"/>
  <c r="AJ19" i="7"/>
  <c r="AH19" i="7"/>
  <c r="AB19" i="7"/>
  <c r="Z19" i="7"/>
  <c r="X19" i="7"/>
  <c r="V19" i="7"/>
  <c r="AF19" i="7"/>
  <c r="P19" i="7"/>
  <c r="L19" i="7"/>
  <c r="R19" i="7"/>
  <c r="J19" i="7"/>
  <c r="AL18" i="7"/>
  <c r="AJ18" i="7"/>
  <c r="Z18" i="7"/>
  <c r="AH18" i="7"/>
  <c r="AF18" i="7"/>
  <c r="V18" i="7"/>
  <c r="R18" i="7"/>
  <c r="P18" i="7"/>
  <c r="L18" i="7"/>
  <c r="J18" i="7"/>
  <c r="AB18" i="7"/>
  <c r="X18" i="7"/>
  <c r="AL17" i="7"/>
  <c r="AB17" i="7"/>
  <c r="Z17" i="7"/>
  <c r="AJ17" i="7"/>
  <c r="AH17" i="7"/>
  <c r="AF17" i="7"/>
  <c r="V17" i="7"/>
  <c r="R17" i="7"/>
  <c r="P17" i="7"/>
  <c r="L17" i="7"/>
  <c r="J17" i="7"/>
  <c r="X17" i="7"/>
  <c r="AL16" i="7"/>
  <c r="AB16" i="7"/>
  <c r="Z16" i="7"/>
  <c r="AJ16" i="7"/>
  <c r="X16" i="7"/>
  <c r="V16" i="7"/>
  <c r="AH16" i="7"/>
  <c r="AF16" i="7"/>
  <c r="R16" i="7"/>
  <c r="P16" i="7"/>
  <c r="L16" i="7"/>
  <c r="J16" i="7"/>
  <c r="AL15" i="7"/>
  <c r="AB15" i="7"/>
  <c r="Z15" i="7"/>
  <c r="X15" i="7"/>
  <c r="V15" i="7"/>
  <c r="AJ15" i="7"/>
  <c r="AH15" i="7"/>
  <c r="AF15" i="7"/>
  <c r="R15" i="7"/>
  <c r="P15" i="7"/>
  <c r="L15" i="7"/>
  <c r="J15" i="7"/>
  <c r="N15" i="7"/>
  <c r="AD20" i="7"/>
  <c r="AD14" i="7"/>
  <c r="AL142" i="66" l="1"/>
  <c r="H26" i="41" s="1"/>
  <c r="W157" i="63"/>
  <c r="X140" i="66"/>
  <c r="W140" i="66"/>
  <c r="X148" i="66"/>
  <c r="W148" i="66"/>
  <c r="X139" i="66"/>
  <c r="W139" i="66"/>
  <c r="X145" i="66"/>
  <c r="W145" i="66"/>
  <c r="X149" i="66"/>
  <c r="W149" i="66"/>
  <c r="X145" i="63"/>
  <c r="W145" i="63"/>
  <c r="X148" i="63"/>
  <c r="W148" i="63"/>
  <c r="F7" i="63"/>
  <c r="J7" i="63"/>
  <c r="L7" i="63"/>
  <c r="N7" i="63"/>
  <c r="O7" i="63"/>
  <c r="P7" i="63" s="1"/>
  <c r="R7" i="63"/>
  <c r="F8" i="63"/>
  <c r="J8" i="63"/>
  <c r="L8" i="63"/>
  <c r="N8" i="63"/>
  <c r="O8" i="63"/>
  <c r="S8" i="63" s="1"/>
  <c r="P8" i="63"/>
  <c r="R8" i="63"/>
  <c r="F9" i="63"/>
  <c r="J9" i="63"/>
  <c r="L9" i="63"/>
  <c r="N9" i="63"/>
  <c r="O9" i="63"/>
  <c r="P9" i="63" s="1"/>
  <c r="R9" i="63"/>
  <c r="F10" i="63"/>
  <c r="J10" i="63"/>
  <c r="L10" i="63"/>
  <c r="N10" i="63"/>
  <c r="O10" i="63"/>
  <c r="P10" i="63"/>
  <c r="R10" i="63"/>
  <c r="S10" i="63"/>
  <c r="T10" i="63" s="1"/>
  <c r="F11" i="63"/>
  <c r="J11" i="63"/>
  <c r="L11" i="63"/>
  <c r="N11" i="63"/>
  <c r="O11" i="63"/>
  <c r="P11" i="63" s="1"/>
  <c r="R11" i="63"/>
  <c r="S11" i="63"/>
  <c r="T11" i="63" s="1"/>
  <c r="F12" i="63"/>
  <c r="J12" i="63"/>
  <c r="L12" i="63"/>
  <c r="N12" i="63"/>
  <c r="O12" i="63"/>
  <c r="P12" i="63"/>
  <c r="R12" i="63"/>
  <c r="S12" i="63"/>
  <c r="U12" i="63" s="1"/>
  <c r="T12" i="63"/>
  <c r="F13" i="63"/>
  <c r="J13" i="63"/>
  <c r="L13" i="63"/>
  <c r="N13" i="63"/>
  <c r="O13" i="63"/>
  <c r="P13" i="63" s="1"/>
  <c r="R13" i="63"/>
  <c r="S13" i="63"/>
  <c r="T13" i="63" s="1"/>
  <c r="F14" i="63"/>
  <c r="J14" i="63"/>
  <c r="L14" i="63"/>
  <c r="N14" i="63"/>
  <c r="O14" i="63"/>
  <c r="P14" i="63"/>
  <c r="R14" i="63"/>
  <c r="S14" i="63"/>
  <c r="T14" i="63"/>
  <c r="U14" i="63"/>
  <c r="F15" i="63"/>
  <c r="J15" i="63"/>
  <c r="L15" i="63"/>
  <c r="N15" i="63"/>
  <c r="O15" i="63"/>
  <c r="P15" i="63" s="1"/>
  <c r="R15" i="63"/>
  <c r="S15" i="63"/>
  <c r="T15" i="63"/>
  <c r="U15" i="63"/>
  <c r="F16" i="63"/>
  <c r="J16" i="63"/>
  <c r="L16" i="63"/>
  <c r="N16" i="63"/>
  <c r="O16" i="63"/>
  <c r="P16" i="63" s="1"/>
  <c r="R16" i="63"/>
  <c r="S16" i="63"/>
  <c r="T16" i="63"/>
  <c r="U16" i="63"/>
  <c r="F17" i="63"/>
  <c r="J17" i="63"/>
  <c r="L17" i="63"/>
  <c r="N17" i="63"/>
  <c r="O17" i="63"/>
  <c r="P17" i="63" s="1"/>
  <c r="R17" i="63"/>
  <c r="S17" i="63"/>
  <c r="T17" i="63"/>
  <c r="U17" i="63"/>
  <c r="F18" i="63"/>
  <c r="J18" i="63"/>
  <c r="L18" i="63"/>
  <c r="N18" i="63"/>
  <c r="O18" i="63"/>
  <c r="P18" i="63"/>
  <c r="R18" i="63"/>
  <c r="S18" i="63"/>
  <c r="T18" i="63"/>
  <c r="U18" i="63"/>
  <c r="F19" i="63"/>
  <c r="J19" i="63"/>
  <c r="L19" i="63"/>
  <c r="N19" i="63"/>
  <c r="O19" i="63"/>
  <c r="P19" i="63" s="1"/>
  <c r="R19" i="63"/>
  <c r="S19" i="63"/>
  <c r="T19" i="63" s="1"/>
  <c r="U19" i="63"/>
  <c r="F20" i="63"/>
  <c r="J20" i="63"/>
  <c r="L20" i="63"/>
  <c r="N20" i="63"/>
  <c r="O20" i="63"/>
  <c r="P20" i="63"/>
  <c r="R20" i="63"/>
  <c r="S20" i="63"/>
  <c r="T20" i="63"/>
  <c r="U20" i="63"/>
  <c r="F21" i="63"/>
  <c r="J21" i="63"/>
  <c r="L21" i="63"/>
  <c r="N21" i="63"/>
  <c r="O21" i="63"/>
  <c r="P21" i="63" s="1"/>
  <c r="R21" i="63"/>
  <c r="S21" i="63"/>
  <c r="T21" i="63"/>
  <c r="U21" i="63"/>
  <c r="F22" i="63"/>
  <c r="J22" i="63"/>
  <c r="L22" i="63"/>
  <c r="N22" i="63"/>
  <c r="O22" i="63"/>
  <c r="P22" i="63" s="1"/>
  <c r="R22" i="63"/>
  <c r="F23" i="63"/>
  <c r="J23" i="63"/>
  <c r="L23" i="63"/>
  <c r="N23" i="63"/>
  <c r="O23" i="63"/>
  <c r="P23" i="63" s="1"/>
  <c r="R23" i="63"/>
  <c r="S23" i="63"/>
  <c r="T23" i="63"/>
  <c r="U23" i="63"/>
  <c r="F24" i="63"/>
  <c r="J24" i="63"/>
  <c r="L24" i="63"/>
  <c r="N24" i="63"/>
  <c r="O24" i="63"/>
  <c r="P24" i="63" s="1"/>
  <c r="R24" i="63"/>
  <c r="F25" i="63"/>
  <c r="J25" i="63"/>
  <c r="L25" i="63"/>
  <c r="N25" i="63"/>
  <c r="O25" i="63"/>
  <c r="P25" i="63" s="1"/>
  <c r="R25" i="63"/>
  <c r="F26" i="63"/>
  <c r="J26" i="63"/>
  <c r="L26" i="63"/>
  <c r="N26" i="63"/>
  <c r="O26" i="63"/>
  <c r="P26" i="63" s="1"/>
  <c r="R26" i="63"/>
  <c r="F29" i="63"/>
  <c r="J29" i="63"/>
  <c r="L29" i="63"/>
  <c r="N29" i="63"/>
  <c r="O29" i="63"/>
  <c r="P29" i="63" s="1"/>
  <c r="R29" i="63"/>
  <c r="F30" i="63"/>
  <c r="J30" i="63"/>
  <c r="L30" i="63"/>
  <c r="N30" i="63"/>
  <c r="O30" i="63"/>
  <c r="S30" i="63" s="1"/>
  <c r="P30" i="63"/>
  <c r="R30" i="63"/>
  <c r="F31" i="63"/>
  <c r="J31" i="63"/>
  <c r="L31" i="63"/>
  <c r="N31" i="63"/>
  <c r="O31" i="63"/>
  <c r="P31" i="63" s="1"/>
  <c r="R31" i="63"/>
  <c r="S31" i="63"/>
  <c r="T31" i="63" s="1"/>
  <c r="F32" i="63"/>
  <c r="J32" i="63"/>
  <c r="L32" i="63"/>
  <c r="N32" i="63"/>
  <c r="O32" i="63"/>
  <c r="P32" i="63"/>
  <c r="R32" i="63"/>
  <c r="S32" i="63"/>
  <c r="T32" i="63" s="1"/>
  <c r="F33" i="63"/>
  <c r="J33" i="63"/>
  <c r="L33" i="63"/>
  <c r="N33" i="63"/>
  <c r="O33" i="63"/>
  <c r="P33" i="63" s="1"/>
  <c r="R33" i="63"/>
  <c r="S33" i="63"/>
  <c r="U33" i="63" s="1"/>
  <c r="T33" i="63"/>
  <c r="F34" i="63"/>
  <c r="J34" i="63"/>
  <c r="L34" i="63"/>
  <c r="N34" i="63"/>
  <c r="O34" i="63"/>
  <c r="P34" i="63"/>
  <c r="R34" i="63"/>
  <c r="S34" i="63"/>
  <c r="T34" i="63" s="1"/>
  <c r="F35" i="63"/>
  <c r="J35" i="63"/>
  <c r="L35" i="63"/>
  <c r="N35" i="63"/>
  <c r="O35" i="63"/>
  <c r="P35" i="63" s="1"/>
  <c r="R35" i="63"/>
  <c r="S35" i="63"/>
  <c r="T35" i="63"/>
  <c r="U35" i="63"/>
  <c r="F36" i="63"/>
  <c r="J36" i="63"/>
  <c r="L36" i="63"/>
  <c r="N36" i="63"/>
  <c r="O36" i="63"/>
  <c r="P36" i="63"/>
  <c r="R36" i="63"/>
  <c r="S36" i="63"/>
  <c r="U36" i="63" s="1"/>
  <c r="T36" i="63"/>
  <c r="F37" i="63"/>
  <c r="J37" i="63"/>
  <c r="L37" i="63"/>
  <c r="N37" i="63"/>
  <c r="O37" i="63"/>
  <c r="P37" i="63" s="1"/>
  <c r="R37" i="63"/>
  <c r="S37" i="63"/>
  <c r="T37" i="63"/>
  <c r="U37" i="63"/>
  <c r="F38" i="63"/>
  <c r="J38" i="63"/>
  <c r="L38" i="63"/>
  <c r="N38" i="63"/>
  <c r="O38" i="63"/>
  <c r="P38" i="63"/>
  <c r="R38" i="63"/>
  <c r="S38" i="63"/>
  <c r="T38" i="63"/>
  <c r="U38" i="63"/>
  <c r="F39" i="63"/>
  <c r="J39" i="63"/>
  <c r="L39" i="63"/>
  <c r="N39" i="63"/>
  <c r="O39" i="63"/>
  <c r="P39" i="63" s="1"/>
  <c r="R39" i="63"/>
  <c r="F40" i="63"/>
  <c r="J40" i="63"/>
  <c r="L40" i="63"/>
  <c r="N40" i="63"/>
  <c r="O40" i="63"/>
  <c r="P40" i="63"/>
  <c r="R40" i="63"/>
  <c r="S40" i="63"/>
  <c r="T40" i="63" s="1"/>
  <c r="U40" i="63"/>
  <c r="F41" i="63"/>
  <c r="J41" i="63"/>
  <c r="L41" i="63"/>
  <c r="N41" i="63"/>
  <c r="O41" i="63"/>
  <c r="P41" i="63" s="1"/>
  <c r="R41" i="63"/>
  <c r="F42" i="63"/>
  <c r="J42" i="63"/>
  <c r="L42" i="63"/>
  <c r="N42" i="63"/>
  <c r="O42" i="63"/>
  <c r="P42" i="63"/>
  <c r="R42" i="63"/>
  <c r="S42" i="63"/>
  <c r="T42" i="63"/>
  <c r="U42" i="63"/>
  <c r="F43" i="63"/>
  <c r="J43" i="63"/>
  <c r="L43" i="63"/>
  <c r="N43" i="63"/>
  <c r="O43" i="63"/>
  <c r="P43" i="63" s="1"/>
  <c r="R43" i="63"/>
  <c r="S43" i="63"/>
  <c r="T43" i="63" s="1"/>
  <c r="F44" i="63"/>
  <c r="J44" i="63"/>
  <c r="L44" i="63"/>
  <c r="N44" i="63"/>
  <c r="O44" i="63"/>
  <c r="P44" i="63" s="1"/>
  <c r="R44" i="63"/>
  <c r="S44" i="63"/>
  <c r="T44" i="63"/>
  <c r="U44" i="63"/>
  <c r="F45" i="63"/>
  <c r="J45" i="63"/>
  <c r="L45" i="63"/>
  <c r="N45" i="63"/>
  <c r="O45" i="63"/>
  <c r="P45" i="63" s="1"/>
  <c r="R45" i="63"/>
  <c r="F46" i="63"/>
  <c r="J46" i="63"/>
  <c r="L46" i="63"/>
  <c r="N46" i="63"/>
  <c r="O46" i="63"/>
  <c r="P46" i="63" s="1"/>
  <c r="R46" i="63"/>
  <c r="F47" i="63"/>
  <c r="J47" i="63"/>
  <c r="L47" i="63"/>
  <c r="N47" i="63"/>
  <c r="O47" i="63"/>
  <c r="P47" i="63" s="1"/>
  <c r="R47" i="63"/>
  <c r="F48" i="63"/>
  <c r="J48" i="63"/>
  <c r="L48" i="63"/>
  <c r="N48" i="63"/>
  <c r="O48" i="63"/>
  <c r="S48" i="63" s="1"/>
  <c r="P48" i="63"/>
  <c r="R48" i="63"/>
  <c r="F51" i="63"/>
  <c r="J51" i="63"/>
  <c r="L51" i="63"/>
  <c r="N51" i="63"/>
  <c r="O51" i="63"/>
  <c r="P51" i="63" s="1"/>
  <c r="R51" i="63"/>
  <c r="F52" i="63"/>
  <c r="J52" i="63"/>
  <c r="L52" i="63"/>
  <c r="N52" i="63"/>
  <c r="O52" i="63"/>
  <c r="S52" i="63" s="1"/>
  <c r="P52" i="63"/>
  <c r="R52" i="63"/>
  <c r="F53" i="63"/>
  <c r="J53" i="63"/>
  <c r="L53" i="63"/>
  <c r="N53" i="63"/>
  <c r="O53" i="63"/>
  <c r="P53" i="63" s="1"/>
  <c r="R53" i="63"/>
  <c r="F54" i="63"/>
  <c r="J54" i="63"/>
  <c r="L54" i="63"/>
  <c r="N54" i="63"/>
  <c r="O54" i="63"/>
  <c r="P54" i="63"/>
  <c r="R54" i="63"/>
  <c r="S54" i="63"/>
  <c r="T54" i="63" s="1"/>
  <c r="F55" i="63"/>
  <c r="J55" i="63"/>
  <c r="L55" i="63"/>
  <c r="N55" i="63"/>
  <c r="O55" i="63"/>
  <c r="P55" i="63" s="1"/>
  <c r="R55" i="63"/>
  <c r="S55" i="63"/>
  <c r="T55" i="63" s="1"/>
  <c r="F56" i="63"/>
  <c r="J56" i="63"/>
  <c r="L56" i="63"/>
  <c r="N56" i="63"/>
  <c r="O56" i="63"/>
  <c r="P56" i="63"/>
  <c r="R56" i="63"/>
  <c r="S56" i="63"/>
  <c r="U56" i="63" s="1"/>
  <c r="T56" i="63"/>
  <c r="F57" i="63"/>
  <c r="J57" i="63"/>
  <c r="L57" i="63"/>
  <c r="N57" i="63"/>
  <c r="O57" i="63"/>
  <c r="P57" i="63" s="1"/>
  <c r="R57" i="63"/>
  <c r="S57" i="63"/>
  <c r="T57" i="63"/>
  <c r="U57" i="63"/>
  <c r="F58" i="63"/>
  <c r="J58" i="63"/>
  <c r="L58" i="63"/>
  <c r="N58" i="63"/>
  <c r="O58" i="63"/>
  <c r="P58" i="63"/>
  <c r="R58" i="63"/>
  <c r="S58" i="63"/>
  <c r="T58" i="63"/>
  <c r="U58" i="63"/>
  <c r="F59" i="63"/>
  <c r="J59" i="63"/>
  <c r="L59" i="63"/>
  <c r="N59" i="63"/>
  <c r="O59" i="63"/>
  <c r="P59" i="63" s="1"/>
  <c r="R59" i="63"/>
  <c r="S59" i="63"/>
  <c r="T59" i="63"/>
  <c r="U59" i="63"/>
  <c r="F60" i="63"/>
  <c r="J60" i="63"/>
  <c r="L60" i="63"/>
  <c r="N60" i="63"/>
  <c r="O60" i="63"/>
  <c r="P60" i="63" s="1"/>
  <c r="R60" i="63"/>
  <c r="S60" i="63"/>
  <c r="T60" i="63"/>
  <c r="U60" i="63"/>
  <c r="F61" i="63"/>
  <c r="J61" i="63"/>
  <c r="L61" i="63"/>
  <c r="N61" i="63"/>
  <c r="O61" i="63"/>
  <c r="P61" i="63" s="1"/>
  <c r="R61" i="63"/>
  <c r="S61" i="63"/>
  <c r="T61" i="63"/>
  <c r="U61" i="63"/>
  <c r="F62" i="63"/>
  <c r="J62" i="63"/>
  <c r="L62" i="63"/>
  <c r="N62" i="63"/>
  <c r="O62" i="63"/>
  <c r="P62" i="63"/>
  <c r="R62" i="63"/>
  <c r="S62" i="63"/>
  <c r="T62" i="63"/>
  <c r="U62" i="63"/>
  <c r="F63" i="63"/>
  <c r="J63" i="63"/>
  <c r="L63" i="63"/>
  <c r="N63" i="63"/>
  <c r="O63" i="63"/>
  <c r="P63" i="63" s="1"/>
  <c r="R63" i="63"/>
  <c r="S63" i="63"/>
  <c r="T63" i="63"/>
  <c r="U63" i="63"/>
  <c r="F64" i="63"/>
  <c r="J64" i="63"/>
  <c r="L64" i="63"/>
  <c r="N64" i="63"/>
  <c r="O64" i="63"/>
  <c r="P64" i="63"/>
  <c r="R64" i="63"/>
  <c r="S64" i="63"/>
  <c r="T64" i="63"/>
  <c r="U64" i="63"/>
  <c r="F65" i="63"/>
  <c r="J65" i="63"/>
  <c r="L65" i="63"/>
  <c r="N65" i="63"/>
  <c r="O65" i="63"/>
  <c r="P65" i="63" s="1"/>
  <c r="R65" i="63"/>
  <c r="S65" i="63"/>
  <c r="T65" i="63"/>
  <c r="U65" i="63"/>
  <c r="F66" i="63"/>
  <c r="J66" i="63"/>
  <c r="L66" i="63"/>
  <c r="N66" i="63"/>
  <c r="O66" i="63"/>
  <c r="P66" i="63" s="1"/>
  <c r="R66" i="63"/>
  <c r="F67" i="63"/>
  <c r="J67" i="63"/>
  <c r="L67" i="63"/>
  <c r="N67" i="63"/>
  <c r="O67" i="63"/>
  <c r="P67" i="63" s="1"/>
  <c r="R67" i="63"/>
  <c r="F68" i="63"/>
  <c r="J68" i="63"/>
  <c r="L68" i="63"/>
  <c r="N68" i="63"/>
  <c r="O68" i="63"/>
  <c r="P68" i="63" s="1"/>
  <c r="R68" i="63"/>
  <c r="F69" i="63"/>
  <c r="J69" i="63"/>
  <c r="L69" i="63"/>
  <c r="N69" i="63"/>
  <c r="O69" i="63"/>
  <c r="P69" i="63" s="1"/>
  <c r="R69" i="63"/>
  <c r="F70" i="63"/>
  <c r="J70" i="63"/>
  <c r="L70" i="63"/>
  <c r="N70" i="63"/>
  <c r="O70" i="63"/>
  <c r="S70" i="63" s="1"/>
  <c r="P70" i="63"/>
  <c r="R70" i="63"/>
  <c r="F73" i="63"/>
  <c r="J73" i="63"/>
  <c r="L73" i="63"/>
  <c r="N73" i="63"/>
  <c r="O73" i="63"/>
  <c r="P73" i="63" s="1"/>
  <c r="R73" i="63"/>
  <c r="F74" i="63"/>
  <c r="J74" i="63"/>
  <c r="L74" i="63"/>
  <c r="N74" i="63"/>
  <c r="O74" i="63"/>
  <c r="P74" i="63"/>
  <c r="R74" i="63"/>
  <c r="S74" i="63"/>
  <c r="T74" i="63" s="1"/>
  <c r="F75" i="63"/>
  <c r="J75" i="63"/>
  <c r="L75" i="63"/>
  <c r="N75" i="63"/>
  <c r="O75" i="63"/>
  <c r="P75" i="63" s="1"/>
  <c r="R75" i="63"/>
  <c r="S75" i="63"/>
  <c r="T75" i="63" s="1"/>
  <c r="F76" i="63"/>
  <c r="J76" i="63"/>
  <c r="L76" i="63"/>
  <c r="N76" i="63"/>
  <c r="O76" i="63"/>
  <c r="P76" i="63"/>
  <c r="R76" i="63"/>
  <c r="S76" i="63"/>
  <c r="T76" i="63" s="1"/>
  <c r="F77" i="63"/>
  <c r="J77" i="63"/>
  <c r="L77" i="63"/>
  <c r="N77" i="63"/>
  <c r="O77" i="63"/>
  <c r="P77" i="63" s="1"/>
  <c r="R77" i="63"/>
  <c r="S77" i="63"/>
  <c r="U77" i="63" s="1"/>
  <c r="T77" i="63"/>
  <c r="F78" i="63"/>
  <c r="J78" i="63"/>
  <c r="L78" i="63"/>
  <c r="N78" i="63"/>
  <c r="O78" i="63"/>
  <c r="P78" i="63"/>
  <c r="R78" i="63"/>
  <c r="S78" i="63"/>
  <c r="T78" i="63"/>
  <c r="U78" i="63"/>
  <c r="F79" i="63"/>
  <c r="J79" i="63"/>
  <c r="L79" i="63"/>
  <c r="N79" i="63"/>
  <c r="O79" i="63"/>
  <c r="P79" i="63" s="1"/>
  <c r="R79" i="63"/>
  <c r="S79" i="63"/>
  <c r="T79" i="63"/>
  <c r="U79" i="63"/>
  <c r="F80" i="63"/>
  <c r="J80" i="63"/>
  <c r="L80" i="63"/>
  <c r="N80" i="63"/>
  <c r="O80" i="63"/>
  <c r="P80" i="63"/>
  <c r="R80" i="63"/>
  <c r="S80" i="63"/>
  <c r="T80" i="63"/>
  <c r="U80" i="63"/>
  <c r="F81" i="63"/>
  <c r="J81" i="63"/>
  <c r="L81" i="63"/>
  <c r="N81" i="63"/>
  <c r="O81" i="63"/>
  <c r="P81" i="63" s="1"/>
  <c r="R81" i="63"/>
  <c r="S81" i="63"/>
  <c r="T81" i="63"/>
  <c r="U81" i="63"/>
  <c r="F82" i="63"/>
  <c r="J82" i="63"/>
  <c r="L82" i="63"/>
  <c r="N82" i="63"/>
  <c r="O82" i="63"/>
  <c r="P82" i="63"/>
  <c r="R82" i="63"/>
  <c r="S82" i="63"/>
  <c r="T82" i="63"/>
  <c r="U82" i="63"/>
  <c r="F83" i="63"/>
  <c r="J83" i="63"/>
  <c r="L83" i="63"/>
  <c r="N83" i="63"/>
  <c r="O83" i="63"/>
  <c r="P83" i="63" s="1"/>
  <c r="R83" i="63"/>
  <c r="S83" i="63"/>
  <c r="T83" i="63"/>
  <c r="U83" i="63"/>
  <c r="F84" i="63"/>
  <c r="J84" i="63"/>
  <c r="L84" i="63"/>
  <c r="N84" i="63"/>
  <c r="O84" i="63"/>
  <c r="P84" i="63"/>
  <c r="R84" i="63"/>
  <c r="S84" i="63"/>
  <c r="T84" i="63"/>
  <c r="U84" i="63"/>
  <c r="F85" i="63"/>
  <c r="J85" i="63"/>
  <c r="L85" i="63"/>
  <c r="N85" i="63"/>
  <c r="O85" i="63"/>
  <c r="P85" i="63" s="1"/>
  <c r="R85" i="63"/>
  <c r="F86" i="63"/>
  <c r="J86" i="63"/>
  <c r="L86" i="63"/>
  <c r="N86" i="63"/>
  <c r="O86" i="63"/>
  <c r="P86" i="63" s="1"/>
  <c r="R86" i="63"/>
  <c r="S86" i="63"/>
  <c r="T86" i="63"/>
  <c r="U86" i="63"/>
  <c r="F87" i="63"/>
  <c r="J87" i="63"/>
  <c r="L87" i="63"/>
  <c r="N87" i="63"/>
  <c r="O87" i="63"/>
  <c r="P87" i="63" s="1"/>
  <c r="R87" i="63"/>
  <c r="S87" i="63"/>
  <c r="T87" i="63" s="1"/>
  <c r="U87" i="63"/>
  <c r="F88" i="63"/>
  <c r="J88" i="63"/>
  <c r="L88" i="63"/>
  <c r="N88" i="63"/>
  <c r="O88" i="63"/>
  <c r="P88" i="63" s="1"/>
  <c r="R88" i="63"/>
  <c r="S88" i="63"/>
  <c r="T88" i="63"/>
  <c r="U88" i="63"/>
  <c r="F89" i="63"/>
  <c r="J89" i="63"/>
  <c r="L89" i="63"/>
  <c r="N89" i="63"/>
  <c r="O89" i="63"/>
  <c r="P89" i="63" s="1"/>
  <c r="R89" i="63"/>
  <c r="F90" i="63"/>
  <c r="J90" i="63"/>
  <c r="L90" i="63"/>
  <c r="N90" i="63"/>
  <c r="O90" i="63"/>
  <c r="P90" i="63" s="1"/>
  <c r="R90" i="63"/>
  <c r="F91" i="63"/>
  <c r="J91" i="63"/>
  <c r="L91" i="63"/>
  <c r="N91" i="63"/>
  <c r="O91" i="63"/>
  <c r="P91" i="63" s="1"/>
  <c r="R91" i="63"/>
  <c r="F92" i="63"/>
  <c r="J92" i="63"/>
  <c r="L92" i="63"/>
  <c r="N92" i="63"/>
  <c r="O92" i="63"/>
  <c r="S92" i="63" s="1"/>
  <c r="P92" i="63"/>
  <c r="R92" i="63"/>
  <c r="F95" i="63"/>
  <c r="J95" i="63"/>
  <c r="L95" i="63"/>
  <c r="N95" i="63"/>
  <c r="O95" i="63"/>
  <c r="P95" i="63" s="1"/>
  <c r="R95" i="63"/>
  <c r="S95" i="63"/>
  <c r="T95" i="63" s="1"/>
  <c r="F96" i="63"/>
  <c r="J96" i="63"/>
  <c r="L96" i="63"/>
  <c r="N96" i="63"/>
  <c r="O96" i="63"/>
  <c r="S96" i="63" s="1"/>
  <c r="P96" i="63"/>
  <c r="R96" i="63"/>
  <c r="F97" i="63"/>
  <c r="J97" i="63"/>
  <c r="L97" i="63"/>
  <c r="N97" i="63"/>
  <c r="O97" i="63"/>
  <c r="P97" i="63" s="1"/>
  <c r="R97" i="63"/>
  <c r="S97" i="63"/>
  <c r="U97" i="63" s="1"/>
  <c r="T97" i="63"/>
  <c r="F98" i="63"/>
  <c r="J98" i="63"/>
  <c r="L98" i="63"/>
  <c r="N98" i="63"/>
  <c r="O98" i="63"/>
  <c r="P98" i="63"/>
  <c r="R98" i="63"/>
  <c r="S98" i="63"/>
  <c r="T98" i="63" s="1"/>
  <c r="F99" i="63"/>
  <c r="J99" i="63"/>
  <c r="L99" i="63"/>
  <c r="N99" i="63"/>
  <c r="O99" i="63"/>
  <c r="P99" i="63" s="1"/>
  <c r="R99" i="63"/>
  <c r="S99" i="63"/>
  <c r="T99" i="63"/>
  <c r="U99" i="63"/>
  <c r="F100" i="63"/>
  <c r="J100" i="63"/>
  <c r="L100" i="63"/>
  <c r="N100" i="63"/>
  <c r="O100" i="63"/>
  <c r="P100" i="63"/>
  <c r="R100" i="63"/>
  <c r="S100" i="63"/>
  <c r="U100" i="63" s="1"/>
  <c r="T100" i="63"/>
  <c r="F101" i="63"/>
  <c r="J101" i="63"/>
  <c r="L101" i="63"/>
  <c r="N101" i="63"/>
  <c r="O101" i="63"/>
  <c r="P101" i="63" s="1"/>
  <c r="R101" i="63"/>
  <c r="S101" i="63"/>
  <c r="T101" i="63"/>
  <c r="U101" i="63"/>
  <c r="F102" i="63"/>
  <c r="J102" i="63"/>
  <c r="L102" i="63"/>
  <c r="N102" i="63"/>
  <c r="O102" i="63"/>
  <c r="P102" i="63"/>
  <c r="R102" i="63"/>
  <c r="S102" i="63"/>
  <c r="T102" i="63"/>
  <c r="U102" i="63"/>
  <c r="F103" i="63"/>
  <c r="J103" i="63"/>
  <c r="L103" i="63"/>
  <c r="N103" i="63"/>
  <c r="O103" i="63"/>
  <c r="P103" i="63" s="1"/>
  <c r="R103" i="63"/>
  <c r="S103" i="63"/>
  <c r="T103" i="63"/>
  <c r="U103" i="63"/>
  <c r="F104" i="63"/>
  <c r="J104" i="63"/>
  <c r="L104" i="63"/>
  <c r="N104" i="63"/>
  <c r="O104" i="63"/>
  <c r="P104" i="63" s="1"/>
  <c r="R104" i="63"/>
  <c r="S104" i="63"/>
  <c r="T104" i="63"/>
  <c r="U104" i="63"/>
  <c r="F105" i="63"/>
  <c r="J105" i="63"/>
  <c r="L105" i="63"/>
  <c r="N105" i="63"/>
  <c r="O105" i="63"/>
  <c r="P105" i="63" s="1"/>
  <c r="R105" i="63"/>
  <c r="S105" i="63"/>
  <c r="T105" i="63"/>
  <c r="U105" i="63"/>
  <c r="F106" i="63"/>
  <c r="J106" i="63"/>
  <c r="L106" i="63"/>
  <c r="N106" i="63"/>
  <c r="O106" i="63"/>
  <c r="P106" i="63"/>
  <c r="R106" i="63"/>
  <c r="S106" i="63"/>
  <c r="T106" i="63"/>
  <c r="U106" i="63"/>
  <c r="F107" i="63"/>
  <c r="J107" i="63"/>
  <c r="L107" i="63"/>
  <c r="N107" i="63"/>
  <c r="O107" i="63"/>
  <c r="P107" i="63" s="1"/>
  <c r="R107" i="63"/>
  <c r="S107" i="63"/>
  <c r="T107" i="63"/>
  <c r="U107" i="63"/>
  <c r="F108" i="63"/>
  <c r="J108" i="63"/>
  <c r="L108" i="63"/>
  <c r="N108" i="63"/>
  <c r="O108" i="63"/>
  <c r="P108" i="63"/>
  <c r="R108" i="63"/>
  <c r="S108" i="63"/>
  <c r="T108" i="63"/>
  <c r="U108" i="63"/>
  <c r="F109" i="63"/>
  <c r="J109" i="63"/>
  <c r="L109" i="63"/>
  <c r="N109" i="63"/>
  <c r="O109" i="63"/>
  <c r="P109" i="63" s="1"/>
  <c r="R109" i="63"/>
  <c r="S109" i="63"/>
  <c r="T109" i="63"/>
  <c r="U109" i="63"/>
  <c r="F110" i="63"/>
  <c r="J110" i="63"/>
  <c r="L110" i="63"/>
  <c r="N110" i="63"/>
  <c r="O110" i="63"/>
  <c r="P110" i="63" s="1"/>
  <c r="R110" i="63"/>
  <c r="F111" i="63"/>
  <c r="J111" i="63"/>
  <c r="L111" i="63"/>
  <c r="N111" i="63"/>
  <c r="O111" i="63"/>
  <c r="P111" i="63" s="1"/>
  <c r="R111" i="63"/>
  <c r="F112" i="63"/>
  <c r="J112" i="63"/>
  <c r="L112" i="63"/>
  <c r="N112" i="63"/>
  <c r="O112" i="63"/>
  <c r="S112" i="63" s="1"/>
  <c r="P112" i="63"/>
  <c r="R112" i="63"/>
  <c r="F113" i="63"/>
  <c r="J113" i="63"/>
  <c r="L113" i="63"/>
  <c r="N113" i="63"/>
  <c r="O113" i="63"/>
  <c r="P113" i="63" s="1"/>
  <c r="R113" i="63"/>
  <c r="F114" i="63"/>
  <c r="J114" i="63"/>
  <c r="L114" i="63"/>
  <c r="N114" i="63"/>
  <c r="O114" i="63"/>
  <c r="S114" i="63" s="1"/>
  <c r="P114" i="63"/>
  <c r="R114" i="63"/>
  <c r="B60" i="25"/>
  <c r="A60" i="25"/>
  <c r="J80" i="23"/>
  <c r="J79" i="23"/>
  <c r="J78" i="23"/>
  <c r="J76" i="23"/>
  <c r="J75" i="23"/>
  <c r="J74" i="23"/>
  <c r="J73" i="23"/>
  <c r="J72" i="23"/>
  <c r="J71" i="23"/>
  <c r="H6" i="3"/>
  <c r="M29" i="62"/>
  <c r="M28" i="62"/>
  <c r="M27" i="62"/>
  <c r="M26" i="62"/>
  <c r="M25" i="62"/>
  <c r="M21" i="62"/>
  <c r="M20" i="62"/>
  <c r="M19" i="62"/>
  <c r="M18" i="62"/>
  <c r="M17" i="62"/>
  <c r="M22" i="62" s="1"/>
  <c r="M13" i="62"/>
  <c r="M12" i="62"/>
  <c r="M11" i="62"/>
  <c r="M10" i="62"/>
  <c r="M9" i="62"/>
  <c r="T114" i="63" l="1"/>
  <c r="U114" i="63"/>
  <c r="T8" i="63"/>
  <c r="U8" i="63"/>
  <c r="T30" i="63"/>
  <c r="U30" i="63"/>
  <c r="T52" i="63"/>
  <c r="U52" i="63"/>
  <c r="T92" i="63"/>
  <c r="U92" i="63"/>
  <c r="T70" i="63"/>
  <c r="U70" i="63"/>
  <c r="T96" i="63"/>
  <c r="U96" i="63"/>
  <c r="T112" i="63"/>
  <c r="U112" i="63"/>
  <c r="T48" i="63"/>
  <c r="U48" i="63"/>
  <c r="U43" i="63"/>
  <c r="S39" i="63"/>
  <c r="S85" i="63"/>
  <c r="S41" i="63"/>
  <c r="S110" i="63"/>
  <c r="S66" i="63"/>
  <c r="U95" i="63"/>
  <c r="S89" i="63"/>
  <c r="U74" i="63"/>
  <c r="S68" i="63"/>
  <c r="S45" i="63"/>
  <c r="S24" i="63"/>
  <c r="S22" i="63"/>
  <c r="S91" i="63"/>
  <c r="U76" i="63"/>
  <c r="S47" i="63"/>
  <c r="U32" i="63"/>
  <c r="S26" i="63"/>
  <c r="U55" i="63"/>
  <c r="S51" i="63"/>
  <c r="U34" i="63"/>
  <c r="U11" i="63"/>
  <c r="S7" i="63"/>
  <c r="S53" i="63"/>
  <c r="U13" i="63"/>
  <c r="S9" i="63"/>
  <c r="S111" i="63"/>
  <c r="S90" i="63"/>
  <c r="S67" i="63"/>
  <c r="S46" i="63"/>
  <c r="S113" i="63"/>
  <c r="U98" i="63"/>
  <c r="U75" i="63"/>
  <c r="S69" i="63"/>
  <c r="U54" i="63"/>
  <c r="U31" i="63"/>
  <c r="S25" i="63"/>
  <c r="U10" i="63"/>
  <c r="S73" i="63"/>
  <c r="S29" i="63"/>
  <c r="M14" i="62"/>
  <c r="M30" i="62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M14" i="19" s="1"/>
  <c r="M30" i="19" l="1"/>
  <c r="M22" i="19"/>
  <c r="T51" i="63"/>
  <c r="U51" i="63"/>
  <c r="T26" i="63"/>
  <c r="U26" i="63"/>
  <c r="T25" i="63"/>
  <c r="U25" i="63"/>
  <c r="T24" i="63"/>
  <c r="U24" i="63"/>
  <c r="T45" i="63"/>
  <c r="U45" i="63"/>
  <c r="T46" i="63"/>
  <c r="U46" i="63"/>
  <c r="T89" i="63"/>
  <c r="U89" i="63"/>
  <c r="T110" i="63"/>
  <c r="U110" i="63"/>
  <c r="T69" i="63"/>
  <c r="U69" i="63"/>
  <c r="T22" i="63"/>
  <c r="U22" i="63"/>
  <c r="T113" i="63"/>
  <c r="U113" i="63"/>
  <c r="T68" i="63"/>
  <c r="U68" i="63"/>
  <c r="T67" i="63"/>
  <c r="U67" i="63"/>
  <c r="T90" i="63"/>
  <c r="U90" i="63"/>
  <c r="U111" i="63"/>
  <c r="T111" i="63"/>
  <c r="T9" i="63"/>
  <c r="U9" i="63"/>
  <c r="T66" i="63"/>
  <c r="U66" i="63"/>
  <c r="T53" i="63"/>
  <c r="U53" i="63"/>
  <c r="T41" i="63"/>
  <c r="U41" i="63"/>
  <c r="U39" i="63"/>
  <c r="T39" i="63"/>
  <c r="T29" i="63"/>
  <c r="U29" i="63"/>
  <c r="T73" i="63"/>
  <c r="U73" i="63"/>
  <c r="T47" i="63"/>
  <c r="U47" i="63"/>
  <c r="T91" i="63"/>
  <c r="U91" i="63"/>
  <c r="T7" i="63"/>
  <c r="U7" i="63"/>
  <c r="U85" i="63"/>
  <c r="T85" i="63"/>
  <c r="B34" i="25" l="1"/>
  <c r="A34" i="25"/>
  <c r="J34" i="22"/>
  <c r="B11" i="13" l="1"/>
  <c r="B10" i="13"/>
  <c r="B9" i="13"/>
  <c r="B8" i="13"/>
  <c r="X118" i="66" l="1"/>
  <c r="X119" i="66"/>
  <c r="X120" i="66"/>
  <c r="X121" i="66"/>
  <c r="X122" i="66"/>
  <c r="X123" i="66"/>
  <c r="X124" i="66"/>
  <c r="X125" i="66"/>
  <c r="X126" i="66"/>
  <c r="X127" i="66"/>
  <c r="X128" i="66"/>
  <c r="X129" i="66"/>
  <c r="X130" i="66"/>
  <c r="X131" i="66"/>
  <c r="X132" i="66"/>
  <c r="X133" i="66"/>
  <c r="X134" i="66"/>
  <c r="X135" i="66"/>
  <c r="X136" i="66"/>
  <c r="X117" i="66"/>
  <c r="W118" i="66"/>
  <c r="W119" i="66"/>
  <c r="W120" i="66"/>
  <c r="W121" i="66"/>
  <c r="W122" i="66"/>
  <c r="W123" i="66"/>
  <c r="W124" i="66"/>
  <c r="W125" i="66"/>
  <c r="W126" i="66"/>
  <c r="W127" i="66"/>
  <c r="W128" i="66"/>
  <c r="W129" i="66"/>
  <c r="W130" i="66"/>
  <c r="W131" i="66"/>
  <c r="W132" i="66"/>
  <c r="W133" i="66"/>
  <c r="W134" i="66"/>
  <c r="W135" i="66"/>
  <c r="W136" i="66"/>
  <c r="W117" i="66"/>
  <c r="V118" i="66"/>
  <c r="V119" i="66"/>
  <c r="V120" i="66"/>
  <c r="V121" i="66"/>
  <c r="V122" i="66"/>
  <c r="V123" i="66"/>
  <c r="V124" i="66"/>
  <c r="V125" i="66"/>
  <c r="V126" i="66"/>
  <c r="V127" i="66"/>
  <c r="V128" i="66"/>
  <c r="V129" i="66"/>
  <c r="V130" i="66"/>
  <c r="V131" i="66"/>
  <c r="V132" i="66"/>
  <c r="V133" i="66"/>
  <c r="V134" i="66"/>
  <c r="V135" i="66"/>
  <c r="V136" i="66"/>
  <c r="V117" i="66"/>
  <c r="N7" i="66"/>
  <c r="S117" i="66"/>
  <c r="AH119" i="66" l="1"/>
  <c r="AI119" i="66"/>
  <c r="AJ119" i="66"/>
  <c r="AK119" i="66"/>
  <c r="AL119" i="66"/>
  <c r="AM119" i="66"/>
  <c r="AH120" i="66"/>
  <c r="H10" i="41" s="1"/>
  <c r="AI120" i="66"/>
  <c r="J10" i="41" s="1"/>
  <c r="AM120" i="66"/>
  <c r="J15" i="41" s="1"/>
  <c r="AG120" i="66"/>
  <c r="F10" i="41" s="1"/>
  <c r="AG119" i="66"/>
  <c r="S136" i="66"/>
  <c r="R136" i="66"/>
  <c r="O136" i="66"/>
  <c r="T136" i="66" s="1"/>
  <c r="N136" i="66"/>
  <c r="L136" i="66"/>
  <c r="J136" i="66"/>
  <c r="S135" i="66"/>
  <c r="R135" i="66"/>
  <c r="O135" i="66"/>
  <c r="T135" i="66" s="1"/>
  <c r="N135" i="66"/>
  <c r="L135" i="66"/>
  <c r="J135" i="66"/>
  <c r="S134" i="66"/>
  <c r="R134" i="66"/>
  <c r="O134" i="66"/>
  <c r="T134" i="66" s="1"/>
  <c r="N134" i="66"/>
  <c r="L134" i="66"/>
  <c r="J134" i="66"/>
  <c r="S133" i="66"/>
  <c r="R133" i="66"/>
  <c r="O133" i="66"/>
  <c r="T133" i="66" s="1"/>
  <c r="N133" i="66"/>
  <c r="L133" i="66"/>
  <c r="J133" i="66"/>
  <c r="S132" i="66"/>
  <c r="R132" i="66"/>
  <c r="O132" i="66"/>
  <c r="T132" i="66" s="1"/>
  <c r="N132" i="66"/>
  <c r="L132" i="66"/>
  <c r="J132" i="66"/>
  <c r="S131" i="66"/>
  <c r="R131" i="66"/>
  <c r="O131" i="66"/>
  <c r="T131" i="66" s="1"/>
  <c r="N131" i="66"/>
  <c r="L131" i="66"/>
  <c r="J131" i="66"/>
  <c r="S130" i="66"/>
  <c r="R130" i="66"/>
  <c r="O130" i="66"/>
  <c r="T130" i="66" s="1"/>
  <c r="N130" i="66"/>
  <c r="L130" i="66"/>
  <c r="J130" i="66"/>
  <c r="S129" i="66"/>
  <c r="R129" i="66"/>
  <c r="O129" i="66"/>
  <c r="T129" i="66" s="1"/>
  <c r="N129" i="66"/>
  <c r="L129" i="66"/>
  <c r="J129" i="66"/>
  <c r="S128" i="66"/>
  <c r="R128" i="66"/>
  <c r="O128" i="66"/>
  <c r="T128" i="66" s="1"/>
  <c r="N128" i="66"/>
  <c r="L128" i="66"/>
  <c r="J128" i="66"/>
  <c r="S127" i="66"/>
  <c r="R127" i="66"/>
  <c r="O127" i="66"/>
  <c r="T127" i="66" s="1"/>
  <c r="N127" i="66"/>
  <c r="L127" i="66"/>
  <c r="J127" i="66"/>
  <c r="S126" i="66"/>
  <c r="R126" i="66"/>
  <c r="O126" i="66"/>
  <c r="T126" i="66" s="1"/>
  <c r="N126" i="66"/>
  <c r="L126" i="66"/>
  <c r="J126" i="66"/>
  <c r="S125" i="66"/>
  <c r="R125" i="66"/>
  <c r="O125" i="66"/>
  <c r="T125" i="66" s="1"/>
  <c r="N125" i="66"/>
  <c r="L125" i="66"/>
  <c r="J125" i="66"/>
  <c r="S124" i="66"/>
  <c r="R124" i="66"/>
  <c r="O124" i="66"/>
  <c r="T124" i="66" s="1"/>
  <c r="N124" i="66"/>
  <c r="L124" i="66"/>
  <c r="J124" i="66"/>
  <c r="S123" i="66"/>
  <c r="R123" i="66"/>
  <c r="O123" i="66"/>
  <c r="T123" i="66" s="1"/>
  <c r="N123" i="66"/>
  <c r="L123" i="66"/>
  <c r="J123" i="66"/>
  <c r="S122" i="66"/>
  <c r="R122" i="66"/>
  <c r="O122" i="66"/>
  <c r="T122" i="66" s="1"/>
  <c r="N122" i="66"/>
  <c r="L122" i="66"/>
  <c r="J122" i="66"/>
  <c r="S121" i="66"/>
  <c r="R121" i="66"/>
  <c r="O121" i="66"/>
  <c r="T121" i="66" s="1"/>
  <c r="N121" i="66"/>
  <c r="L121" i="66"/>
  <c r="J121" i="66"/>
  <c r="S120" i="66"/>
  <c r="R120" i="66"/>
  <c r="O120" i="66"/>
  <c r="P120" i="66" s="1"/>
  <c r="N120" i="66"/>
  <c r="L120" i="66"/>
  <c r="J120" i="66"/>
  <c r="AF119" i="66"/>
  <c r="S119" i="66"/>
  <c r="R119" i="66"/>
  <c r="O119" i="66"/>
  <c r="P119" i="66" s="1"/>
  <c r="N119" i="66"/>
  <c r="L119" i="66"/>
  <c r="J119" i="66"/>
  <c r="S118" i="66"/>
  <c r="R118" i="66"/>
  <c r="O118" i="66"/>
  <c r="T118" i="66" s="1"/>
  <c r="N118" i="66"/>
  <c r="L118" i="66"/>
  <c r="J118" i="66"/>
  <c r="R117" i="66"/>
  <c r="O117" i="66"/>
  <c r="P117" i="66" s="1"/>
  <c r="N117" i="66"/>
  <c r="L117" i="66"/>
  <c r="J117" i="66"/>
  <c r="AH120" i="63"/>
  <c r="H9" i="41" s="1"/>
  <c r="AJ120" i="63"/>
  <c r="L9" i="41" s="1"/>
  <c r="AK120" i="63"/>
  <c r="F14" i="41" s="1"/>
  <c r="AM120" i="63"/>
  <c r="J14" i="41" s="1"/>
  <c r="AG119" i="63"/>
  <c r="AH119" i="63"/>
  <c r="AI119" i="63"/>
  <c r="AJ119" i="63"/>
  <c r="AK119" i="63"/>
  <c r="AL119" i="63"/>
  <c r="AM119" i="63"/>
  <c r="R136" i="63"/>
  <c r="O136" i="63"/>
  <c r="S136" i="63" s="1"/>
  <c r="V136" i="63" s="1"/>
  <c r="N136" i="63"/>
  <c r="L136" i="63"/>
  <c r="J136" i="63"/>
  <c r="F136" i="63"/>
  <c r="R135" i="63"/>
  <c r="O135" i="63"/>
  <c r="S135" i="63" s="1"/>
  <c r="V135" i="63" s="1"/>
  <c r="N135" i="63"/>
  <c r="L135" i="63"/>
  <c r="J135" i="63"/>
  <c r="F135" i="63"/>
  <c r="R134" i="63"/>
  <c r="O134" i="63"/>
  <c r="S134" i="63" s="1"/>
  <c r="V134" i="63" s="1"/>
  <c r="N134" i="63"/>
  <c r="L134" i="63"/>
  <c r="J134" i="63"/>
  <c r="F134" i="63"/>
  <c r="R133" i="63"/>
  <c r="O133" i="63"/>
  <c r="S133" i="63" s="1"/>
  <c r="N133" i="63"/>
  <c r="L133" i="63"/>
  <c r="J133" i="63"/>
  <c r="F133" i="63"/>
  <c r="R132" i="63"/>
  <c r="O132" i="63"/>
  <c r="S132" i="63" s="1"/>
  <c r="V132" i="63" s="1"/>
  <c r="N132" i="63"/>
  <c r="L132" i="63"/>
  <c r="J132" i="63"/>
  <c r="F132" i="63"/>
  <c r="R131" i="63"/>
  <c r="O131" i="63"/>
  <c r="P131" i="63" s="1"/>
  <c r="N131" i="63"/>
  <c r="L131" i="63"/>
  <c r="J131" i="63"/>
  <c r="F131" i="63"/>
  <c r="R130" i="63"/>
  <c r="O130" i="63"/>
  <c r="S130" i="63" s="1"/>
  <c r="V130" i="63" s="1"/>
  <c r="N130" i="63"/>
  <c r="L130" i="63"/>
  <c r="J130" i="63"/>
  <c r="F130" i="63"/>
  <c r="R129" i="63"/>
  <c r="O129" i="63"/>
  <c r="S129" i="63" s="1"/>
  <c r="N129" i="63"/>
  <c r="L129" i="63"/>
  <c r="J129" i="63"/>
  <c r="F129" i="63"/>
  <c r="R128" i="63"/>
  <c r="O128" i="63"/>
  <c r="S128" i="63" s="1"/>
  <c r="V128" i="63" s="1"/>
  <c r="N128" i="63"/>
  <c r="L128" i="63"/>
  <c r="J128" i="63"/>
  <c r="F128" i="63"/>
  <c r="R127" i="63"/>
  <c r="O127" i="63"/>
  <c r="S127" i="63" s="1"/>
  <c r="N127" i="63"/>
  <c r="L127" i="63"/>
  <c r="J127" i="63"/>
  <c r="F127" i="63"/>
  <c r="R126" i="63"/>
  <c r="O126" i="63"/>
  <c r="S126" i="63" s="1"/>
  <c r="V126" i="63" s="1"/>
  <c r="N126" i="63"/>
  <c r="L126" i="63"/>
  <c r="J126" i="63"/>
  <c r="F126" i="63"/>
  <c r="R125" i="63"/>
  <c r="O125" i="63"/>
  <c r="S125" i="63" s="1"/>
  <c r="N125" i="63"/>
  <c r="L125" i="63"/>
  <c r="J125" i="63"/>
  <c r="F125" i="63"/>
  <c r="R124" i="63"/>
  <c r="O124" i="63"/>
  <c r="S124" i="63" s="1"/>
  <c r="V124" i="63" s="1"/>
  <c r="N124" i="63"/>
  <c r="L124" i="63"/>
  <c r="J124" i="63"/>
  <c r="F124" i="63"/>
  <c r="R123" i="63"/>
  <c r="O123" i="63"/>
  <c r="S123" i="63" s="1"/>
  <c r="N123" i="63"/>
  <c r="L123" i="63"/>
  <c r="J123" i="63"/>
  <c r="F123" i="63"/>
  <c r="R122" i="63"/>
  <c r="O122" i="63"/>
  <c r="S122" i="63" s="1"/>
  <c r="V122" i="63" s="1"/>
  <c r="N122" i="63"/>
  <c r="L122" i="63"/>
  <c r="J122" i="63"/>
  <c r="F122" i="63"/>
  <c r="R121" i="63"/>
  <c r="O121" i="63"/>
  <c r="S121" i="63" s="1"/>
  <c r="V121" i="63" s="1"/>
  <c r="N121" i="63"/>
  <c r="L121" i="63"/>
  <c r="J121" i="63"/>
  <c r="F121" i="63"/>
  <c r="R120" i="63"/>
  <c r="O120" i="63"/>
  <c r="P120" i="63" s="1"/>
  <c r="N120" i="63"/>
  <c r="L120" i="63"/>
  <c r="J120" i="63"/>
  <c r="F120" i="63"/>
  <c r="AF119" i="63"/>
  <c r="R119" i="63"/>
  <c r="O119" i="63"/>
  <c r="P119" i="63" s="1"/>
  <c r="N119" i="63"/>
  <c r="L119" i="63"/>
  <c r="J119" i="63"/>
  <c r="F119" i="63"/>
  <c r="R118" i="63"/>
  <c r="O118" i="63"/>
  <c r="S118" i="63" s="1"/>
  <c r="V118" i="63" s="1"/>
  <c r="N118" i="63"/>
  <c r="L118" i="63"/>
  <c r="J118" i="63"/>
  <c r="F118" i="63"/>
  <c r="R117" i="63"/>
  <c r="O117" i="63"/>
  <c r="P117" i="63" s="1"/>
  <c r="N117" i="63"/>
  <c r="L117" i="63"/>
  <c r="J117" i="63"/>
  <c r="F117" i="63"/>
  <c r="AL120" i="63" s="1"/>
  <c r="H14" i="41" s="1"/>
  <c r="K22" i="19" l="1"/>
  <c r="K14" i="19"/>
  <c r="K30" i="19"/>
  <c r="K22" i="62"/>
  <c r="K30" i="62"/>
  <c r="K14" i="62"/>
  <c r="W136" i="63"/>
  <c r="X136" i="63"/>
  <c r="W126" i="63"/>
  <c r="X126" i="63"/>
  <c r="X118" i="63"/>
  <c r="W118" i="63"/>
  <c r="X135" i="63"/>
  <c r="W135" i="63"/>
  <c r="X128" i="63"/>
  <c r="W128" i="63"/>
  <c r="U125" i="63"/>
  <c r="V125" i="63"/>
  <c r="U123" i="63"/>
  <c r="V123" i="63"/>
  <c r="U133" i="63"/>
  <c r="V133" i="63"/>
  <c r="X130" i="63"/>
  <c r="W130" i="63"/>
  <c r="U127" i="63"/>
  <c r="V127" i="63"/>
  <c r="W124" i="63"/>
  <c r="X124" i="63"/>
  <c r="X134" i="63"/>
  <c r="W134" i="63"/>
  <c r="X121" i="63"/>
  <c r="W121" i="63"/>
  <c r="W122" i="63"/>
  <c r="X122" i="63"/>
  <c r="X132" i="63"/>
  <c r="W132" i="63"/>
  <c r="U129" i="63"/>
  <c r="V129" i="63"/>
  <c r="AK121" i="63"/>
  <c r="G14" i="41" s="1"/>
  <c r="AJ121" i="63"/>
  <c r="M9" i="41" s="1"/>
  <c r="AG120" i="63"/>
  <c r="AI121" i="63"/>
  <c r="K9" i="41" s="1"/>
  <c r="AG121" i="63"/>
  <c r="G9" i="41" s="1"/>
  <c r="AI120" i="63"/>
  <c r="J9" i="41" s="1"/>
  <c r="AG121" i="66"/>
  <c r="G10" i="41" s="1"/>
  <c r="AJ121" i="66"/>
  <c r="M10" i="41" s="1"/>
  <c r="AK121" i="66"/>
  <c r="G15" i="41" s="1"/>
  <c r="AH121" i="66"/>
  <c r="I10" i="41" s="1"/>
  <c r="AI121" i="66"/>
  <c r="K10" i="41" s="1"/>
  <c r="T120" i="66"/>
  <c r="F120" i="66" s="1"/>
  <c r="AM121" i="66"/>
  <c r="K15" i="41" s="1"/>
  <c r="U122" i="66"/>
  <c r="F122" i="66"/>
  <c r="U132" i="66"/>
  <c r="F132" i="66"/>
  <c r="F129" i="66"/>
  <c r="U129" i="66"/>
  <c r="U130" i="66"/>
  <c r="F130" i="66"/>
  <c r="U128" i="66"/>
  <c r="F128" i="66"/>
  <c r="F125" i="66"/>
  <c r="U125" i="66"/>
  <c r="U126" i="66"/>
  <c r="F126" i="66"/>
  <c r="F133" i="66"/>
  <c r="U133" i="66"/>
  <c r="U134" i="66"/>
  <c r="F134" i="66"/>
  <c r="F131" i="66"/>
  <c r="U131" i="66"/>
  <c r="U135" i="66"/>
  <c r="F135" i="66"/>
  <c r="F123" i="66"/>
  <c r="U123" i="66"/>
  <c r="U121" i="66"/>
  <c r="F121" i="66"/>
  <c r="F127" i="66"/>
  <c r="U127" i="66"/>
  <c r="U124" i="66"/>
  <c r="F124" i="66"/>
  <c r="U136" i="66"/>
  <c r="F136" i="66"/>
  <c r="U118" i="66"/>
  <c r="F118" i="66"/>
  <c r="P136" i="66"/>
  <c r="P118" i="66"/>
  <c r="P135" i="66"/>
  <c r="P123" i="66"/>
  <c r="P127" i="66"/>
  <c r="P131" i="66"/>
  <c r="P133" i="66"/>
  <c r="T119" i="66"/>
  <c r="P125" i="66"/>
  <c r="P129" i="66"/>
  <c r="T117" i="66"/>
  <c r="P122" i="66"/>
  <c r="AL121" i="66"/>
  <c r="I15" i="41" s="1"/>
  <c r="P124" i="66"/>
  <c r="P126" i="66"/>
  <c r="P128" i="66"/>
  <c r="P130" i="66"/>
  <c r="P132" i="66"/>
  <c r="P134" i="66"/>
  <c r="P121" i="66"/>
  <c r="S131" i="63"/>
  <c r="P123" i="63"/>
  <c r="P127" i="63"/>
  <c r="S119" i="63"/>
  <c r="P129" i="63"/>
  <c r="S117" i="63"/>
  <c r="P133" i="63"/>
  <c r="S120" i="63"/>
  <c r="P125" i="63"/>
  <c r="U120" i="63"/>
  <c r="T121" i="63"/>
  <c r="U121" i="63"/>
  <c r="U126" i="63"/>
  <c r="T126" i="63"/>
  <c r="U132" i="63"/>
  <c r="T132" i="63"/>
  <c r="U124" i="63"/>
  <c r="T124" i="63"/>
  <c r="U118" i="63"/>
  <c r="T118" i="63"/>
  <c r="U130" i="63"/>
  <c r="T130" i="63"/>
  <c r="U135" i="63"/>
  <c r="T135" i="63"/>
  <c r="U122" i="63"/>
  <c r="T122" i="63"/>
  <c r="U128" i="63"/>
  <c r="T128" i="63"/>
  <c r="U134" i="63"/>
  <c r="T134" i="63"/>
  <c r="T136" i="63"/>
  <c r="U136" i="63"/>
  <c r="T117" i="63"/>
  <c r="AH121" i="63"/>
  <c r="I9" i="41" s="1"/>
  <c r="AL121" i="63"/>
  <c r="I14" i="41" s="1"/>
  <c r="T123" i="63"/>
  <c r="T125" i="63"/>
  <c r="T127" i="63"/>
  <c r="T129" i="63"/>
  <c r="T133" i="63"/>
  <c r="P136" i="63"/>
  <c r="P118" i="63"/>
  <c r="P135" i="63"/>
  <c r="AM121" i="63"/>
  <c r="K14" i="41" s="1"/>
  <c r="P122" i="63"/>
  <c r="P124" i="63"/>
  <c r="P126" i="63"/>
  <c r="P128" i="63"/>
  <c r="P130" i="63"/>
  <c r="P132" i="63"/>
  <c r="P134" i="63"/>
  <c r="P121" i="63"/>
  <c r="W123" i="63" l="1"/>
  <c r="X123" i="63"/>
  <c r="T120" i="63"/>
  <c r="V120" i="63"/>
  <c r="W125" i="63"/>
  <c r="X125" i="63"/>
  <c r="U119" i="63"/>
  <c r="V119" i="63"/>
  <c r="U131" i="63"/>
  <c r="V131" i="63"/>
  <c r="X127" i="63"/>
  <c r="W127" i="63"/>
  <c r="W133" i="63"/>
  <c r="X133" i="63"/>
  <c r="X129" i="63"/>
  <c r="W129" i="63"/>
  <c r="U117" i="63"/>
  <c r="V117" i="63"/>
  <c r="AJ120" i="66"/>
  <c r="L10" i="41" s="1"/>
  <c r="U120" i="66"/>
  <c r="T131" i="63"/>
  <c r="T119" i="63"/>
  <c r="U117" i="66"/>
  <c r="F117" i="66"/>
  <c r="AK120" i="66" s="1"/>
  <c r="F15" i="41" s="1"/>
  <c r="F119" i="66"/>
  <c r="AL120" i="66" s="1"/>
  <c r="H15" i="41" s="1"/>
  <c r="U119" i="66"/>
  <c r="W117" i="63" l="1"/>
  <c r="X117" i="63"/>
  <c r="W131" i="63"/>
  <c r="X131" i="63"/>
  <c r="X119" i="63"/>
  <c r="W119" i="63"/>
  <c r="X120" i="63"/>
  <c r="W120" i="63"/>
  <c r="AR10" i="52"/>
  <c r="AR9" i="52"/>
  <c r="AM9" i="52"/>
  <c r="AM8" i="52"/>
  <c r="AM7" i="52"/>
  <c r="AH11" i="52"/>
  <c r="AH10" i="52"/>
  <c r="AH9" i="52"/>
  <c r="AH8" i="52"/>
  <c r="AH7" i="52"/>
  <c r="AV11" i="52"/>
  <c r="AW11" i="52" s="1"/>
  <c r="AQ11" i="52"/>
  <c r="AR11" i="52" s="1"/>
  <c r="AL11" i="52"/>
  <c r="AG11" i="52"/>
  <c r="AB11" i="52"/>
  <c r="AC11" i="52" s="1"/>
  <c r="W11" i="52"/>
  <c r="X11" i="52" s="1"/>
  <c r="R11" i="52"/>
  <c r="J11" i="52"/>
  <c r="I11" i="52"/>
  <c r="G11" i="52"/>
  <c r="AV10" i="52"/>
  <c r="AW10" i="52" s="1"/>
  <c r="AQ10" i="52"/>
  <c r="AL10" i="52"/>
  <c r="AM10" i="52" s="1"/>
  <c r="AG10" i="52"/>
  <c r="AB10" i="52"/>
  <c r="AC10" i="52" s="1"/>
  <c r="W10" i="52"/>
  <c r="X10" i="52" s="1"/>
  <c r="R10" i="52"/>
  <c r="S10" i="52" s="1"/>
  <c r="J10" i="52"/>
  <c r="I10" i="52"/>
  <c r="G10" i="52"/>
  <c r="AV9" i="52"/>
  <c r="AW9" i="52" s="1"/>
  <c r="AQ9" i="52"/>
  <c r="AL9" i="52"/>
  <c r="AG9" i="52"/>
  <c r="AB9" i="52"/>
  <c r="W9" i="52"/>
  <c r="R9" i="52"/>
  <c r="S9" i="52" s="1"/>
  <c r="J9" i="52"/>
  <c r="I9" i="52"/>
  <c r="G9" i="52"/>
  <c r="AV8" i="52"/>
  <c r="AW8" i="52" s="1"/>
  <c r="AQ8" i="52"/>
  <c r="AR8" i="52" s="1"/>
  <c r="AL8" i="52"/>
  <c r="AM11" i="52" s="1"/>
  <c r="AG8" i="52"/>
  <c r="AB8" i="52"/>
  <c r="AC9" i="52" s="1"/>
  <c r="W8" i="52"/>
  <c r="X8" i="52" s="1"/>
  <c r="R8" i="52"/>
  <c r="S7" i="52" s="1"/>
  <c r="J8" i="52"/>
  <c r="I8" i="52"/>
  <c r="G8" i="52"/>
  <c r="AV7" i="52"/>
  <c r="AW7" i="52" s="1"/>
  <c r="AQ7" i="52"/>
  <c r="AS7" i="52" s="1"/>
  <c r="AL7" i="52"/>
  <c r="AG7" i="52"/>
  <c r="AB7" i="52"/>
  <c r="W7" i="52"/>
  <c r="X9" i="52" s="1"/>
  <c r="R7" i="52"/>
  <c r="J7" i="52"/>
  <c r="I7" i="52"/>
  <c r="G7" i="52"/>
  <c r="AW9" i="51"/>
  <c r="AW7" i="51"/>
  <c r="AR14" i="51"/>
  <c r="AH11" i="51"/>
  <c r="AH10" i="51"/>
  <c r="X11" i="51"/>
  <c r="X10" i="51"/>
  <c r="X9" i="51"/>
  <c r="X8" i="51"/>
  <c r="X7" i="51"/>
  <c r="S8" i="51"/>
  <c r="AV14" i="51"/>
  <c r="AW14" i="51" s="1"/>
  <c r="AQ14" i="51"/>
  <c r="AL14" i="51"/>
  <c r="AM14" i="51" s="1"/>
  <c r="AG14" i="51"/>
  <c r="AH13" i="51" s="1"/>
  <c r="AB14" i="51"/>
  <c r="AC8" i="51" s="1"/>
  <c r="W14" i="51"/>
  <c r="K14" i="51" s="1"/>
  <c r="R14" i="51"/>
  <c r="J14" i="51"/>
  <c r="I14" i="51"/>
  <c r="G14" i="51"/>
  <c r="AV13" i="51"/>
  <c r="AQ13" i="51"/>
  <c r="AR13" i="51" s="1"/>
  <c r="AL13" i="51"/>
  <c r="AM13" i="51" s="1"/>
  <c r="AG13" i="51"/>
  <c r="AB13" i="51"/>
  <c r="W13" i="51"/>
  <c r="R13" i="51"/>
  <c r="S13" i="51" s="1"/>
  <c r="K13" i="51"/>
  <c r="J13" i="51"/>
  <c r="I13" i="51"/>
  <c r="G13" i="51"/>
  <c r="AV12" i="51"/>
  <c r="AW12" i="51" s="1"/>
  <c r="AQ12" i="51"/>
  <c r="AR12" i="51" s="1"/>
  <c r="AL12" i="51"/>
  <c r="AM12" i="51" s="1"/>
  <c r="AG12" i="51"/>
  <c r="AB12" i="51"/>
  <c r="W12" i="51"/>
  <c r="R12" i="51"/>
  <c r="S12" i="51" s="1"/>
  <c r="J12" i="51"/>
  <c r="I12" i="51"/>
  <c r="G12" i="51"/>
  <c r="AV11" i="51"/>
  <c r="AQ11" i="51"/>
  <c r="AR11" i="51" s="1"/>
  <c r="AL11" i="51"/>
  <c r="AM11" i="51" s="1"/>
  <c r="AG11" i="51"/>
  <c r="AB11" i="51"/>
  <c r="AC11" i="51" s="1"/>
  <c r="W11" i="51"/>
  <c r="R11" i="51"/>
  <c r="S11" i="51" s="1"/>
  <c r="J11" i="51"/>
  <c r="I11" i="51"/>
  <c r="G11" i="51"/>
  <c r="AV10" i="51"/>
  <c r="AW10" i="51" s="1"/>
  <c r="AQ10" i="51"/>
  <c r="AL10" i="51"/>
  <c r="AM10" i="51" s="1"/>
  <c r="AG10" i="51"/>
  <c r="AB10" i="51"/>
  <c r="W10" i="51"/>
  <c r="R10" i="51"/>
  <c r="S10" i="51" s="1"/>
  <c r="J10" i="51"/>
  <c r="I10" i="51"/>
  <c r="G10" i="51"/>
  <c r="AV9" i="51"/>
  <c r="AQ9" i="51"/>
  <c r="AR9" i="51" s="1"/>
  <c r="AL9" i="51"/>
  <c r="AM9" i="51" s="1"/>
  <c r="AG9" i="51"/>
  <c r="AH9" i="51" s="1"/>
  <c r="AB9" i="51"/>
  <c r="W9" i="51"/>
  <c r="R9" i="51"/>
  <c r="S9" i="51" s="1"/>
  <c r="J9" i="51"/>
  <c r="I9" i="51"/>
  <c r="G9" i="51"/>
  <c r="AV8" i="51"/>
  <c r="AW11" i="51" s="1"/>
  <c r="AQ8" i="51"/>
  <c r="AR8" i="51" s="1"/>
  <c r="AL8" i="51"/>
  <c r="AN7" i="51" s="1"/>
  <c r="AG8" i="51"/>
  <c r="AH8" i="51" s="1"/>
  <c r="AB8" i="51"/>
  <c r="W8" i="51"/>
  <c r="R8" i="51"/>
  <c r="J8" i="51"/>
  <c r="I8" i="51"/>
  <c r="G8" i="51"/>
  <c r="AV7" i="51"/>
  <c r="AQ7" i="51"/>
  <c r="AR7" i="51" s="1"/>
  <c r="AL7" i="51"/>
  <c r="AG7" i="51"/>
  <c r="AB7" i="51"/>
  <c r="W7" i="51"/>
  <c r="Y7" i="51" s="1"/>
  <c r="R7" i="51"/>
  <c r="T7" i="51" s="1"/>
  <c r="J7" i="51"/>
  <c r="I7" i="51"/>
  <c r="G7" i="51"/>
  <c r="H7" i="51" s="1"/>
  <c r="U2" i="50"/>
  <c r="Z2" i="50" s="1"/>
  <c r="AE2" i="50" s="1"/>
  <c r="AJ2" i="50" s="1"/>
  <c r="AO2" i="50" s="1"/>
  <c r="AT2" i="50" s="1"/>
  <c r="AM15" i="49"/>
  <c r="AC12" i="49"/>
  <c r="S13" i="49"/>
  <c r="AV16" i="49"/>
  <c r="AW16" i="49" s="1"/>
  <c r="AQ16" i="49"/>
  <c r="AR16" i="49" s="1"/>
  <c r="AL16" i="49"/>
  <c r="AG16" i="49"/>
  <c r="AH16" i="49" s="1"/>
  <c r="AB16" i="49"/>
  <c r="AC16" i="49" s="1"/>
  <c r="W16" i="49"/>
  <c r="K16" i="49" s="1"/>
  <c r="R16" i="49"/>
  <c r="S16" i="49" s="1"/>
  <c r="J16" i="49"/>
  <c r="I16" i="49"/>
  <c r="G16" i="49"/>
  <c r="AV15" i="49"/>
  <c r="AW15" i="49" s="1"/>
  <c r="AQ15" i="49"/>
  <c r="AL15" i="49"/>
  <c r="AG15" i="49"/>
  <c r="AH15" i="49" s="1"/>
  <c r="AB15" i="49"/>
  <c r="W15" i="49"/>
  <c r="X15" i="49" s="1"/>
  <c r="R15" i="49"/>
  <c r="S15" i="49" s="1"/>
  <c r="J15" i="49"/>
  <c r="I15" i="49"/>
  <c r="G15" i="49"/>
  <c r="AV14" i="49"/>
  <c r="AW14" i="49" s="1"/>
  <c r="AQ14" i="49"/>
  <c r="AR8" i="49" s="1"/>
  <c r="AL14" i="49"/>
  <c r="AM14" i="49" s="1"/>
  <c r="AG14" i="49"/>
  <c r="AH14" i="49" s="1"/>
  <c r="AB14" i="49"/>
  <c r="W14" i="49"/>
  <c r="X14" i="49" s="1"/>
  <c r="R14" i="49"/>
  <c r="S14" i="49" s="1"/>
  <c r="J14" i="49"/>
  <c r="I14" i="49"/>
  <c r="G14" i="49"/>
  <c r="R13" i="49"/>
  <c r="K13" i="49" s="1"/>
  <c r="J13" i="49"/>
  <c r="I13" i="49"/>
  <c r="G13" i="49"/>
  <c r="AV12" i="49"/>
  <c r="AW12" i="49" s="1"/>
  <c r="AQ12" i="49"/>
  <c r="AR12" i="49" s="1"/>
  <c r="AL12" i="49"/>
  <c r="AM12" i="49" s="1"/>
  <c r="AG12" i="49"/>
  <c r="AB12" i="49"/>
  <c r="W12" i="49"/>
  <c r="X12" i="49" s="1"/>
  <c r="R12" i="49"/>
  <c r="K12" i="49"/>
  <c r="J12" i="49"/>
  <c r="I12" i="49"/>
  <c r="G12" i="49"/>
  <c r="AV11" i="49"/>
  <c r="AQ11" i="49"/>
  <c r="AL11" i="49"/>
  <c r="AM11" i="49" s="1"/>
  <c r="AG11" i="49"/>
  <c r="AB11" i="49"/>
  <c r="AC11" i="49" s="1"/>
  <c r="W11" i="49"/>
  <c r="R11" i="49"/>
  <c r="K11" i="49" s="1"/>
  <c r="J11" i="49"/>
  <c r="I11" i="49"/>
  <c r="G11" i="49"/>
  <c r="AV10" i="49"/>
  <c r="AW10" i="49" s="1"/>
  <c r="AQ10" i="49"/>
  <c r="AL10" i="49"/>
  <c r="AM10" i="49" s="1"/>
  <c r="AG10" i="49"/>
  <c r="AH10" i="49" s="1"/>
  <c r="AB10" i="49"/>
  <c r="AC10" i="49" s="1"/>
  <c r="W10" i="49"/>
  <c r="X10" i="49" s="1"/>
  <c r="R10" i="49"/>
  <c r="S12" i="49" s="1"/>
  <c r="K10" i="49"/>
  <c r="J10" i="49"/>
  <c r="I10" i="49"/>
  <c r="G10" i="49"/>
  <c r="AV9" i="49"/>
  <c r="AW9" i="49" s="1"/>
  <c r="AQ9" i="49"/>
  <c r="AL9" i="49"/>
  <c r="AG9" i="49"/>
  <c r="AB9" i="49"/>
  <c r="AC9" i="49" s="1"/>
  <c r="W9" i="49"/>
  <c r="R9" i="49"/>
  <c r="K9" i="49"/>
  <c r="J9" i="49"/>
  <c r="I9" i="49"/>
  <c r="G9" i="49"/>
  <c r="AV8" i="49"/>
  <c r="AW11" i="49" s="1"/>
  <c r="AQ8" i="49"/>
  <c r="AR15" i="49" s="1"/>
  <c r="AL8" i="49"/>
  <c r="AM9" i="49" s="1"/>
  <c r="AG8" i="49"/>
  <c r="AH12" i="49" s="1"/>
  <c r="AB8" i="49"/>
  <c r="AC8" i="49" s="1"/>
  <c r="W8" i="49"/>
  <c r="K8" i="49" s="1"/>
  <c r="R8" i="49"/>
  <c r="J8" i="49"/>
  <c r="I8" i="49"/>
  <c r="G8" i="49"/>
  <c r="AV7" i="49"/>
  <c r="AX7" i="49" s="1"/>
  <c r="AQ7" i="49"/>
  <c r="AL7" i="49"/>
  <c r="AG7" i="49"/>
  <c r="AH9" i="49" s="1"/>
  <c r="AB7" i="49"/>
  <c r="W7" i="49"/>
  <c r="X11" i="49" s="1"/>
  <c r="R7" i="49"/>
  <c r="S8" i="49" s="1"/>
  <c r="J7" i="49"/>
  <c r="I7" i="49"/>
  <c r="G7" i="49"/>
  <c r="AM12" i="48"/>
  <c r="AM10" i="48"/>
  <c r="AM9" i="48"/>
  <c r="AM8" i="48"/>
  <c r="AM7" i="48"/>
  <c r="X13" i="48"/>
  <c r="X12" i="48"/>
  <c r="AV15" i="48"/>
  <c r="AQ15" i="48"/>
  <c r="AR15" i="48" s="1"/>
  <c r="AL15" i="48"/>
  <c r="AG15" i="48"/>
  <c r="AB15" i="48"/>
  <c r="W15" i="48"/>
  <c r="R15" i="48"/>
  <c r="J15" i="48"/>
  <c r="I15" i="48"/>
  <c r="G15" i="48"/>
  <c r="AV14" i="48"/>
  <c r="AQ14" i="48"/>
  <c r="AR14" i="48" s="1"/>
  <c r="AL14" i="48"/>
  <c r="AM14" i="48" s="1"/>
  <c r="AG14" i="48"/>
  <c r="AH14" i="48" s="1"/>
  <c r="AB14" i="48"/>
  <c r="AC14" i="48" s="1"/>
  <c r="W14" i="48"/>
  <c r="X14" i="48" s="1"/>
  <c r="R14" i="48"/>
  <c r="S14" i="48" s="1"/>
  <c r="J14" i="48"/>
  <c r="I14" i="48"/>
  <c r="G14" i="48"/>
  <c r="AV13" i="48"/>
  <c r="AQ13" i="48"/>
  <c r="AL13" i="48"/>
  <c r="AG13" i="48"/>
  <c r="AH13" i="48" s="1"/>
  <c r="AB13" i="48"/>
  <c r="W13" i="48"/>
  <c r="R13" i="48"/>
  <c r="J13" i="48"/>
  <c r="I13" i="48"/>
  <c r="G13" i="48"/>
  <c r="AV12" i="48"/>
  <c r="AQ12" i="48"/>
  <c r="AR12" i="48" s="1"/>
  <c r="AL12" i="48"/>
  <c r="AM15" i="48" s="1"/>
  <c r="AG12" i="48"/>
  <c r="AH12" i="48" s="1"/>
  <c r="AB12" i="48"/>
  <c r="AC8" i="48" s="1"/>
  <c r="W12" i="48"/>
  <c r="X15" i="48" s="1"/>
  <c r="R12" i="48"/>
  <c r="S12" i="48" s="1"/>
  <c r="J12" i="48"/>
  <c r="I12" i="48"/>
  <c r="G12" i="48"/>
  <c r="R11" i="48"/>
  <c r="K11" i="48"/>
  <c r="J11" i="48"/>
  <c r="I11" i="48"/>
  <c r="G11" i="48"/>
  <c r="AV10" i="48"/>
  <c r="AW10" i="48" s="1"/>
  <c r="AQ10" i="48"/>
  <c r="AR10" i="48" s="1"/>
  <c r="AL10" i="48"/>
  <c r="AG10" i="48"/>
  <c r="AH10" i="48" s="1"/>
  <c r="AB10" i="48"/>
  <c r="W10" i="48"/>
  <c r="X10" i="48" s="1"/>
  <c r="R10" i="48"/>
  <c r="S10" i="48" s="1"/>
  <c r="K10" i="48"/>
  <c r="J10" i="48"/>
  <c r="I10" i="48"/>
  <c r="G10" i="48"/>
  <c r="AV9" i="48"/>
  <c r="AW9" i="48" s="1"/>
  <c r="AQ9" i="48"/>
  <c r="AR9" i="48" s="1"/>
  <c r="AL9" i="48"/>
  <c r="AG9" i="48"/>
  <c r="AH9" i="48" s="1"/>
  <c r="AB9" i="48"/>
  <c r="W9" i="48"/>
  <c r="R9" i="48"/>
  <c r="J9" i="48"/>
  <c r="I9" i="48"/>
  <c r="G9" i="48"/>
  <c r="AV8" i="48"/>
  <c r="AW8" i="48" s="1"/>
  <c r="AQ8" i="48"/>
  <c r="AL8" i="48"/>
  <c r="AG8" i="48"/>
  <c r="AH15" i="48" s="1"/>
  <c r="AB8" i="48"/>
  <c r="AC10" i="48" s="1"/>
  <c r="W8" i="48"/>
  <c r="X9" i="48" s="1"/>
  <c r="R8" i="48"/>
  <c r="S13" i="48" s="1"/>
  <c r="J8" i="48"/>
  <c r="I8" i="48"/>
  <c r="G8" i="48"/>
  <c r="AV7" i="48"/>
  <c r="AW12" i="48" s="1"/>
  <c r="AQ7" i="48"/>
  <c r="AR13" i="48" s="1"/>
  <c r="AL7" i="48"/>
  <c r="AG7" i="48"/>
  <c r="AB7" i="48"/>
  <c r="W7" i="48"/>
  <c r="R7" i="48"/>
  <c r="S9" i="48" s="1"/>
  <c r="J7" i="48"/>
  <c r="I7" i="48"/>
  <c r="G7" i="48"/>
  <c r="AC8" i="47"/>
  <c r="AC7" i="47"/>
  <c r="X11" i="47"/>
  <c r="AW8" i="47"/>
  <c r="AW7" i="47"/>
  <c r="AR11" i="47"/>
  <c r="AR10" i="47"/>
  <c r="AR9" i="47"/>
  <c r="AR8" i="47"/>
  <c r="AR7" i="47"/>
  <c r="AM8" i="47"/>
  <c r="AV11" i="47"/>
  <c r="AW11" i="47" s="1"/>
  <c r="AQ11" i="47"/>
  <c r="AL11" i="47"/>
  <c r="AM11" i="47" s="1"/>
  <c r="AG11" i="47"/>
  <c r="AH11" i="47" s="1"/>
  <c r="AB11" i="47"/>
  <c r="W11" i="47"/>
  <c r="R11" i="47"/>
  <c r="S11" i="47" s="1"/>
  <c r="K11" i="47"/>
  <c r="J11" i="47"/>
  <c r="I11" i="47"/>
  <c r="G11" i="47"/>
  <c r="AV10" i="47"/>
  <c r="AQ10" i="47"/>
  <c r="AL10" i="47"/>
  <c r="AM10" i="47" s="1"/>
  <c r="AG10" i="47"/>
  <c r="AH10" i="47" s="1"/>
  <c r="AB10" i="47"/>
  <c r="W10" i="47"/>
  <c r="X10" i="47" s="1"/>
  <c r="R10" i="47"/>
  <c r="S10" i="47" s="1"/>
  <c r="K10" i="47"/>
  <c r="J10" i="47"/>
  <c r="I10" i="47"/>
  <c r="G10" i="47"/>
  <c r="AV9" i="47"/>
  <c r="AQ9" i="47"/>
  <c r="AL9" i="47"/>
  <c r="AM9" i="47" s="1"/>
  <c r="AG9" i="47"/>
  <c r="AH9" i="47" s="1"/>
  <c r="AB9" i="47"/>
  <c r="W9" i="47"/>
  <c r="X9" i="47" s="1"/>
  <c r="R9" i="47"/>
  <c r="S9" i="47" s="1"/>
  <c r="J9" i="47"/>
  <c r="I9" i="47"/>
  <c r="G9" i="47"/>
  <c r="AV8" i="47"/>
  <c r="AQ8" i="47"/>
  <c r="AL8" i="47"/>
  <c r="AG8" i="47"/>
  <c r="AB8" i="47"/>
  <c r="W8" i="47"/>
  <c r="R8" i="47"/>
  <c r="S8" i="47" s="1"/>
  <c r="J8" i="47"/>
  <c r="I8" i="47"/>
  <c r="G8" i="47"/>
  <c r="AV7" i="47"/>
  <c r="AX7" i="47" s="1"/>
  <c r="AQ7" i="47"/>
  <c r="AS7" i="47" s="1"/>
  <c r="AL7" i="47"/>
  <c r="AN7" i="47" s="1"/>
  <c r="AG7" i="47"/>
  <c r="AH8" i="47" s="1"/>
  <c r="AB7" i="47"/>
  <c r="AD7" i="47" s="1"/>
  <c r="W7" i="47"/>
  <c r="Y7" i="47" s="1"/>
  <c r="R7" i="47"/>
  <c r="T7" i="47" s="1"/>
  <c r="K7" i="47"/>
  <c r="J7" i="47"/>
  <c r="I7" i="47"/>
  <c r="G7" i="47"/>
  <c r="AV7" i="46"/>
  <c r="AX7" i="46" s="1"/>
  <c r="AQ7" i="46"/>
  <c r="AS7" i="46" s="1"/>
  <c r="AL7" i="46"/>
  <c r="AN7" i="46" s="1"/>
  <c r="AG7" i="46"/>
  <c r="AH7" i="46" s="1"/>
  <c r="AB7" i="46"/>
  <c r="AC7" i="46" s="1"/>
  <c r="W7" i="46"/>
  <c r="X7" i="46" s="1"/>
  <c r="R7" i="46"/>
  <c r="T7" i="46" s="1"/>
  <c r="J7" i="46"/>
  <c r="I7" i="46"/>
  <c r="G7" i="46"/>
  <c r="H7" i="46" s="1"/>
  <c r="AC7" i="45"/>
  <c r="X9" i="45"/>
  <c r="AV9" i="45"/>
  <c r="AW9" i="45" s="1"/>
  <c r="AQ9" i="45"/>
  <c r="AR9" i="45" s="1"/>
  <c r="AL9" i="45"/>
  <c r="AM9" i="45" s="1"/>
  <c r="AG9" i="45"/>
  <c r="AB9" i="45"/>
  <c r="W9" i="45"/>
  <c r="R9" i="45"/>
  <c r="S9" i="45" s="1"/>
  <c r="K9" i="45"/>
  <c r="M9" i="45" s="1"/>
  <c r="J9" i="45"/>
  <c r="I9" i="45"/>
  <c r="G9" i="45"/>
  <c r="AV8" i="45"/>
  <c r="AQ8" i="45"/>
  <c r="AL8" i="45"/>
  <c r="AG8" i="45"/>
  <c r="AB8" i="45"/>
  <c r="W8" i="45"/>
  <c r="X8" i="45" s="1"/>
  <c r="R8" i="45"/>
  <c r="S8" i="45" s="1"/>
  <c r="K8" i="45"/>
  <c r="M8" i="45" s="1"/>
  <c r="J8" i="45"/>
  <c r="I8" i="45"/>
  <c r="G8" i="45"/>
  <c r="AV7" i="45"/>
  <c r="AX7" i="45" s="1"/>
  <c r="AQ7" i="45"/>
  <c r="AS7" i="45" s="1"/>
  <c r="AL7" i="45"/>
  <c r="AN7" i="45" s="1"/>
  <c r="AG7" i="45"/>
  <c r="AI7" i="45" s="1"/>
  <c r="AB7" i="45"/>
  <c r="AD7" i="45" s="1"/>
  <c r="W7" i="45"/>
  <c r="Y7" i="45" s="1"/>
  <c r="R7" i="45"/>
  <c r="K7" i="45" s="1"/>
  <c r="L7" i="45" s="1"/>
  <c r="J7" i="45"/>
  <c r="I7" i="45"/>
  <c r="G7" i="45"/>
  <c r="AW26" i="44"/>
  <c r="AH11" i="44"/>
  <c r="AC17" i="44"/>
  <c r="AC15" i="44"/>
  <c r="AV42" i="44"/>
  <c r="AQ42" i="44"/>
  <c r="AL42" i="44"/>
  <c r="AG42" i="44"/>
  <c r="AH42" i="44" s="1"/>
  <c r="AB42" i="44"/>
  <c r="AC42" i="44" s="1"/>
  <c r="W42" i="44"/>
  <c r="X42" i="44" s="1"/>
  <c r="R42" i="44"/>
  <c r="S42" i="44" s="1"/>
  <c r="K42" i="44"/>
  <c r="J42" i="44"/>
  <c r="I42" i="44"/>
  <c r="G42" i="44"/>
  <c r="AV41" i="44"/>
  <c r="AW41" i="44" s="1"/>
  <c r="AQ41" i="44"/>
  <c r="AR41" i="44" s="1"/>
  <c r="AL41" i="44"/>
  <c r="AG41" i="44"/>
  <c r="AH41" i="44" s="1"/>
  <c r="AB41" i="44"/>
  <c r="AC41" i="44" s="1"/>
  <c r="W41" i="44"/>
  <c r="R41" i="44"/>
  <c r="S41" i="44" s="1"/>
  <c r="J41" i="44"/>
  <c r="I41" i="44"/>
  <c r="G41" i="44"/>
  <c r="AV40" i="44"/>
  <c r="AQ40" i="44"/>
  <c r="AR40" i="44" s="1"/>
  <c r="AL40" i="44"/>
  <c r="AG40" i="44"/>
  <c r="AH40" i="44" s="1"/>
  <c r="AB40" i="44"/>
  <c r="AC40" i="44" s="1"/>
  <c r="W40" i="44"/>
  <c r="X40" i="44" s="1"/>
  <c r="R40" i="44"/>
  <c r="S40" i="44" s="1"/>
  <c r="J40" i="44"/>
  <c r="I40" i="44"/>
  <c r="G40" i="44"/>
  <c r="AV39" i="44"/>
  <c r="AQ39" i="44"/>
  <c r="AR39" i="44" s="1"/>
  <c r="AL39" i="44"/>
  <c r="AG39" i="44"/>
  <c r="AH39" i="44" s="1"/>
  <c r="AB39" i="44"/>
  <c r="AC39" i="44" s="1"/>
  <c r="W39" i="44"/>
  <c r="R39" i="44"/>
  <c r="S39" i="44" s="1"/>
  <c r="J39" i="44"/>
  <c r="I39" i="44"/>
  <c r="G39" i="44"/>
  <c r="AV38" i="44"/>
  <c r="AW38" i="44" s="1"/>
  <c r="AQ38" i="44"/>
  <c r="AL38" i="44"/>
  <c r="AG38" i="44"/>
  <c r="AH38" i="44" s="1"/>
  <c r="AB38" i="44"/>
  <c r="AC38" i="44" s="1"/>
  <c r="W38" i="44"/>
  <c r="X38" i="44" s="1"/>
  <c r="R38" i="44"/>
  <c r="S38" i="44" s="1"/>
  <c r="J38" i="44"/>
  <c r="I38" i="44"/>
  <c r="G38" i="44"/>
  <c r="AV37" i="44"/>
  <c r="AW37" i="44" s="1"/>
  <c r="AQ37" i="44"/>
  <c r="AR37" i="44" s="1"/>
  <c r="AL37" i="44"/>
  <c r="AM37" i="44" s="1"/>
  <c r="AG37" i="44"/>
  <c r="AH37" i="44" s="1"/>
  <c r="AB37" i="44"/>
  <c r="AC37" i="44" s="1"/>
  <c r="W37" i="44"/>
  <c r="X37" i="44" s="1"/>
  <c r="R37" i="44"/>
  <c r="S37" i="44" s="1"/>
  <c r="J37" i="44"/>
  <c r="I37" i="44"/>
  <c r="G37" i="44"/>
  <c r="AV36" i="44"/>
  <c r="AQ36" i="44"/>
  <c r="AL36" i="44"/>
  <c r="AG36" i="44"/>
  <c r="AB36" i="44"/>
  <c r="AC36" i="44" s="1"/>
  <c r="W36" i="44"/>
  <c r="X36" i="44" s="1"/>
  <c r="R36" i="44"/>
  <c r="S36" i="44" s="1"/>
  <c r="J36" i="44"/>
  <c r="I36" i="44"/>
  <c r="G36" i="44"/>
  <c r="AV35" i="44"/>
  <c r="AW35" i="44" s="1"/>
  <c r="AQ35" i="44"/>
  <c r="AL35" i="44"/>
  <c r="AM35" i="44" s="1"/>
  <c r="AG35" i="44"/>
  <c r="AB35" i="44"/>
  <c r="AC35" i="44" s="1"/>
  <c r="W35" i="44"/>
  <c r="X35" i="44" s="1"/>
  <c r="R35" i="44"/>
  <c r="J35" i="44"/>
  <c r="I35" i="44"/>
  <c r="G35" i="44"/>
  <c r="AV34" i="44"/>
  <c r="AW34" i="44" s="1"/>
  <c r="AQ34" i="44"/>
  <c r="AR34" i="44" s="1"/>
  <c r="AL34" i="44"/>
  <c r="AM34" i="44" s="1"/>
  <c r="AG34" i="44"/>
  <c r="AB34" i="44"/>
  <c r="AC34" i="44" s="1"/>
  <c r="W34" i="44"/>
  <c r="X34" i="44" s="1"/>
  <c r="R34" i="44"/>
  <c r="S34" i="44" s="1"/>
  <c r="J34" i="44"/>
  <c r="I34" i="44"/>
  <c r="G34" i="44"/>
  <c r="AV33" i="44"/>
  <c r="AW33" i="44" s="1"/>
  <c r="AQ33" i="44"/>
  <c r="AR33" i="44" s="1"/>
  <c r="AL33" i="44"/>
  <c r="AM33" i="44" s="1"/>
  <c r="AG33" i="44"/>
  <c r="AH33" i="44" s="1"/>
  <c r="AB33" i="44"/>
  <c r="W33" i="44"/>
  <c r="X33" i="44" s="1"/>
  <c r="R33" i="44"/>
  <c r="S33" i="44" s="1"/>
  <c r="J33" i="44"/>
  <c r="I33" i="44"/>
  <c r="G33" i="44"/>
  <c r="AV32" i="44"/>
  <c r="AW32" i="44" s="1"/>
  <c r="AQ32" i="44"/>
  <c r="AL32" i="44"/>
  <c r="AM32" i="44" s="1"/>
  <c r="AG32" i="44"/>
  <c r="AH32" i="44" s="1"/>
  <c r="AB32" i="44"/>
  <c r="AC32" i="44" s="1"/>
  <c r="W32" i="44"/>
  <c r="X32" i="44" s="1"/>
  <c r="R32" i="44"/>
  <c r="S32" i="44" s="1"/>
  <c r="J32" i="44"/>
  <c r="I32" i="44"/>
  <c r="G32" i="44"/>
  <c r="AV31" i="44"/>
  <c r="AW31" i="44" s="1"/>
  <c r="AQ31" i="44"/>
  <c r="AR31" i="44" s="1"/>
  <c r="AL31" i="44"/>
  <c r="AG31" i="44"/>
  <c r="AH31" i="44" s="1"/>
  <c r="AB31" i="44"/>
  <c r="W31" i="44"/>
  <c r="X31" i="44" s="1"/>
  <c r="R31" i="44"/>
  <c r="S31" i="44" s="1"/>
  <c r="J31" i="44"/>
  <c r="I31" i="44"/>
  <c r="G31" i="44"/>
  <c r="AV30" i="44"/>
  <c r="AQ30" i="44"/>
  <c r="AR30" i="44" s="1"/>
  <c r="AL30" i="44"/>
  <c r="AM30" i="44" s="1"/>
  <c r="AG30" i="44"/>
  <c r="AH30" i="44" s="1"/>
  <c r="AB30" i="44"/>
  <c r="W30" i="44"/>
  <c r="K30" i="44" s="1"/>
  <c r="R30" i="44"/>
  <c r="S30" i="44" s="1"/>
  <c r="J30" i="44"/>
  <c r="I30" i="44"/>
  <c r="G30" i="44"/>
  <c r="AV29" i="44"/>
  <c r="AQ29" i="44"/>
  <c r="AR29" i="44" s="1"/>
  <c r="AL29" i="44"/>
  <c r="AM29" i="44" s="1"/>
  <c r="AG29" i="44"/>
  <c r="AB29" i="44"/>
  <c r="W29" i="44"/>
  <c r="R29" i="44"/>
  <c r="J29" i="44"/>
  <c r="I29" i="44"/>
  <c r="G29" i="44"/>
  <c r="AV28" i="44"/>
  <c r="AQ28" i="44"/>
  <c r="AR28" i="44" s="1"/>
  <c r="AL28" i="44"/>
  <c r="AM28" i="44" s="1"/>
  <c r="AG28" i="44"/>
  <c r="AH28" i="44" s="1"/>
  <c r="AB28" i="44"/>
  <c r="AC28" i="44" s="1"/>
  <c r="W28" i="44"/>
  <c r="X28" i="44" s="1"/>
  <c r="R28" i="44"/>
  <c r="J28" i="44"/>
  <c r="I28" i="44"/>
  <c r="G28" i="44"/>
  <c r="AV27" i="44"/>
  <c r="AQ27" i="44"/>
  <c r="AR27" i="44" s="1"/>
  <c r="AL27" i="44"/>
  <c r="AM27" i="44" s="1"/>
  <c r="AG27" i="44"/>
  <c r="AB27" i="44"/>
  <c r="AC27" i="44" s="1"/>
  <c r="W27" i="44"/>
  <c r="R27" i="44"/>
  <c r="J27" i="44"/>
  <c r="I27" i="44"/>
  <c r="G27" i="44"/>
  <c r="AV26" i="44"/>
  <c r="AQ26" i="44"/>
  <c r="AR26" i="44" s="1"/>
  <c r="AL26" i="44"/>
  <c r="AM26" i="44" s="1"/>
  <c r="AG26" i="44"/>
  <c r="AH26" i="44" s="1"/>
  <c r="AB26" i="44"/>
  <c r="AC26" i="44" s="1"/>
  <c r="W26" i="44"/>
  <c r="X27" i="44" s="1"/>
  <c r="R26" i="44"/>
  <c r="S9" i="44" s="1"/>
  <c r="J26" i="44"/>
  <c r="I26" i="44"/>
  <c r="G26" i="44"/>
  <c r="AV25" i="44"/>
  <c r="AW25" i="44" s="1"/>
  <c r="AQ25" i="44"/>
  <c r="AR25" i="44" s="1"/>
  <c r="AL25" i="44"/>
  <c r="AM25" i="44" s="1"/>
  <c r="AG25" i="44"/>
  <c r="AH25" i="44" s="1"/>
  <c r="AB25" i="44"/>
  <c r="AC25" i="44" s="1"/>
  <c r="W25" i="44"/>
  <c r="R25" i="44"/>
  <c r="J25" i="44"/>
  <c r="I25" i="44"/>
  <c r="G25" i="44"/>
  <c r="AV24" i="44"/>
  <c r="AW24" i="44" s="1"/>
  <c r="AQ24" i="44"/>
  <c r="AL24" i="44"/>
  <c r="AM24" i="44" s="1"/>
  <c r="AG24" i="44"/>
  <c r="AH24" i="44" s="1"/>
  <c r="AB24" i="44"/>
  <c r="AC24" i="44" s="1"/>
  <c r="W24" i="44"/>
  <c r="X24" i="44" s="1"/>
  <c r="R24" i="44"/>
  <c r="J24" i="44"/>
  <c r="I24" i="44"/>
  <c r="G24" i="44"/>
  <c r="AV23" i="44"/>
  <c r="AW23" i="44" s="1"/>
  <c r="AQ23" i="44"/>
  <c r="AL23" i="44"/>
  <c r="AM23" i="44" s="1"/>
  <c r="AG23" i="44"/>
  <c r="AH23" i="44" s="1"/>
  <c r="AB23" i="44"/>
  <c r="W23" i="44"/>
  <c r="R23" i="44"/>
  <c r="J23" i="44"/>
  <c r="I23" i="44"/>
  <c r="G23" i="44"/>
  <c r="AV22" i="44"/>
  <c r="AW22" i="44" s="1"/>
  <c r="AQ22" i="44"/>
  <c r="AL22" i="44"/>
  <c r="AM22" i="44" s="1"/>
  <c r="AG22" i="44"/>
  <c r="AH22" i="44" s="1"/>
  <c r="AB22" i="44"/>
  <c r="AC10" i="44" s="1"/>
  <c r="W22" i="44"/>
  <c r="X25" i="44" s="1"/>
  <c r="R22" i="44"/>
  <c r="J22" i="44"/>
  <c r="I22" i="44"/>
  <c r="G22" i="44"/>
  <c r="AV21" i="44"/>
  <c r="AW21" i="44" s="1"/>
  <c r="AQ21" i="44"/>
  <c r="AR21" i="44" s="1"/>
  <c r="AL21" i="44"/>
  <c r="AG21" i="44"/>
  <c r="AH21" i="44" s="1"/>
  <c r="AB21" i="44"/>
  <c r="W21" i="44"/>
  <c r="R21" i="44"/>
  <c r="S21" i="44" s="1"/>
  <c r="J21" i="44"/>
  <c r="I21" i="44"/>
  <c r="G21" i="44"/>
  <c r="AV20" i="44"/>
  <c r="AQ20" i="44"/>
  <c r="AR20" i="44" s="1"/>
  <c r="AL20" i="44"/>
  <c r="AM20" i="44" s="1"/>
  <c r="AG20" i="44"/>
  <c r="AH20" i="44" s="1"/>
  <c r="AB20" i="44"/>
  <c r="AC20" i="44" s="1"/>
  <c r="W20" i="44"/>
  <c r="R20" i="44"/>
  <c r="S20" i="44" s="1"/>
  <c r="J20" i="44"/>
  <c r="I20" i="44"/>
  <c r="G20" i="44"/>
  <c r="AV19" i="44"/>
  <c r="AW19" i="44" s="1"/>
  <c r="AQ19" i="44"/>
  <c r="AR19" i="44" s="1"/>
  <c r="AL19" i="44"/>
  <c r="AG19" i="44"/>
  <c r="AH19" i="44" s="1"/>
  <c r="AB19" i="44"/>
  <c r="AC19" i="44" s="1"/>
  <c r="W19" i="44"/>
  <c r="R19" i="44"/>
  <c r="S19" i="44" s="1"/>
  <c r="J19" i="44"/>
  <c r="I19" i="44"/>
  <c r="G19" i="44"/>
  <c r="AV18" i="44"/>
  <c r="AW18" i="44" s="1"/>
  <c r="AQ18" i="44"/>
  <c r="AL18" i="44"/>
  <c r="AG18" i="44"/>
  <c r="AH14" i="44" s="1"/>
  <c r="AB18" i="44"/>
  <c r="AC29" i="44" s="1"/>
  <c r="W18" i="44"/>
  <c r="R18" i="44"/>
  <c r="J18" i="44"/>
  <c r="I18" i="44"/>
  <c r="G18" i="44"/>
  <c r="AV17" i="44"/>
  <c r="AW17" i="44" s="1"/>
  <c r="AQ17" i="44"/>
  <c r="AL17" i="44"/>
  <c r="AM17" i="44" s="1"/>
  <c r="AG17" i="44"/>
  <c r="K17" i="44" s="1"/>
  <c r="AB17" i="44"/>
  <c r="W17" i="44"/>
  <c r="R17" i="44"/>
  <c r="J17" i="44"/>
  <c r="I17" i="44"/>
  <c r="G17" i="44"/>
  <c r="AV16" i="44"/>
  <c r="AW16" i="44" s="1"/>
  <c r="AQ16" i="44"/>
  <c r="AR16" i="44" s="1"/>
  <c r="AL16" i="44"/>
  <c r="K16" i="44" s="1"/>
  <c r="AG16" i="44"/>
  <c r="AH16" i="44" s="1"/>
  <c r="AB16" i="44"/>
  <c r="W16" i="44"/>
  <c r="R16" i="44"/>
  <c r="S16" i="44" s="1"/>
  <c r="J16" i="44"/>
  <c r="I16" i="44"/>
  <c r="G16" i="44"/>
  <c r="AV15" i="44"/>
  <c r="AW15" i="44" s="1"/>
  <c r="AQ15" i="44"/>
  <c r="AL15" i="44"/>
  <c r="AM15" i="44" s="1"/>
  <c r="AG15" i="44"/>
  <c r="AB15" i="44"/>
  <c r="W15" i="44"/>
  <c r="X15" i="44" s="1"/>
  <c r="R15" i="44"/>
  <c r="J15" i="44"/>
  <c r="I15" i="44"/>
  <c r="G15" i="44"/>
  <c r="AV14" i="44"/>
  <c r="AW14" i="44" s="1"/>
  <c r="AQ14" i="44"/>
  <c r="AR14" i="44" s="1"/>
  <c r="AL14" i="44"/>
  <c r="AM14" i="44" s="1"/>
  <c r="AG14" i="44"/>
  <c r="AB14" i="44"/>
  <c r="W14" i="44"/>
  <c r="X14" i="44" s="1"/>
  <c r="R14" i="44"/>
  <c r="J14" i="44"/>
  <c r="I14" i="44"/>
  <c r="G14" i="44"/>
  <c r="AV13" i="44"/>
  <c r="AW13" i="44" s="1"/>
  <c r="AQ13" i="44"/>
  <c r="AR13" i="44" s="1"/>
  <c r="AL13" i="44"/>
  <c r="AM13" i="44" s="1"/>
  <c r="AG13" i="44"/>
  <c r="AB13" i="44"/>
  <c r="W13" i="44"/>
  <c r="X13" i="44" s="1"/>
  <c r="R13" i="44"/>
  <c r="J13" i="44"/>
  <c r="I13" i="44"/>
  <c r="G13" i="44"/>
  <c r="AV12" i="44"/>
  <c r="AW12" i="44" s="1"/>
  <c r="AQ12" i="44"/>
  <c r="AR12" i="44" s="1"/>
  <c r="AL12" i="44"/>
  <c r="AM39" i="44" s="1"/>
  <c r="AG12" i="44"/>
  <c r="AH13" i="44" s="1"/>
  <c r="AB12" i="44"/>
  <c r="W12" i="44"/>
  <c r="X12" i="44" s="1"/>
  <c r="R12" i="44"/>
  <c r="S12" i="44" s="1"/>
  <c r="J12" i="44"/>
  <c r="I12" i="44"/>
  <c r="G12" i="44"/>
  <c r="AV11" i="44"/>
  <c r="AW11" i="44" s="1"/>
  <c r="AQ11" i="44"/>
  <c r="AR11" i="44" s="1"/>
  <c r="AL11" i="44"/>
  <c r="K11" i="44" s="1"/>
  <c r="AG11" i="44"/>
  <c r="AB11" i="44"/>
  <c r="W11" i="44"/>
  <c r="R11" i="44"/>
  <c r="J11" i="44"/>
  <c r="I11" i="44"/>
  <c r="G11" i="44"/>
  <c r="AV10" i="44"/>
  <c r="AW10" i="44" s="1"/>
  <c r="AQ10" i="44"/>
  <c r="AR10" i="44" s="1"/>
  <c r="AL10" i="44"/>
  <c r="AM10" i="44" s="1"/>
  <c r="AG10" i="44"/>
  <c r="AB10" i="44"/>
  <c r="W10" i="44"/>
  <c r="R10" i="44"/>
  <c r="S10" i="44" s="1"/>
  <c r="J10" i="44"/>
  <c r="I10" i="44"/>
  <c r="G10" i="44"/>
  <c r="AV9" i="44"/>
  <c r="AQ9" i="44"/>
  <c r="AR9" i="44" s="1"/>
  <c r="AL9" i="44"/>
  <c r="AG9" i="44"/>
  <c r="AB9" i="44"/>
  <c r="W9" i="44"/>
  <c r="R9" i="44"/>
  <c r="J9" i="44"/>
  <c r="I9" i="44"/>
  <c r="G9" i="44"/>
  <c r="AV8" i="44"/>
  <c r="AW39" i="44" s="1"/>
  <c r="AQ8" i="44"/>
  <c r="AR35" i="44" s="1"/>
  <c r="AL8" i="44"/>
  <c r="AM31" i="44" s="1"/>
  <c r="AG8" i="44"/>
  <c r="AB8" i="44"/>
  <c r="AC8" i="44" s="1"/>
  <c r="W8" i="44"/>
  <c r="X23" i="44" s="1"/>
  <c r="R8" i="44"/>
  <c r="J8" i="44"/>
  <c r="I8" i="44"/>
  <c r="G8" i="44"/>
  <c r="AV7" i="44"/>
  <c r="AQ7" i="44"/>
  <c r="AR7" i="44" s="1"/>
  <c r="AL7" i="44"/>
  <c r="AG7" i="44"/>
  <c r="AB7" i="44"/>
  <c r="W7" i="44"/>
  <c r="R7" i="44"/>
  <c r="S11" i="44" s="1"/>
  <c r="J7" i="44"/>
  <c r="I7" i="44"/>
  <c r="G7" i="44"/>
  <c r="H7" i="44" s="1"/>
  <c r="D8" i="6"/>
  <c r="D9" i="6" s="1"/>
  <c r="D10" i="6" s="1"/>
  <c r="D11" i="6" s="1"/>
  <c r="D12" i="6" s="1"/>
  <c r="D13" i="6" s="1"/>
  <c r="AC13" i="6"/>
  <c r="S13" i="6"/>
  <c r="M13" i="6"/>
  <c r="F13" i="6"/>
  <c r="AL13" i="6" s="1"/>
  <c r="AC12" i="6"/>
  <c r="F12" i="6" s="1"/>
  <c r="AL12" i="6" s="1"/>
  <c r="S12" i="6"/>
  <c r="M12" i="6"/>
  <c r="AC11" i="6"/>
  <c r="S11" i="6"/>
  <c r="M11" i="6"/>
  <c r="AC10" i="6"/>
  <c r="S10" i="6"/>
  <c r="M10" i="6"/>
  <c r="AC9" i="6"/>
  <c r="F9" i="6" s="1"/>
  <c r="AL9" i="6" s="1"/>
  <c r="S9" i="6"/>
  <c r="M9" i="6"/>
  <c r="AC8" i="6"/>
  <c r="S8" i="6"/>
  <c r="M8" i="6"/>
  <c r="AC7" i="6"/>
  <c r="S7" i="6"/>
  <c r="M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S11" i="52" l="1"/>
  <c r="H7" i="52"/>
  <c r="S8" i="52"/>
  <c r="X7" i="52"/>
  <c r="AR7" i="52"/>
  <c r="T7" i="52"/>
  <c r="Y7" i="52"/>
  <c r="AD7" i="52"/>
  <c r="AI7" i="52"/>
  <c r="AC7" i="52"/>
  <c r="AN7" i="52"/>
  <c r="AC8" i="52"/>
  <c r="AX7" i="52"/>
  <c r="AH12" i="51"/>
  <c r="AM7" i="51"/>
  <c r="X12" i="51"/>
  <c r="AM8" i="51"/>
  <c r="AD7" i="51"/>
  <c r="X13" i="51"/>
  <c r="AW13" i="51"/>
  <c r="AI7" i="51"/>
  <c r="X14" i="51"/>
  <c r="AC7" i="51"/>
  <c r="AH14" i="51"/>
  <c r="S7" i="51"/>
  <c r="S14" i="51"/>
  <c r="AC12" i="51"/>
  <c r="K10" i="51"/>
  <c r="K12" i="51"/>
  <c r="M12" i="51" s="1"/>
  <c r="AW8" i="51"/>
  <c r="AX7" i="51"/>
  <c r="AC10" i="51"/>
  <c r="AC13" i="51"/>
  <c r="AC14" i="51"/>
  <c r="AR10" i="51"/>
  <c r="AC9" i="51"/>
  <c r="AH7" i="51"/>
  <c r="AS7" i="51"/>
  <c r="K11" i="51"/>
  <c r="M9" i="49"/>
  <c r="S9" i="49"/>
  <c r="AR9" i="49"/>
  <c r="AH8" i="49"/>
  <c r="AR10" i="49"/>
  <c r="X7" i="49"/>
  <c r="AR11" i="49"/>
  <c r="H7" i="49"/>
  <c r="AH7" i="49"/>
  <c r="K7" i="49"/>
  <c r="M8" i="49" s="1"/>
  <c r="K15" i="49"/>
  <c r="M15" i="49" s="1"/>
  <c r="X8" i="49"/>
  <c r="AC14" i="49"/>
  <c r="AC15" i="49"/>
  <c r="S10" i="49"/>
  <c r="AH11" i="49"/>
  <c r="AN7" i="49"/>
  <c r="AW7" i="49"/>
  <c r="AS7" i="49"/>
  <c r="AW8" i="49"/>
  <c r="AM7" i="49"/>
  <c r="X16" i="49"/>
  <c r="AM8" i="49"/>
  <c r="S7" i="49"/>
  <c r="AR14" i="49"/>
  <c r="AD7" i="49"/>
  <c r="S11" i="49"/>
  <c r="AM16" i="49"/>
  <c r="AR7" i="49"/>
  <c r="Y7" i="49"/>
  <c r="X9" i="49"/>
  <c r="AC7" i="49"/>
  <c r="AX7" i="48"/>
  <c r="AW15" i="48"/>
  <c r="S7" i="48"/>
  <c r="AC12" i="48"/>
  <c r="AC13" i="48"/>
  <c r="H7" i="48"/>
  <c r="S11" i="48"/>
  <c r="AH8" i="48"/>
  <c r="Y7" i="48"/>
  <c r="S8" i="48"/>
  <c r="AM13" i="48"/>
  <c r="S15" i="48"/>
  <c r="AR8" i="48"/>
  <c r="AC15" i="48"/>
  <c r="AH7" i="48"/>
  <c r="K7" i="48"/>
  <c r="AD7" i="48"/>
  <c r="X7" i="48"/>
  <c r="AW7" i="48"/>
  <c r="AC7" i="48"/>
  <c r="AC9" i="48"/>
  <c r="AR7" i="48"/>
  <c r="X8" i="48"/>
  <c r="AW13" i="48"/>
  <c r="AW14" i="48"/>
  <c r="AS7" i="48"/>
  <c r="AC11" i="47"/>
  <c r="AH7" i="47"/>
  <c r="K9" i="47"/>
  <c r="AW9" i="47"/>
  <c r="AW10" i="47"/>
  <c r="S7" i="47"/>
  <c r="AC9" i="47"/>
  <c r="AC10" i="47"/>
  <c r="X8" i="47"/>
  <c r="AM7" i="47"/>
  <c r="X7" i="47"/>
  <c r="H7" i="47"/>
  <c r="S7" i="46"/>
  <c r="AM7" i="46"/>
  <c r="AR7" i="46"/>
  <c r="AW7" i="46"/>
  <c r="AC8" i="45"/>
  <c r="AH7" i="45"/>
  <c r="AH9" i="45"/>
  <c r="AW8" i="45"/>
  <c r="AH8" i="45"/>
  <c r="AM8" i="45"/>
  <c r="AR8" i="45"/>
  <c r="M7" i="45"/>
  <c r="AW7" i="45"/>
  <c r="H7" i="45"/>
  <c r="X7" i="45"/>
  <c r="AC9" i="45"/>
  <c r="AM7" i="45"/>
  <c r="AR7" i="45"/>
  <c r="S7" i="45"/>
  <c r="AH15" i="44"/>
  <c r="AW7" i="44"/>
  <c r="K18" i="44"/>
  <c r="S26" i="44"/>
  <c r="AR24" i="44"/>
  <c r="X29" i="44"/>
  <c r="AH17" i="44"/>
  <c r="AM41" i="44"/>
  <c r="AW9" i="44"/>
  <c r="K36" i="44"/>
  <c r="X10" i="44"/>
  <c r="X30" i="44"/>
  <c r="AM42" i="44"/>
  <c r="AC16" i="44"/>
  <c r="K7" i="44"/>
  <c r="S8" i="44"/>
  <c r="AH34" i="44"/>
  <c r="AR42" i="44"/>
  <c r="S27" i="44"/>
  <c r="AC11" i="44"/>
  <c r="AM19" i="44"/>
  <c r="X8" i="44"/>
  <c r="AH36" i="44"/>
  <c r="AW28" i="44"/>
  <c r="X9" i="44"/>
  <c r="AC33" i="44"/>
  <c r="AM21" i="44"/>
  <c r="AW29" i="44"/>
  <c r="S24" i="44"/>
  <c r="AC14" i="44"/>
  <c r="AH18" i="44"/>
  <c r="AW30" i="44"/>
  <c r="K38" i="44"/>
  <c r="S7" i="44"/>
  <c r="S23" i="44"/>
  <c r="X11" i="44"/>
  <c r="Y7" i="44"/>
  <c r="K9" i="44"/>
  <c r="K40" i="44"/>
  <c r="S22" i="44"/>
  <c r="AR8" i="44"/>
  <c r="AC18" i="44"/>
  <c r="AN7" i="44"/>
  <c r="K27" i="44"/>
  <c r="K31" i="44"/>
  <c r="AM7" i="44"/>
  <c r="S28" i="44"/>
  <c r="AC30" i="44"/>
  <c r="AR22" i="44"/>
  <c r="AC31" i="44"/>
  <c r="AR23" i="44"/>
  <c r="AC12" i="44"/>
  <c r="AW8" i="44"/>
  <c r="K20" i="44"/>
  <c r="K34" i="44"/>
  <c r="S25" i="44"/>
  <c r="AC13" i="44"/>
  <c r="AS7" i="44"/>
  <c r="K29" i="44"/>
  <c r="K41" i="44"/>
  <c r="S18" i="44"/>
  <c r="X16" i="44"/>
  <c r="AM8" i="44"/>
  <c r="AR32" i="44"/>
  <c r="AW36" i="44"/>
  <c r="AX7" i="44"/>
  <c r="S17" i="44"/>
  <c r="X17" i="44"/>
  <c r="AC21" i="44"/>
  <c r="AM9" i="44"/>
  <c r="X18" i="44"/>
  <c r="AC22" i="44"/>
  <c r="AM18" i="44"/>
  <c r="X7" i="44"/>
  <c r="AH35" i="44"/>
  <c r="AW27" i="44"/>
  <c r="X20" i="44"/>
  <c r="AH8" i="44"/>
  <c r="AM12" i="44"/>
  <c r="AW20" i="44"/>
  <c r="AW40" i="44"/>
  <c r="K8" i="44"/>
  <c r="S13" i="44"/>
  <c r="X21" i="44"/>
  <c r="X41" i="44"/>
  <c r="AH9" i="44"/>
  <c r="AH29" i="44"/>
  <c r="AR17" i="44"/>
  <c r="AH10" i="44"/>
  <c r="AR18" i="44"/>
  <c r="AR38" i="44"/>
  <c r="AW42" i="44"/>
  <c r="X26" i="44"/>
  <c r="AM38" i="44"/>
  <c r="AM40" i="44"/>
  <c r="S35" i="44"/>
  <c r="S15" i="44"/>
  <c r="X19" i="44"/>
  <c r="X39" i="44"/>
  <c r="AC23" i="44"/>
  <c r="AH7" i="44"/>
  <c r="AH27" i="44"/>
  <c r="AM11" i="44"/>
  <c r="AR15" i="44"/>
  <c r="S14" i="44"/>
  <c r="AR36" i="44"/>
  <c r="K10" i="44"/>
  <c r="X22" i="44"/>
  <c r="K22" i="44"/>
  <c r="AC7" i="44"/>
  <c r="K26" i="44"/>
  <c r="AH12" i="44"/>
  <c r="AM16" i="44"/>
  <c r="AM36" i="44"/>
  <c r="K14" i="44"/>
  <c r="K28" i="44"/>
  <c r="S29" i="44"/>
  <c r="AC9" i="44"/>
  <c r="F7" i="6"/>
  <c r="F8" i="6"/>
  <c r="AL8" i="6" s="1"/>
  <c r="AL7" i="6"/>
  <c r="F10" i="6"/>
  <c r="AL10" i="6" s="1"/>
  <c r="F11" i="6"/>
  <c r="AL11" i="6" s="1"/>
  <c r="N7" i="6"/>
  <c r="T7" i="6"/>
  <c r="AD7" i="6"/>
  <c r="N13" i="6"/>
  <c r="T8" i="6"/>
  <c r="AD13" i="6"/>
  <c r="N9" i="6"/>
  <c r="N10" i="6"/>
  <c r="T13" i="6"/>
  <c r="T9" i="6"/>
  <c r="AD9" i="6"/>
  <c r="T10" i="6"/>
  <c r="AD12" i="6"/>
  <c r="G28" i="6"/>
  <c r="N12" i="6"/>
  <c r="T12" i="6"/>
  <c r="N8" i="6"/>
  <c r="AD8" i="6"/>
  <c r="K7" i="52"/>
  <c r="K11" i="52"/>
  <c r="K10" i="52"/>
  <c r="K9" i="52"/>
  <c r="K8" i="52"/>
  <c r="M8" i="52" s="1"/>
  <c r="K9" i="51"/>
  <c r="K8" i="51"/>
  <c r="K7" i="51"/>
  <c r="K14" i="49"/>
  <c r="AI7" i="49"/>
  <c r="T7" i="49"/>
  <c r="T7" i="48"/>
  <c r="K9" i="48"/>
  <c r="K8" i="48"/>
  <c r="K14" i="48"/>
  <c r="K13" i="48"/>
  <c r="AI7" i="48"/>
  <c r="K15" i="48"/>
  <c r="K12" i="48"/>
  <c r="M12" i="48" s="1"/>
  <c r="AN7" i="48"/>
  <c r="K8" i="47"/>
  <c r="M8" i="47" s="1"/>
  <c r="AI7" i="47"/>
  <c r="Y7" i="46"/>
  <c r="AD7" i="46"/>
  <c r="AI7" i="46"/>
  <c r="K7" i="46"/>
  <c r="M7" i="46" s="1"/>
  <c r="T7" i="45"/>
  <c r="K25" i="44"/>
  <c r="AD7" i="44"/>
  <c r="K24" i="44"/>
  <c r="K23" i="44"/>
  <c r="AI7" i="44"/>
  <c r="K21" i="44"/>
  <c r="K19" i="44"/>
  <c r="K39" i="44"/>
  <c r="K37" i="44"/>
  <c r="K15" i="44"/>
  <c r="K35" i="44"/>
  <c r="K13" i="44"/>
  <c r="K33" i="44"/>
  <c r="K12" i="44"/>
  <c r="M12" i="44" s="1"/>
  <c r="K32" i="44"/>
  <c r="T7" i="44"/>
  <c r="G7" i="6"/>
  <c r="J10" i="6"/>
  <c r="P11" i="6"/>
  <c r="J7" i="6"/>
  <c r="J12" i="6"/>
  <c r="L7" i="6"/>
  <c r="L12" i="6"/>
  <c r="R10" i="6"/>
  <c r="V7" i="6"/>
  <c r="J9" i="6"/>
  <c r="J13" i="6"/>
  <c r="L8" i="6"/>
  <c r="P7" i="6"/>
  <c r="P8" i="6"/>
  <c r="P13" i="6"/>
  <c r="R7" i="6"/>
  <c r="R9" i="6"/>
  <c r="R12" i="6"/>
  <c r="V8" i="6"/>
  <c r="V10" i="6"/>
  <c r="V13" i="6"/>
  <c r="X8" i="6"/>
  <c r="X9" i="6"/>
  <c r="X12" i="6"/>
  <c r="Z7" i="6"/>
  <c r="Z9" i="6"/>
  <c r="Z12" i="6"/>
  <c r="AB7" i="6"/>
  <c r="AB9" i="6"/>
  <c r="AB13" i="6"/>
  <c r="AF7" i="6"/>
  <c r="AF8" i="6"/>
  <c r="AF9" i="6"/>
  <c r="AF10" i="6"/>
  <c r="AF12" i="6"/>
  <c r="AF13" i="6"/>
  <c r="AH7" i="6"/>
  <c r="AH8" i="6"/>
  <c r="AH9" i="6"/>
  <c r="AH12" i="6"/>
  <c r="AH13" i="6"/>
  <c r="J8" i="6"/>
  <c r="L9" i="6"/>
  <c r="L13" i="6"/>
  <c r="P9" i="6"/>
  <c r="P12" i="6"/>
  <c r="R8" i="6"/>
  <c r="R13" i="6"/>
  <c r="V9" i="6"/>
  <c r="V12" i="6"/>
  <c r="X7" i="6"/>
  <c r="X10" i="6"/>
  <c r="X13" i="6"/>
  <c r="Z8" i="6"/>
  <c r="Z13" i="6"/>
  <c r="AB8" i="6"/>
  <c r="AB10" i="6"/>
  <c r="AB12" i="6"/>
  <c r="AJ7" i="6"/>
  <c r="AJ8" i="6"/>
  <c r="AJ9" i="6"/>
  <c r="AJ10" i="6"/>
  <c r="AJ12" i="6"/>
  <c r="AJ13" i="6"/>
  <c r="G35" i="6"/>
  <c r="B7" i="7"/>
  <c r="AC13" i="7"/>
  <c r="S13" i="7"/>
  <c r="M13" i="7"/>
  <c r="F13" i="7"/>
  <c r="AL13" i="7" s="1"/>
  <c r="AC12" i="7"/>
  <c r="S12" i="7"/>
  <c r="M12" i="7"/>
  <c r="F12" i="7"/>
  <c r="AL12" i="7" s="1"/>
  <c r="AC11" i="7"/>
  <c r="S11" i="7"/>
  <c r="F11" i="7" s="1"/>
  <c r="AL11" i="7" s="1"/>
  <c r="M11" i="7"/>
  <c r="AC10" i="7"/>
  <c r="S10" i="7"/>
  <c r="M10" i="7"/>
  <c r="F10" i="7"/>
  <c r="AL10" i="7" s="1"/>
  <c r="AC9" i="7"/>
  <c r="S9" i="7"/>
  <c r="M9" i="7"/>
  <c r="F9" i="7"/>
  <c r="AL9" i="7" s="1"/>
  <c r="AC8" i="7"/>
  <c r="S8" i="7"/>
  <c r="M8" i="7"/>
  <c r="F8" i="7"/>
  <c r="AC7" i="7"/>
  <c r="S7" i="7"/>
  <c r="M7" i="7"/>
  <c r="F7" i="7"/>
  <c r="AL7" i="7" s="1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B35" i="7"/>
  <c r="B28" i="7"/>
  <c r="U6" i="5"/>
  <c r="U7" i="5"/>
  <c r="U8" i="5"/>
  <c r="U9" i="5"/>
  <c r="U10" i="5"/>
  <c r="U11" i="5"/>
  <c r="M11" i="52" l="1"/>
  <c r="M9" i="52"/>
  <c r="M10" i="52"/>
  <c r="M7" i="52"/>
  <c r="M11" i="51"/>
  <c r="M7" i="51"/>
  <c r="M8" i="51"/>
  <c r="M14" i="51"/>
  <c r="M10" i="51"/>
  <c r="M9" i="51"/>
  <c r="M13" i="51"/>
  <c r="M13" i="49"/>
  <c r="M7" i="49"/>
  <c r="M14" i="49"/>
  <c r="L7" i="49"/>
  <c r="M12" i="49"/>
  <c r="M10" i="49"/>
  <c r="M16" i="49"/>
  <c r="M11" i="49"/>
  <c r="M15" i="48"/>
  <c r="M13" i="48"/>
  <c r="M14" i="48"/>
  <c r="M7" i="48"/>
  <c r="M11" i="48"/>
  <c r="M10" i="48"/>
  <c r="M8" i="48"/>
  <c r="M9" i="48"/>
  <c r="M9" i="47"/>
  <c r="M11" i="47"/>
  <c r="M7" i="47"/>
  <c r="M10" i="47"/>
  <c r="M19" i="44"/>
  <c r="M11" i="44"/>
  <c r="M24" i="44"/>
  <c r="M26" i="44"/>
  <c r="M25" i="44"/>
  <c r="M36" i="44"/>
  <c r="M34" i="44"/>
  <c r="M38" i="44"/>
  <c r="M28" i="44"/>
  <c r="M21" i="44"/>
  <c r="M10" i="44"/>
  <c r="M31" i="44"/>
  <c r="M14" i="44"/>
  <c r="M7" i="44"/>
  <c r="M20" i="44"/>
  <c r="M23" i="44"/>
  <c r="M22" i="44"/>
  <c r="M32" i="44"/>
  <c r="M27" i="44"/>
  <c r="M18" i="44"/>
  <c r="M33" i="44"/>
  <c r="M8" i="44"/>
  <c r="M13" i="44"/>
  <c r="M35" i="44"/>
  <c r="M41" i="44"/>
  <c r="M17" i="44"/>
  <c r="M15" i="44"/>
  <c r="M29" i="44"/>
  <c r="M40" i="44"/>
  <c r="M16" i="44"/>
  <c r="M37" i="44"/>
  <c r="M9" i="44"/>
  <c r="M30" i="44"/>
  <c r="M39" i="44"/>
  <c r="M42" i="44"/>
  <c r="AF11" i="6"/>
  <c r="V11" i="6"/>
  <c r="P10" i="6"/>
  <c r="N11" i="6"/>
  <c r="H8" i="6"/>
  <c r="Z11" i="6"/>
  <c r="AD11" i="6"/>
  <c r="R11" i="6"/>
  <c r="AB11" i="6"/>
  <c r="L11" i="6"/>
  <c r="AJ11" i="6"/>
  <c r="T11" i="6"/>
  <c r="J11" i="6"/>
  <c r="AD10" i="6"/>
  <c r="AH11" i="6"/>
  <c r="Z10" i="6"/>
  <c r="AH10" i="6"/>
  <c r="X11" i="6"/>
  <c r="L10" i="6"/>
  <c r="N7" i="7"/>
  <c r="AL8" i="7"/>
  <c r="N9" i="7"/>
  <c r="N10" i="7"/>
  <c r="N11" i="7"/>
  <c r="N12" i="7"/>
  <c r="N8" i="7"/>
  <c r="N13" i="7"/>
  <c r="L7" i="52"/>
  <c r="L7" i="51"/>
  <c r="L7" i="48"/>
  <c r="L7" i="47"/>
  <c r="L7" i="46"/>
  <c r="L7" i="44"/>
  <c r="J7" i="7"/>
  <c r="J8" i="7"/>
  <c r="J9" i="7"/>
  <c r="J10" i="7"/>
  <c r="J11" i="7"/>
  <c r="J12" i="7"/>
  <c r="J13" i="7"/>
  <c r="G7" i="7"/>
  <c r="L7" i="7"/>
  <c r="L8" i="7"/>
  <c r="L9" i="7"/>
  <c r="L10" i="7"/>
  <c r="L11" i="7"/>
  <c r="L12" i="7"/>
  <c r="L13" i="7"/>
  <c r="P7" i="7"/>
  <c r="P8" i="7"/>
  <c r="P9" i="7"/>
  <c r="P10" i="7"/>
  <c r="P11" i="7"/>
  <c r="P12" i="7"/>
  <c r="P13" i="7"/>
  <c r="R7" i="7"/>
  <c r="R8" i="7"/>
  <c r="R9" i="7"/>
  <c r="R10" i="7"/>
  <c r="R11" i="7"/>
  <c r="R12" i="7"/>
  <c r="R13" i="7"/>
  <c r="T7" i="7"/>
  <c r="T8" i="7"/>
  <c r="T9" i="7"/>
  <c r="T10" i="7"/>
  <c r="T11" i="7"/>
  <c r="T12" i="7"/>
  <c r="T13" i="7"/>
  <c r="V7" i="7"/>
  <c r="V8" i="7"/>
  <c r="V9" i="7"/>
  <c r="V10" i="7"/>
  <c r="V11" i="7"/>
  <c r="V12" i="7"/>
  <c r="V13" i="7"/>
  <c r="X7" i="7"/>
  <c r="X8" i="7"/>
  <c r="X9" i="7"/>
  <c r="X10" i="7"/>
  <c r="X11" i="7"/>
  <c r="X12" i="7"/>
  <c r="X13" i="7"/>
  <c r="Z7" i="7"/>
  <c r="Z8" i="7"/>
  <c r="Z9" i="7"/>
  <c r="Z10" i="7"/>
  <c r="Z11" i="7"/>
  <c r="Z12" i="7"/>
  <c r="Z13" i="7"/>
  <c r="AB7" i="7"/>
  <c r="AB8" i="7"/>
  <c r="AB9" i="7"/>
  <c r="AB10" i="7"/>
  <c r="AB11" i="7"/>
  <c r="AB12" i="7"/>
  <c r="AB13" i="7"/>
  <c r="AD7" i="7"/>
  <c r="AD8" i="7"/>
  <c r="AD9" i="7"/>
  <c r="AD10" i="7"/>
  <c r="AD11" i="7"/>
  <c r="AD12" i="7"/>
  <c r="AD13" i="7"/>
  <c r="AF7" i="7"/>
  <c r="AF8" i="7"/>
  <c r="AF9" i="7"/>
  <c r="AF10" i="7"/>
  <c r="AF11" i="7"/>
  <c r="AF12" i="7"/>
  <c r="AF13" i="7"/>
  <c r="AH7" i="7"/>
  <c r="AH8" i="7"/>
  <c r="AH9" i="7"/>
  <c r="AH10" i="7"/>
  <c r="AH11" i="7"/>
  <c r="AH12" i="7"/>
  <c r="AH13" i="7"/>
  <c r="AJ7" i="7"/>
  <c r="AJ8" i="7"/>
  <c r="AJ9" i="7"/>
  <c r="AJ10" i="7"/>
  <c r="AJ11" i="7"/>
  <c r="AJ12" i="7"/>
  <c r="AJ13" i="7"/>
  <c r="G35" i="7"/>
  <c r="G28" i="7"/>
  <c r="W6" i="5" l="1"/>
  <c r="K11" i="39" s="1"/>
  <c r="T6" i="5"/>
  <c r="K10" i="39" s="1"/>
  <c r="Q6" i="5"/>
  <c r="K9" i="39" s="1"/>
  <c r="N6" i="5"/>
  <c r="K8" i="39" s="1"/>
  <c r="H6" i="5"/>
  <c r="K6" i="39" s="1"/>
  <c r="G33" i="5"/>
  <c r="I33" i="5"/>
  <c r="M33" i="5"/>
  <c r="P33" i="5"/>
  <c r="S33" i="5"/>
  <c r="V33" i="5"/>
  <c r="I34" i="5"/>
  <c r="I35" i="5"/>
  <c r="I36" i="5"/>
  <c r="I37" i="5"/>
  <c r="I38" i="5"/>
  <c r="I39" i="5"/>
  <c r="B12" i="5"/>
  <c r="G12" i="5"/>
  <c r="I12" i="5"/>
  <c r="M12" i="5"/>
  <c r="P12" i="5"/>
  <c r="S12" i="5"/>
  <c r="V12" i="5"/>
  <c r="I13" i="5"/>
  <c r="I14" i="5"/>
  <c r="I15" i="5"/>
  <c r="I16" i="5"/>
  <c r="I17" i="5"/>
  <c r="I18" i="5"/>
  <c r="B19" i="5"/>
  <c r="B26" i="5" s="1"/>
  <c r="B33" i="5" s="1"/>
  <c r="G19" i="5"/>
  <c r="I19" i="5"/>
  <c r="M19" i="5"/>
  <c r="P19" i="5"/>
  <c r="S19" i="5"/>
  <c r="V19" i="5"/>
  <c r="I20" i="5"/>
  <c r="I21" i="5"/>
  <c r="J19" i="5" s="1"/>
  <c r="I22" i="5"/>
  <c r="I23" i="5"/>
  <c r="I24" i="5"/>
  <c r="I25" i="5"/>
  <c r="G26" i="5"/>
  <c r="I26" i="5"/>
  <c r="M26" i="5"/>
  <c r="P26" i="5"/>
  <c r="S26" i="5"/>
  <c r="V26" i="5"/>
  <c r="I27" i="5"/>
  <c r="I28" i="5"/>
  <c r="I29" i="5"/>
  <c r="I30" i="5"/>
  <c r="I31" i="5"/>
  <c r="I32" i="5"/>
  <c r="E6" i="39"/>
  <c r="T6" i="3"/>
  <c r="E10" i="39" s="1"/>
  <c r="N6" i="3"/>
  <c r="E8" i="39" s="1"/>
  <c r="K6" i="3"/>
  <c r="E7" i="39" s="1"/>
  <c r="G12" i="3"/>
  <c r="G26" i="3"/>
  <c r="J26" i="3"/>
  <c r="M26" i="3"/>
  <c r="O26" i="3"/>
  <c r="P26" i="3"/>
  <c r="S26" i="3"/>
  <c r="V26" i="3" s="1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G33" i="3"/>
  <c r="J33" i="3"/>
  <c r="M33" i="3"/>
  <c r="O33" i="3"/>
  <c r="P33" i="3"/>
  <c r="S33" i="3"/>
  <c r="U33" i="3"/>
  <c r="V33" i="3"/>
  <c r="O34" i="3"/>
  <c r="U34" i="3"/>
  <c r="O35" i="3"/>
  <c r="U35" i="3"/>
  <c r="O36" i="3"/>
  <c r="U36" i="3"/>
  <c r="O37" i="3"/>
  <c r="U37" i="3"/>
  <c r="O38" i="3"/>
  <c r="U38" i="3"/>
  <c r="O39" i="3"/>
  <c r="U39" i="3"/>
  <c r="G19" i="3"/>
  <c r="V19" i="3" s="1"/>
  <c r="J19" i="3"/>
  <c r="M19" i="3"/>
  <c r="O19" i="3"/>
  <c r="S19" i="3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S12" i="3"/>
  <c r="O12" i="3"/>
  <c r="M12" i="3"/>
  <c r="J12" i="3"/>
  <c r="G5" i="3"/>
  <c r="B12" i="3"/>
  <c r="B19" i="3" s="1"/>
  <c r="B26" i="3" s="1"/>
  <c r="B33" i="3" s="1"/>
  <c r="J5" i="3"/>
  <c r="M5" i="3"/>
  <c r="O5" i="3"/>
  <c r="S5" i="3"/>
  <c r="V5" i="3" s="1"/>
  <c r="U5" i="3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O6" i="3"/>
  <c r="U6" i="3"/>
  <c r="O7" i="3"/>
  <c r="U7" i="3"/>
  <c r="O8" i="3"/>
  <c r="U8" i="3"/>
  <c r="O9" i="3"/>
  <c r="U9" i="3"/>
  <c r="O10" i="3"/>
  <c r="U10" i="3"/>
  <c r="O11" i="3"/>
  <c r="U11" i="3"/>
  <c r="P19" i="3" l="1"/>
  <c r="V12" i="3"/>
  <c r="J33" i="5"/>
  <c r="P5" i="3"/>
  <c r="J12" i="5"/>
  <c r="J26" i="5"/>
  <c r="Q6" i="3"/>
  <c r="E9" i="39" s="1"/>
  <c r="W6" i="3"/>
  <c r="E11" i="39" s="1"/>
  <c r="P12" i="3"/>
  <c r="M26" i="58" l="1"/>
  <c r="M27" i="58"/>
  <c r="M28" i="58"/>
  <c r="M29" i="58"/>
  <c r="H23" i="13" l="1"/>
  <c r="H22" i="13"/>
  <c r="H21" i="13"/>
  <c r="H20" i="13"/>
  <c r="H18" i="13"/>
  <c r="H17" i="13"/>
  <c r="B23" i="13"/>
  <c r="B22" i="13"/>
  <c r="B21" i="13"/>
  <c r="B20" i="13"/>
  <c r="B18" i="13"/>
  <c r="B17" i="13"/>
  <c r="U5" i="5" l="1"/>
  <c r="B9" i="40" l="1"/>
  <c r="B8" i="25" l="1"/>
  <c r="A8" i="25"/>
  <c r="S114" i="66" l="1"/>
  <c r="R114" i="66"/>
  <c r="O114" i="66"/>
  <c r="T114" i="66" s="1"/>
  <c r="N114" i="66"/>
  <c r="L114" i="66"/>
  <c r="J114" i="66"/>
  <c r="S113" i="66"/>
  <c r="R113" i="66"/>
  <c r="O113" i="66"/>
  <c r="T113" i="66" s="1"/>
  <c r="N113" i="66"/>
  <c r="L113" i="66"/>
  <c r="J113" i="66"/>
  <c r="S112" i="66"/>
  <c r="R112" i="66"/>
  <c r="O112" i="66"/>
  <c r="T112" i="66" s="1"/>
  <c r="N112" i="66"/>
  <c r="L112" i="66"/>
  <c r="J112" i="66"/>
  <c r="S111" i="66"/>
  <c r="R111" i="66"/>
  <c r="O111" i="66"/>
  <c r="T111" i="66" s="1"/>
  <c r="N111" i="66"/>
  <c r="L111" i="66"/>
  <c r="J111" i="66"/>
  <c r="S110" i="66"/>
  <c r="R110" i="66"/>
  <c r="O110" i="66"/>
  <c r="T110" i="66" s="1"/>
  <c r="N110" i="66"/>
  <c r="L110" i="66"/>
  <c r="J110" i="66"/>
  <c r="S109" i="66"/>
  <c r="R109" i="66"/>
  <c r="O109" i="66"/>
  <c r="T109" i="66" s="1"/>
  <c r="N109" i="66"/>
  <c r="L109" i="66"/>
  <c r="J109" i="66"/>
  <c r="S108" i="66"/>
  <c r="R108" i="66"/>
  <c r="O108" i="66"/>
  <c r="T108" i="66" s="1"/>
  <c r="N108" i="66"/>
  <c r="L108" i="66"/>
  <c r="J108" i="66"/>
  <c r="S107" i="66"/>
  <c r="R107" i="66"/>
  <c r="O107" i="66"/>
  <c r="T107" i="66" s="1"/>
  <c r="N107" i="66"/>
  <c r="L107" i="66"/>
  <c r="J107" i="66"/>
  <c r="S106" i="66"/>
  <c r="R106" i="66"/>
  <c r="O106" i="66"/>
  <c r="T106" i="66" s="1"/>
  <c r="N106" i="66"/>
  <c r="L106" i="66"/>
  <c r="J106" i="66"/>
  <c r="S105" i="66"/>
  <c r="R105" i="66"/>
  <c r="O105" i="66"/>
  <c r="T105" i="66" s="1"/>
  <c r="N105" i="66"/>
  <c r="L105" i="66"/>
  <c r="J105" i="66"/>
  <c r="S104" i="66"/>
  <c r="R104" i="66"/>
  <c r="O104" i="66"/>
  <c r="T104" i="66" s="1"/>
  <c r="N104" i="66"/>
  <c r="L104" i="66"/>
  <c r="J104" i="66"/>
  <c r="S103" i="66"/>
  <c r="R103" i="66"/>
  <c r="O103" i="66"/>
  <c r="T103" i="66" s="1"/>
  <c r="N103" i="66"/>
  <c r="L103" i="66"/>
  <c r="J103" i="66"/>
  <c r="S102" i="66"/>
  <c r="R102" i="66"/>
  <c r="O102" i="66"/>
  <c r="T102" i="66" s="1"/>
  <c r="N102" i="66"/>
  <c r="L102" i="66"/>
  <c r="J102" i="66"/>
  <c r="S101" i="66"/>
  <c r="R101" i="66"/>
  <c r="O101" i="66"/>
  <c r="T101" i="66" s="1"/>
  <c r="N101" i="66"/>
  <c r="L101" i="66"/>
  <c r="J101" i="66"/>
  <c r="S100" i="66"/>
  <c r="R100" i="66"/>
  <c r="O100" i="66"/>
  <c r="T100" i="66" s="1"/>
  <c r="N100" i="66"/>
  <c r="L100" i="66"/>
  <c r="J100" i="66"/>
  <c r="S99" i="66"/>
  <c r="R99" i="66"/>
  <c r="O99" i="66"/>
  <c r="T99" i="66" s="1"/>
  <c r="N99" i="66"/>
  <c r="L99" i="66"/>
  <c r="J99" i="66"/>
  <c r="S98" i="66"/>
  <c r="R98" i="66"/>
  <c r="O98" i="66"/>
  <c r="T98" i="66" s="1"/>
  <c r="N98" i="66"/>
  <c r="L98" i="66"/>
  <c r="J98" i="66"/>
  <c r="S97" i="66"/>
  <c r="R97" i="66"/>
  <c r="O97" i="66"/>
  <c r="T97" i="66" s="1"/>
  <c r="N97" i="66"/>
  <c r="L97" i="66"/>
  <c r="J97" i="66"/>
  <c r="S96" i="66"/>
  <c r="R96" i="66"/>
  <c r="O96" i="66"/>
  <c r="T96" i="66" s="1"/>
  <c r="N96" i="66"/>
  <c r="L96" i="66"/>
  <c r="J96" i="66"/>
  <c r="S95" i="66"/>
  <c r="R95" i="66"/>
  <c r="O95" i="66"/>
  <c r="T95" i="66" s="1"/>
  <c r="N95" i="66"/>
  <c r="L95" i="66"/>
  <c r="J95" i="66"/>
  <c r="S92" i="66"/>
  <c r="R92" i="66"/>
  <c r="O92" i="66"/>
  <c r="T92" i="66" s="1"/>
  <c r="N92" i="66"/>
  <c r="L92" i="66"/>
  <c r="J92" i="66"/>
  <c r="S91" i="66"/>
  <c r="R91" i="66"/>
  <c r="O91" i="66"/>
  <c r="T91" i="66" s="1"/>
  <c r="N91" i="66"/>
  <c r="L91" i="66"/>
  <c r="J91" i="66"/>
  <c r="S90" i="66"/>
  <c r="R90" i="66"/>
  <c r="O90" i="66"/>
  <c r="T90" i="66" s="1"/>
  <c r="N90" i="66"/>
  <c r="L90" i="66"/>
  <c r="J90" i="66"/>
  <c r="S89" i="66"/>
  <c r="R89" i="66"/>
  <c r="O89" i="66"/>
  <c r="T89" i="66" s="1"/>
  <c r="N89" i="66"/>
  <c r="L89" i="66"/>
  <c r="J89" i="66"/>
  <c r="S88" i="66"/>
  <c r="R88" i="66"/>
  <c r="O88" i="66"/>
  <c r="P88" i="66" s="1"/>
  <c r="N88" i="66"/>
  <c r="L88" i="66"/>
  <c r="J88" i="66"/>
  <c r="S87" i="66"/>
  <c r="R87" i="66"/>
  <c r="O87" i="66"/>
  <c r="T87" i="66" s="1"/>
  <c r="N87" i="66"/>
  <c r="L87" i="66"/>
  <c r="J87" i="66"/>
  <c r="S86" i="66"/>
  <c r="R86" i="66"/>
  <c r="O86" i="66"/>
  <c r="T86" i="66" s="1"/>
  <c r="N86" i="66"/>
  <c r="L86" i="66"/>
  <c r="J86" i="66"/>
  <c r="S85" i="66"/>
  <c r="R85" i="66"/>
  <c r="O85" i="66"/>
  <c r="T85" i="66" s="1"/>
  <c r="N85" i="66"/>
  <c r="L85" i="66"/>
  <c r="J85" i="66"/>
  <c r="S84" i="66"/>
  <c r="R84" i="66"/>
  <c r="O84" i="66"/>
  <c r="T84" i="66" s="1"/>
  <c r="N84" i="66"/>
  <c r="L84" i="66"/>
  <c r="J84" i="66"/>
  <c r="S83" i="66"/>
  <c r="R83" i="66"/>
  <c r="O83" i="66"/>
  <c r="T83" i="66" s="1"/>
  <c r="N83" i="66"/>
  <c r="L83" i="66"/>
  <c r="J83" i="66"/>
  <c r="S82" i="66"/>
  <c r="R82" i="66"/>
  <c r="O82" i="66"/>
  <c r="T82" i="66" s="1"/>
  <c r="N82" i="66"/>
  <c r="L82" i="66"/>
  <c r="J82" i="66"/>
  <c r="S81" i="66"/>
  <c r="R81" i="66"/>
  <c r="O81" i="66"/>
  <c r="T81" i="66" s="1"/>
  <c r="N81" i="66"/>
  <c r="L81" i="66"/>
  <c r="J81" i="66"/>
  <c r="S80" i="66"/>
  <c r="R80" i="66"/>
  <c r="O80" i="66"/>
  <c r="P80" i="66" s="1"/>
  <c r="N80" i="66"/>
  <c r="L80" i="66"/>
  <c r="J80" i="66"/>
  <c r="S79" i="66"/>
  <c r="R79" i="66"/>
  <c r="O79" i="66"/>
  <c r="T79" i="66" s="1"/>
  <c r="N79" i="66"/>
  <c r="L79" i="66"/>
  <c r="J79" i="66"/>
  <c r="S78" i="66"/>
  <c r="R78" i="66"/>
  <c r="O78" i="66"/>
  <c r="T78" i="66" s="1"/>
  <c r="N78" i="66"/>
  <c r="L78" i="66"/>
  <c r="J78" i="66"/>
  <c r="S77" i="66"/>
  <c r="R77" i="66"/>
  <c r="O77" i="66"/>
  <c r="T77" i="66" s="1"/>
  <c r="N77" i="66"/>
  <c r="L77" i="66"/>
  <c r="J77" i="66"/>
  <c r="S76" i="66"/>
  <c r="R76" i="66"/>
  <c r="O76" i="66"/>
  <c r="T76" i="66" s="1"/>
  <c r="N76" i="66"/>
  <c r="L76" i="66"/>
  <c r="J76" i="66"/>
  <c r="S75" i="66"/>
  <c r="R75" i="66"/>
  <c r="O75" i="66"/>
  <c r="T75" i="66" s="1"/>
  <c r="N75" i="66"/>
  <c r="L75" i="66"/>
  <c r="J75" i="66"/>
  <c r="S74" i="66"/>
  <c r="R74" i="66"/>
  <c r="O74" i="66"/>
  <c r="P74" i="66" s="1"/>
  <c r="N74" i="66"/>
  <c r="L74" i="66"/>
  <c r="J74" i="66"/>
  <c r="S73" i="66"/>
  <c r="R73" i="66"/>
  <c r="O73" i="66"/>
  <c r="T73" i="66" s="1"/>
  <c r="N73" i="66"/>
  <c r="L73" i="66"/>
  <c r="J73" i="66"/>
  <c r="S70" i="66"/>
  <c r="R70" i="66"/>
  <c r="O70" i="66"/>
  <c r="T70" i="66" s="1"/>
  <c r="N70" i="66"/>
  <c r="L70" i="66"/>
  <c r="J70" i="66"/>
  <c r="S69" i="66"/>
  <c r="R69" i="66"/>
  <c r="O69" i="66"/>
  <c r="T69" i="66" s="1"/>
  <c r="N69" i="66"/>
  <c r="L69" i="66"/>
  <c r="J69" i="66"/>
  <c r="S68" i="66"/>
  <c r="R68" i="66"/>
  <c r="O68" i="66"/>
  <c r="T68" i="66" s="1"/>
  <c r="N68" i="66"/>
  <c r="L68" i="66"/>
  <c r="J68" i="66"/>
  <c r="S67" i="66"/>
  <c r="R67" i="66"/>
  <c r="O67" i="66"/>
  <c r="T67" i="66" s="1"/>
  <c r="N67" i="66"/>
  <c r="L67" i="66"/>
  <c r="J67" i="66"/>
  <c r="S66" i="66"/>
  <c r="R66" i="66"/>
  <c r="O66" i="66"/>
  <c r="T66" i="66" s="1"/>
  <c r="N66" i="66"/>
  <c r="L66" i="66"/>
  <c r="J66" i="66"/>
  <c r="S65" i="66"/>
  <c r="R65" i="66"/>
  <c r="O65" i="66"/>
  <c r="T65" i="66" s="1"/>
  <c r="N65" i="66"/>
  <c r="L65" i="66"/>
  <c r="J65" i="66"/>
  <c r="S64" i="66"/>
  <c r="R64" i="66"/>
  <c r="O64" i="66"/>
  <c r="T64" i="66" s="1"/>
  <c r="N64" i="66"/>
  <c r="L64" i="66"/>
  <c r="J64" i="66"/>
  <c r="S63" i="66"/>
  <c r="R63" i="66"/>
  <c r="O63" i="66"/>
  <c r="T63" i="66" s="1"/>
  <c r="N63" i="66"/>
  <c r="L63" i="66"/>
  <c r="J63" i="66"/>
  <c r="S62" i="66"/>
  <c r="R62" i="66"/>
  <c r="O62" i="66"/>
  <c r="T62" i="66" s="1"/>
  <c r="N62" i="66"/>
  <c r="L62" i="66"/>
  <c r="J62" i="66"/>
  <c r="S61" i="66"/>
  <c r="R61" i="66"/>
  <c r="O61" i="66"/>
  <c r="T61" i="66" s="1"/>
  <c r="N61" i="66"/>
  <c r="L61" i="66"/>
  <c r="J61" i="66"/>
  <c r="S60" i="66"/>
  <c r="R60" i="66"/>
  <c r="O60" i="66"/>
  <c r="T60" i="66" s="1"/>
  <c r="N60" i="66"/>
  <c r="L60" i="66"/>
  <c r="J60" i="66"/>
  <c r="S59" i="66"/>
  <c r="R59" i="66"/>
  <c r="O59" i="66"/>
  <c r="T59" i="66" s="1"/>
  <c r="N59" i="66"/>
  <c r="L59" i="66"/>
  <c r="J59" i="66"/>
  <c r="S58" i="66"/>
  <c r="R58" i="66"/>
  <c r="O58" i="66"/>
  <c r="T58" i="66" s="1"/>
  <c r="N58" i="66"/>
  <c r="L58" i="66"/>
  <c r="J58" i="66"/>
  <c r="S57" i="66"/>
  <c r="R57" i="66"/>
  <c r="O57" i="66"/>
  <c r="T57" i="66" s="1"/>
  <c r="N57" i="66"/>
  <c r="L57" i="66"/>
  <c r="J57" i="66"/>
  <c r="S56" i="66"/>
  <c r="R56" i="66"/>
  <c r="O56" i="66"/>
  <c r="T56" i="66" s="1"/>
  <c r="N56" i="66"/>
  <c r="L56" i="66"/>
  <c r="J56" i="66"/>
  <c r="S55" i="66"/>
  <c r="R55" i="66"/>
  <c r="O55" i="66"/>
  <c r="T55" i="66" s="1"/>
  <c r="N55" i="66"/>
  <c r="L55" i="66"/>
  <c r="J55" i="66"/>
  <c r="S54" i="66"/>
  <c r="R54" i="66"/>
  <c r="O54" i="66"/>
  <c r="T54" i="66" s="1"/>
  <c r="N54" i="66"/>
  <c r="L54" i="66"/>
  <c r="J54" i="66"/>
  <c r="S53" i="66"/>
  <c r="R53" i="66"/>
  <c r="O53" i="66"/>
  <c r="T53" i="66" s="1"/>
  <c r="N53" i="66"/>
  <c r="L53" i="66"/>
  <c r="J53" i="66"/>
  <c r="S52" i="66"/>
  <c r="R52" i="66"/>
  <c r="O52" i="66"/>
  <c r="T52" i="66" s="1"/>
  <c r="N52" i="66"/>
  <c r="L52" i="66"/>
  <c r="J52" i="66"/>
  <c r="S51" i="66"/>
  <c r="R51" i="66"/>
  <c r="O51" i="66"/>
  <c r="T51" i="66" s="1"/>
  <c r="N51" i="66"/>
  <c r="L51" i="66"/>
  <c r="J51" i="66"/>
  <c r="S26" i="66"/>
  <c r="R26" i="66"/>
  <c r="O26" i="66"/>
  <c r="T26" i="66" s="1"/>
  <c r="U26" i="66" s="1"/>
  <c r="N26" i="66"/>
  <c r="L26" i="66"/>
  <c r="J26" i="66"/>
  <c r="S25" i="66"/>
  <c r="R25" i="66"/>
  <c r="O25" i="66"/>
  <c r="T25" i="66" s="1"/>
  <c r="U25" i="66" s="1"/>
  <c r="N25" i="66"/>
  <c r="L25" i="66"/>
  <c r="J25" i="66"/>
  <c r="S24" i="66"/>
  <c r="R24" i="66"/>
  <c r="O24" i="66"/>
  <c r="P24" i="66" s="1"/>
  <c r="N24" i="66"/>
  <c r="L24" i="66"/>
  <c r="J24" i="66"/>
  <c r="S23" i="66"/>
  <c r="R23" i="66"/>
  <c r="O23" i="66"/>
  <c r="P23" i="66" s="1"/>
  <c r="N23" i="66"/>
  <c r="L23" i="66"/>
  <c r="J23" i="66"/>
  <c r="S22" i="66"/>
  <c r="R22" i="66"/>
  <c r="O22" i="66"/>
  <c r="P22" i="66" s="1"/>
  <c r="N22" i="66"/>
  <c r="L22" i="66"/>
  <c r="J22" i="66"/>
  <c r="S21" i="66"/>
  <c r="R21" i="66"/>
  <c r="O21" i="66"/>
  <c r="T21" i="66" s="1"/>
  <c r="N21" i="66"/>
  <c r="L21" i="66"/>
  <c r="J21" i="66"/>
  <c r="S20" i="66"/>
  <c r="R20" i="66"/>
  <c r="O20" i="66"/>
  <c r="T20" i="66" s="1"/>
  <c r="N20" i="66"/>
  <c r="L20" i="66"/>
  <c r="J20" i="66"/>
  <c r="S19" i="66"/>
  <c r="R19" i="66"/>
  <c r="O19" i="66"/>
  <c r="T19" i="66" s="1"/>
  <c r="N19" i="66"/>
  <c r="L19" i="66"/>
  <c r="J19" i="66"/>
  <c r="S18" i="66"/>
  <c r="R18" i="66"/>
  <c r="O18" i="66"/>
  <c r="T18" i="66" s="1"/>
  <c r="N18" i="66"/>
  <c r="L18" i="66"/>
  <c r="J18" i="66"/>
  <c r="S17" i="66"/>
  <c r="R17" i="66"/>
  <c r="O17" i="66"/>
  <c r="T17" i="66" s="1"/>
  <c r="N17" i="66"/>
  <c r="L17" i="66"/>
  <c r="J17" i="66"/>
  <c r="S16" i="66"/>
  <c r="R16" i="66"/>
  <c r="O16" i="66"/>
  <c r="T16" i="66" s="1"/>
  <c r="N16" i="66"/>
  <c r="L16" i="66"/>
  <c r="J16" i="66"/>
  <c r="S15" i="66"/>
  <c r="R15" i="66"/>
  <c r="O15" i="66"/>
  <c r="T15" i="66" s="1"/>
  <c r="N15" i="66"/>
  <c r="L15" i="66"/>
  <c r="J15" i="66"/>
  <c r="S14" i="66"/>
  <c r="R14" i="66"/>
  <c r="O14" i="66"/>
  <c r="T14" i="66" s="1"/>
  <c r="N14" i="66"/>
  <c r="L14" i="66"/>
  <c r="J14" i="66"/>
  <c r="S13" i="66"/>
  <c r="R13" i="66"/>
  <c r="O13" i="66"/>
  <c r="P13" i="66" s="1"/>
  <c r="N13" i="66"/>
  <c r="L13" i="66"/>
  <c r="J13" i="66"/>
  <c r="S12" i="66"/>
  <c r="R12" i="66"/>
  <c r="O12" i="66"/>
  <c r="T12" i="66" s="1"/>
  <c r="N12" i="66"/>
  <c r="L12" i="66"/>
  <c r="J12" i="66"/>
  <c r="S11" i="66"/>
  <c r="R11" i="66"/>
  <c r="O11" i="66"/>
  <c r="T11" i="66" s="1"/>
  <c r="N11" i="66"/>
  <c r="L11" i="66"/>
  <c r="J11" i="66"/>
  <c r="S10" i="66"/>
  <c r="R10" i="66"/>
  <c r="O10" i="66"/>
  <c r="T10" i="66" s="1"/>
  <c r="N10" i="66"/>
  <c r="L10" i="66"/>
  <c r="J10" i="66"/>
  <c r="S9" i="66"/>
  <c r="R9" i="66"/>
  <c r="O9" i="66"/>
  <c r="P9" i="66" s="1"/>
  <c r="N9" i="66"/>
  <c r="L9" i="66"/>
  <c r="J9" i="66"/>
  <c r="S8" i="66"/>
  <c r="R8" i="66"/>
  <c r="O8" i="66"/>
  <c r="P8" i="66" s="1"/>
  <c r="N8" i="66"/>
  <c r="L8" i="66"/>
  <c r="J8" i="66"/>
  <c r="S7" i="66"/>
  <c r="R7" i="66"/>
  <c r="O7" i="66"/>
  <c r="T7" i="66" s="1"/>
  <c r="L7" i="66"/>
  <c r="J7" i="66"/>
  <c r="T23" i="66" l="1"/>
  <c r="U15" i="66"/>
  <c r="U12" i="66"/>
  <c r="T9" i="66"/>
  <c r="U23" i="66"/>
  <c r="U19" i="66"/>
  <c r="U10" i="66"/>
  <c r="U17" i="66"/>
  <c r="U16" i="66"/>
  <c r="U7" i="66"/>
  <c r="P10" i="66"/>
  <c r="T13" i="66"/>
  <c r="U20" i="66"/>
  <c r="U11" i="66"/>
  <c r="U14" i="66"/>
  <c r="P11" i="66"/>
  <c r="U21" i="66"/>
  <c r="U18" i="66"/>
  <c r="T22" i="66"/>
  <c r="P20" i="66"/>
  <c r="T8" i="66"/>
  <c r="P18" i="66"/>
  <c r="P21" i="66"/>
  <c r="P7" i="66"/>
  <c r="P16" i="66"/>
  <c r="P64" i="66"/>
  <c r="P56" i="66"/>
  <c r="P66" i="66"/>
  <c r="P60" i="66"/>
  <c r="P54" i="66"/>
  <c r="P70" i="66"/>
  <c r="P58" i="66"/>
  <c r="P52" i="66"/>
  <c r="P68" i="66"/>
  <c r="P62" i="66"/>
  <c r="U108" i="66"/>
  <c r="F108" i="66"/>
  <c r="U95" i="66"/>
  <c r="F95" i="66"/>
  <c r="U105" i="66"/>
  <c r="F105" i="66"/>
  <c r="U102" i="66"/>
  <c r="F102" i="66"/>
  <c r="U112" i="66"/>
  <c r="F112" i="66"/>
  <c r="U99" i="66"/>
  <c r="F99" i="66"/>
  <c r="U109" i="66"/>
  <c r="F109" i="66"/>
  <c r="U98" i="66"/>
  <c r="F98" i="66"/>
  <c r="U96" i="66"/>
  <c r="F96" i="66"/>
  <c r="U106" i="66"/>
  <c r="F106" i="66"/>
  <c r="U103" i="66"/>
  <c r="F103" i="66"/>
  <c r="U113" i="66"/>
  <c r="F113" i="66"/>
  <c r="U100" i="66"/>
  <c r="F100" i="66"/>
  <c r="U110" i="66"/>
  <c r="F110" i="66"/>
  <c r="U97" i="66"/>
  <c r="F97" i="66"/>
  <c r="U107" i="66"/>
  <c r="F107" i="66"/>
  <c r="U104" i="66"/>
  <c r="F104" i="66"/>
  <c r="U114" i="66"/>
  <c r="F114" i="66"/>
  <c r="U101" i="66"/>
  <c r="F101" i="66"/>
  <c r="U111" i="66"/>
  <c r="F111" i="66"/>
  <c r="P95" i="66"/>
  <c r="P97" i="66"/>
  <c r="P99" i="66"/>
  <c r="P101" i="66"/>
  <c r="P103" i="66"/>
  <c r="P105" i="66"/>
  <c r="P107" i="66"/>
  <c r="P109" i="66"/>
  <c r="P111" i="66"/>
  <c r="P113" i="66"/>
  <c r="P96" i="66"/>
  <c r="P98" i="66"/>
  <c r="P100" i="66"/>
  <c r="P102" i="66"/>
  <c r="P104" i="66"/>
  <c r="P106" i="66"/>
  <c r="P108" i="66"/>
  <c r="P110" i="66"/>
  <c r="P112" i="66"/>
  <c r="P114" i="66"/>
  <c r="U76" i="66"/>
  <c r="F76" i="66"/>
  <c r="U86" i="66"/>
  <c r="F86" i="66"/>
  <c r="U73" i="66"/>
  <c r="F73" i="66"/>
  <c r="U83" i="66"/>
  <c r="F83" i="66"/>
  <c r="U90" i="66"/>
  <c r="F90" i="66"/>
  <c r="U77" i="66"/>
  <c r="F77" i="66"/>
  <c r="U87" i="66"/>
  <c r="F87" i="66"/>
  <c r="U84" i="66"/>
  <c r="F84" i="66"/>
  <c r="U81" i="66"/>
  <c r="F81" i="66"/>
  <c r="U91" i="66"/>
  <c r="F91" i="66"/>
  <c r="U78" i="66"/>
  <c r="F78" i="66"/>
  <c r="U75" i="66"/>
  <c r="F75" i="66"/>
  <c r="U85" i="66"/>
  <c r="F85" i="66"/>
  <c r="U82" i="66"/>
  <c r="F82" i="66"/>
  <c r="U92" i="66"/>
  <c r="F92" i="66"/>
  <c r="U79" i="66"/>
  <c r="F79" i="66"/>
  <c r="U89" i="66"/>
  <c r="F89" i="66"/>
  <c r="P73" i="66"/>
  <c r="P75" i="66"/>
  <c r="P77" i="66"/>
  <c r="P79" i="66"/>
  <c r="P81" i="66"/>
  <c r="P83" i="66"/>
  <c r="P85" i="66"/>
  <c r="P87" i="66"/>
  <c r="P89" i="66"/>
  <c r="P91" i="66"/>
  <c r="P92" i="66"/>
  <c r="P76" i="66"/>
  <c r="P82" i="66"/>
  <c r="P86" i="66"/>
  <c r="P78" i="66"/>
  <c r="P84" i="66"/>
  <c r="P90" i="66"/>
  <c r="T74" i="66"/>
  <c r="T80" i="66"/>
  <c r="T88" i="66"/>
  <c r="U68" i="66"/>
  <c r="F68" i="66"/>
  <c r="U62" i="66"/>
  <c r="F62" i="66"/>
  <c r="U65" i="66"/>
  <c r="F65" i="66"/>
  <c r="U56" i="66"/>
  <c r="F56" i="66"/>
  <c r="U59" i="66"/>
  <c r="F59" i="66"/>
  <c r="U53" i="66"/>
  <c r="F53" i="66"/>
  <c r="U66" i="66"/>
  <c r="F66" i="66"/>
  <c r="U69" i="66"/>
  <c r="F69" i="66"/>
  <c r="U60" i="66"/>
  <c r="F60" i="66"/>
  <c r="U63" i="66"/>
  <c r="F63" i="66"/>
  <c r="U54" i="66"/>
  <c r="F54" i="66"/>
  <c r="U57" i="66"/>
  <c r="F57" i="66"/>
  <c r="U51" i="66"/>
  <c r="F51" i="66"/>
  <c r="U70" i="66"/>
  <c r="F70" i="66"/>
  <c r="U64" i="66"/>
  <c r="F64" i="66"/>
  <c r="U67" i="66"/>
  <c r="F67" i="66"/>
  <c r="U58" i="66"/>
  <c r="F58" i="66"/>
  <c r="U61" i="66"/>
  <c r="F61" i="66"/>
  <c r="U52" i="66"/>
  <c r="F52" i="66"/>
  <c r="U55" i="66"/>
  <c r="F55" i="66"/>
  <c r="P51" i="66"/>
  <c r="P53" i="66"/>
  <c r="P55" i="66"/>
  <c r="P57" i="66"/>
  <c r="P59" i="66"/>
  <c r="P61" i="66"/>
  <c r="P63" i="66"/>
  <c r="P65" i="66"/>
  <c r="P67" i="66"/>
  <c r="P69" i="66"/>
  <c r="T24" i="66"/>
  <c r="P25" i="66"/>
  <c r="P14" i="66"/>
  <c r="P12" i="66"/>
  <c r="P19" i="66"/>
  <c r="P17" i="66"/>
  <c r="P26" i="66"/>
  <c r="P15" i="66"/>
  <c r="U13" i="66" l="1"/>
  <c r="U22" i="66"/>
  <c r="U9" i="66"/>
  <c r="U24" i="66"/>
  <c r="U8" i="66"/>
  <c r="U88" i="66"/>
  <c r="F88" i="66"/>
  <c r="U80" i="66"/>
  <c r="F80" i="66"/>
  <c r="U74" i="66"/>
  <c r="F74" i="66"/>
  <c r="G5" i="5" l="1"/>
  <c r="I5" i="5"/>
  <c r="M5" i="5"/>
  <c r="P5" i="5"/>
  <c r="S5" i="5"/>
  <c r="V5" i="5"/>
  <c r="I6" i="5"/>
  <c r="K6" i="5" s="1"/>
  <c r="K7" i="39" s="1"/>
  <c r="I7" i="5"/>
  <c r="I8" i="5"/>
  <c r="I9" i="5"/>
  <c r="I10" i="5"/>
  <c r="I11" i="5"/>
  <c r="I10" i="13" l="1"/>
  <c r="I9" i="13"/>
  <c r="I8" i="13"/>
  <c r="I6" i="13"/>
  <c r="J5" i="5"/>
  <c r="P15" i="65" l="1"/>
  <c r="K11" i="13" s="1"/>
  <c r="B7" i="13" l="1"/>
  <c r="B6" i="13"/>
  <c r="AM98" i="66" l="1"/>
  <c r="AL98" i="66"/>
  <c r="AK98" i="66"/>
  <c r="AJ98" i="66"/>
  <c r="AI98" i="66"/>
  <c r="AH98" i="66"/>
  <c r="AG98" i="66"/>
  <c r="AM97" i="66"/>
  <c r="AL97" i="66"/>
  <c r="AK97" i="66"/>
  <c r="AJ97" i="66"/>
  <c r="AI97" i="66"/>
  <c r="AH97" i="66"/>
  <c r="AG97" i="66"/>
  <c r="AF97" i="66"/>
  <c r="AM76" i="66"/>
  <c r="AL76" i="66"/>
  <c r="AK76" i="66"/>
  <c r="AJ76" i="66"/>
  <c r="AI76" i="66"/>
  <c r="AH76" i="66"/>
  <c r="AG76" i="66"/>
  <c r="AM75" i="66"/>
  <c r="AL75" i="66"/>
  <c r="AK75" i="66"/>
  <c r="AJ75" i="66"/>
  <c r="AI75" i="66"/>
  <c r="AH75" i="66"/>
  <c r="AG75" i="66"/>
  <c r="AF75" i="66"/>
  <c r="AM54" i="66"/>
  <c r="AL54" i="66"/>
  <c r="AK54" i="66"/>
  <c r="AJ54" i="66"/>
  <c r="AI54" i="66"/>
  <c r="AH54" i="66"/>
  <c r="AG54" i="66"/>
  <c r="AM53" i="66"/>
  <c r="AM55" i="66" s="1"/>
  <c r="AL53" i="66"/>
  <c r="AL55" i="66" s="1"/>
  <c r="AK53" i="66"/>
  <c r="AK55" i="66" s="1"/>
  <c r="AJ53" i="66"/>
  <c r="AI53" i="66"/>
  <c r="AH53" i="66"/>
  <c r="AG53" i="66"/>
  <c r="AF53" i="66"/>
  <c r="S48" i="66"/>
  <c r="R48" i="66"/>
  <c r="O48" i="66"/>
  <c r="N48" i="66"/>
  <c r="L48" i="66"/>
  <c r="J48" i="66"/>
  <c r="S47" i="66"/>
  <c r="R47" i="66"/>
  <c r="O47" i="66"/>
  <c r="P47" i="66" s="1"/>
  <c r="N47" i="66"/>
  <c r="L47" i="66"/>
  <c r="J47" i="66"/>
  <c r="S46" i="66"/>
  <c r="R46" i="66"/>
  <c r="O46" i="66"/>
  <c r="N46" i="66"/>
  <c r="L46" i="66"/>
  <c r="J46" i="66"/>
  <c r="S45" i="66"/>
  <c r="R45" i="66"/>
  <c r="O45" i="66"/>
  <c r="P45" i="66" s="1"/>
  <c r="N45" i="66"/>
  <c r="L45" i="66"/>
  <c r="J45" i="66"/>
  <c r="S44" i="66"/>
  <c r="R44" i="66"/>
  <c r="O44" i="66"/>
  <c r="N44" i="66"/>
  <c r="L44" i="66"/>
  <c r="J44" i="66"/>
  <c r="S43" i="66"/>
  <c r="R43" i="66"/>
  <c r="O43" i="66"/>
  <c r="P43" i="66" s="1"/>
  <c r="N43" i="66"/>
  <c r="L43" i="66"/>
  <c r="J43" i="66"/>
  <c r="S42" i="66"/>
  <c r="R42" i="66"/>
  <c r="O42" i="66"/>
  <c r="N42" i="66"/>
  <c r="L42" i="66"/>
  <c r="J42" i="66"/>
  <c r="S41" i="66"/>
  <c r="R41" i="66"/>
  <c r="O41" i="66"/>
  <c r="P41" i="66" s="1"/>
  <c r="N41" i="66"/>
  <c r="L41" i="66"/>
  <c r="J41" i="66"/>
  <c r="S40" i="66"/>
  <c r="R40" i="66"/>
  <c r="O40" i="66"/>
  <c r="N40" i="66"/>
  <c r="L40" i="66"/>
  <c r="J40" i="66"/>
  <c r="S39" i="66"/>
  <c r="R39" i="66"/>
  <c r="O39" i="66"/>
  <c r="P39" i="66" s="1"/>
  <c r="N39" i="66"/>
  <c r="L39" i="66"/>
  <c r="J39" i="66"/>
  <c r="S38" i="66"/>
  <c r="R38" i="66"/>
  <c r="O38" i="66"/>
  <c r="N38" i="66"/>
  <c r="L38" i="66"/>
  <c r="J38" i="66"/>
  <c r="S37" i="66"/>
  <c r="R37" i="66"/>
  <c r="O37" i="66"/>
  <c r="P37" i="66" s="1"/>
  <c r="N37" i="66"/>
  <c r="L37" i="66"/>
  <c r="J37" i="66"/>
  <c r="S36" i="66"/>
  <c r="R36" i="66"/>
  <c r="O36" i="66"/>
  <c r="N36" i="66"/>
  <c r="L36" i="66"/>
  <c r="J36" i="66"/>
  <c r="S35" i="66"/>
  <c r="R35" i="66"/>
  <c r="O35" i="66"/>
  <c r="P35" i="66" s="1"/>
  <c r="N35" i="66"/>
  <c r="L35" i="66"/>
  <c r="J35" i="66"/>
  <c r="S34" i="66"/>
  <c r="R34" i="66"/>
  <c r="O34" i="66"/>
  <c r="N34" i="66"/>
  <c r="L34" i="66"/>
  <c r="J34" i="66"/>
  <c r="S33" i="66"/>
  <c r="R33" i="66"/>
  <c r="O33" i="66"/>
  <c r="P33" i="66" s="1"/>
  <c r="N33" i="66"/>
  <c r="L33" i="66"/>
  <c r="J33" i="66"/>
  <c r="AM32" i="66"/>
  <c r="AI32" i="66"/>
  <c r="AH32" i="66"/>
  <c r="AG32" i="66"/>
  <c r="S32" i="66"/>
  <c r="R32" i="66"/>
  <c r="O32" i="66"/>
  <c r="P32" i="66" s="1"/>
  <c r="N32" i="66"/>
  <c r="L32" i="66"/>
  <c r="J32" i="66"/>
  <c r="AM31" i="66"/>
  <c r="AL31" i="66"/>
  <c r="AK31" i="66"/>
  <c r="AJ31" i="66"/>
  <c r="AI31" i="66"/>
  <c r="AH31" i="66"/>
  <c r="AG31" i="66"/>
  <c r="AF31" i="66"/>
  <c r="S31" i="66"/>
  <c r="R31" i="66"/>
  <c r="O31" i="66"/>
  <c r="P31" i="66" s="1"/>
  <c r="N31" i="66"/>
  <c r="L31" i="66"/>
  <c r="J31" i="66"/>
  <c r="S30" i="66"/>
  <c r="R30" i="66"/>
  <c r="O30" i="66"/>
  <c r="T30" i="66" s="1"/>
  <c r="U30" i="66" s="1"/>
  <c r="N30" i="66"/>
  <c r="L30" i="66"/>
  <c r="J30" i="66"/>
  <c r="S29" i="66"/>
  <c r="R29" i="66"/>
  <c r="O29" i="66"/>
  <c r="P29" i="66" s="1"/>
  <c r="N29" i="66"/>
  <c r="L29" i="66"/>
  <c r="J29" i="66"/>
  <c r="AM8" i="66"/>
  <c r="AL8" i="66"/>
  <c r="AK8" i="66"/>
  <c r="AJ8" i="66"/>
  <c r="AI8" i="66"/>
  <c r="AH8" i="66"/>
  <c r="AG8" i="66"/>
  <c r="AM7" i="66"/>
  <c r="AL7" i="66"/>
  <c r="AK7" i="66"/>
  <c r="AJ7" i="66"/>
  <c r="AI7" i="66"/>
  <c r="AH7" i="66"/>
  <c r="AG7" i="66"/>
  <c r="AF7" i="66"/>
  <c r="AM99" i="66" l="1"/>
  <c r="AJ77" i="66"/>
  <c r="AG9" i="66"/>
  <c r="AK99" i="66"/>
  <c r="AI33" i="66"/>
  <c r="AL33" i="66"/>
  <c r="F30" i="66"/>
  <c r="AH9" i="66"/>
  <c r="AG77" i="66"/>
  <c r="AL99" i="66"/>
  <c r="AK77" i="66"/>
  <c r="AG55" i="66"/>
  <c r="AL77" i="66"/>
  <c r="AH55" i="66"/>
  <c r="AM77" i="66"/>
  <c r="AI55" i="66"/>
  <c r="AJ55" i="66"/>
  <c r="AI112" i="66"/>
  <c r="T33" i="66"/>
  <c r="T47" i="66"/>
  <c r="F47" i="66" s="1"/>
  <c r="T37" i="66"/>
  <c r="F37" i="66" s="1"/>
  <c r="T41" i="66"/>
  <c r="F41" i="66" s="1"/>
  <c r="T43" i="66"/>
  <c r="F43" i="66" s="1"/>
  <c r="T35" i="66"/>
  <c r="F35" i="66" s="1"/>
  <c r="T45" i="66"/>
  <c r="F45" i="66" s="1"/>
  <c r="T39" i="66"/>
  <c r="F39" i="66" s="1"/>
  <c r="AL9" i="66"/>
  <c r="AJ9" i="66"/>
  <c r="AM9" i="66"/>
  <c r="AK9" i="66"/>
  <c r="AF112" i="66"/>
  <c r="AK112" i="66"/>
  <c r="AM113" i="66"/>
  <c r="J15" i="40" s="1"/>
  <c r="AI9" i="66"/>
  <c r="T40" i="66"/>
  <c r="P40" i="66"/>
  <c r="AJ33" i="66"/>
  <c r="AJ112" i="66"/>
  <c r="T42" i="66"/>
  <c r="P42" i="66"/>
  <c r="AG33" i="66"/>
  <c r="AH33" i="66"/>
  <c r="AK33" i="66"/>
  <c r="AG113" i="66"/>
  <c r="F10" i="40" s="1"/>
  <c r="AM33" i="66"/>
  <c r="U43" i="66"/>
  <c r="AG99" i="66"/>
  <c r="AM112" i="66"/>
  <c r="T38" i="66"/>
  <c r="P38" i="66"/>
  <c r="T48" i="66"/>
  <c r="P48" i="66"/>
  <c r="P30" i="66"/>
  <c r="T36" i="66"/>
  <c r="P36" i="66"/>
  <c r="T46" i="66"/>
  <c r="P46" i="66"/>
  <c r="AH99" i="66"/>
  <c r="AL112" i="66"/>
  <c r="AH113" i="66"/>
  <c r="H10" i="40" s="1"/>
  <c r="T34" i="66"/>
  <c r="P34" i="66"/>
  <c r="T44" i="66"/>
  <c r="P44" i="66"/>
  <c r="AH77" i="66"/>
  <c r="AI99" i="66"/>
  <c r="AG112" i="66"/>
  <c r="AI113" i="66"/>
  <c r="AI77" i="66"/>
  <c r="AJ99" i="66"/>
  <c r="AH112" i="66"/>
  <c r="T32" i="66"/>
  <c r="T29" i="66"/>
  <c r="T31" i="66"/>
  <c r="AK114" i="66" l="1"/>
  <c r="G15" i="40" s="1"/>
  <c r="U47" i="66"/>
  <c r="AI114" i="66"/>
  <c r="K10" i="40" s="1"/>
  <c r="U41" i="66"/>
  <c r="U37" i="66"/>
  <c r="U35" i="66"/>
  <c r="AL114" i="66"/>
  <c r="I15" i="40" s="1"/>
  <c r="AG114" i="66"/>
  <c r="G10" i="40" s="1"/>
  <c r="AH114" i="66"/>
  <c r="I10" i="40" s="1"/>
  <c r="U33" i="66"/>
  <c r="F33" i="66"/>
  <c r="U39" i="66"/>
  <c r="U45" i="66"/>
  <c r="AM114" i="66"/>
  <c r="K15" i="40" s="1"/>
  <c r="AJ114" i="66"/>
  <c r="M10" i="40" s="1"/>
  <c r="U48" i="66"/>
  <c r="F48" i="66"/>
  <c r="U29" i="66"/>
  <c r="F29" i="66"/>
  <c r="AK32" i="66" s="1"/>
  <c r="U46" i="66"/>
  <c r="F46" i="66"/>
  <c r="U36" i="66"/>
  <c r="F36" i="66"/>
  <c r="F44" i="66"/>
  <c r="U44" i="66"/>
  <c r="U38" i="66"/>
  <c r="F38" i="66"/>
  <c r="F42" i="66"/>
  <c r="U42" i="66"/>
  <c r="U31" i="66"/>
  <c r="F31" i="66"/>
  <c r="U34" i="66"/>
  <c r="F34" i="66"/>
  <c r="U32" i="66"/>
  <c r="F32" i="66"/>
  <c r="F40" i="66"/>
  <c r="U40" i="66"/>
  <c r="H19" i="13"/>
  <c r="H16" i="13"/>
  <c r="H15" i="13"/>
  <c r="B19" i="13"/>
  <c r="B16" i="13"/>
  <c r="B15" i="13"/>
  <c r="AL32" i="66" l="1"/>
  <c r="AL113" i="66" s="1"/>
  <c r="H15" i="40" s="1"/>
  <c r="AK113" i="66"/>
  <c r="F15" i="40" s="1"/>
  <c r="AJ32" i="66"/>
  <c r="AJ113" i="66" l="1"/>
  <c r="L10" i="40" s="1"/>
  <c r="I11" i="13" l="1"/>
  <c r="G11" i="65"/>
  <c r="B36" i="13"/>
  <c r="D36" i="13" s="1"/>
  <c r="B35" i="13"/>
  <c r="D35" i="13" s="1"/>
  <c r="B34" i="13"/>
  <c r="D34" i="13" s="1"/>
  <c r="B33" i="13"/>
  <c r="D33" i="13" s="1"/>
  <c r="B32" i="13"/>
  <c r="D32" i="13" s="1"/>
  <c r="B31" i="13"/>
  <c r="D31" i="13" s="1"/>
  <c r="B30" i="13"/>
  <c r="D30" i="13" s="1"/>
  <c r="B29" i="13"/>
  <c r="D29" i="13" s="1"/>
  <c r="B28" i="13"/>
  <c r="D28" i="13" s="1"/>
  <c r="D24" i="13"/>
  <c r="J24" i="13"/>
  <c r="B28" i="6" l="1"/>
  <c r="B35" i="6" l="1"/>
  <c r="B10" i="40" l="1"/>
  <c r="AH97" i="63" l="1"/>
  <c r="AI97" i="63"/>
  <c r="AJ97" i="63"/>
  <c r="AK97" i="63"/>
  <c r="AL97" i="63"/>
  <c r="AM97" i="63"/>
  <c r="AH98" i="63"/>
  <c r="AI98" i="63"/>
  <c r="AJ98" i="63"/>
  <c r="AK98" i="63"/>
  <c r="AL98" i="63"/>
  <c r="AM98" i="63"/>
  <c r="AG98" i="63"/>
  <c r="AG97" i="63"/>
  <c r="AF97" i="63"/>
  <c r="AH76" i="63"/>
  <c r="AI76" i="63"/>
  <c r="AJ76" i="63"/>
  <c r="AK76" i="63"/>
  <c r="AL76" i="63"/>
  <c r="AM76" i="63"/>
  <c r="AG76" i="63"/>
  <c r="AH75" i="63"/>
  <c r="AI75" i="63"/>
  <c r="AJ75" i="63"/>
  <c r="AK75" i="63"/>
  <c r="AL75" i="63"/>
  <c r="AM75" i="63"/>
  <c r="AG75" i="63"/>
  <c r="AF75" i="63"/>
  <c r="AG54" i="63"/>
  <c r="AG53" i="63"/>
  <c r="AH53" i="63"/>
  <c r="AI53" i="63"/>
  <c r="AJ53" i="63"/>
  <c r="AK53" i="63"/>
  <c r="AL53" i="63"/>
  <c r="AM53" i="63"/>
  <c r="AH54" i="63"/>
  <c r="AI54" i="63"/>
  <c r="AJ54" i="63"/>
  <c r="AK54" i="63"/>
  <c r="AL54" i="63"/>
  <c r="AM54" i="63"/>
  <c r="AF53" i="63"/>
  <c r="AH31" i="63"/>
  <c r="AI31" i="63"/>
  <c r="AJ31" i="63"/>
  <c r="AK31" i="63"/>
  <c r="AL31" i="63"/>
  <c r="AM31" i="63"/>
  <c r="AH32" i="63"/>
  <c r="AJ32" i="63"/>
  <c r="AM32" i="63"/>
  <c r="AG31" i="63"/>
  <c r="AH8" i="63"/>
  <c r="AI8" i="63"/>
  <c r="AJ8" i="63"/>
  <c r="AK8" i="63"/>
  <c r="AL8" i="63"/>
  <c r="AM8" i="63"/>
  <c r="AG8" i="63"/>
  <c r="AH7" i="63"/>
  <c r="AI7" i="63"/>
  <c r="AJ7" i="63"/>
  <c r="AK7" i="63"/>
  <c r="AL7" i="63"/>
  <c r="AM7" i="63"/>
  <c r="AG7" i="63"/>
  <c r="AL32" i="63"/>
  <c r="AK32" i="63"/>
  <c r="AF31" i="63"/>
  <c r="AI32" i="63"/>
  <c r="AF7" i="63"/>
  <c r="AG55" i="63" l="1"/>
  <c r="AF112" i="63"/>
  <c r="AG112" i="63"/>
  <c r="AG114" i="63" s="1"/>
  <c r="AM113" i="63"/>
  <c r="J14" i="40" s="1"/>
  <c r="AL113" i="63"/>
  <c r="H14" i="40" s="1"/>
  <c r="AK113" i="63"/>
  <c r="F14" i="40" s="1"/>
  <c r="AJ113" i="63"/>
  <c r="L9" i="40" s="1"/>
  <c r="AI113" i="63"/>
  <c r="J9" i="40" s="1"/>
  <c r="AH113" i="63"/>
  <c r="H9" i="40" s="1"/>
  <c r="AM112" i="63"/>
  <c r="AM114" i="63" s="1"/>
  <c r="K14" i="40" s="1"/>
  <c r="AL112" i="63"/>
  <c r="AL114" i="63" s="1"/>
  <c r="I14" i="40" s="1"/>
  <c r="AK112" i="63"/>
  <c r="AK114" i="63" s="1"/>
  <c r="G14" i="40" s="1"/>
  <c r="AJ112" i="63"/>
  <c r="AJ114" i="63" s="1"/>
  <c r="M9" i="40" s="1"/>
  <c r="AI112" i="63"/>
  <c r="AI114" i="63" s="1"/>
  <c r="K9" i="40" s="1"/>
  <c r="AH112" i="63"/>
  <c r="AH114" i="63" s="1"/>
  <c r="I9" i="40" s="1"/>
  <c r="C15" i="39"/>
  <c r="AG32" i="63"/>
  <c r="AG9" i="63"/>
  <c r="D10" i="13"/>
  <c r="D8" i="13"/>
  <c r="AG99" i="63"/>
  <c r="AJ99" i="63"/>
  <c r="AK99" i="63"/>
  <c r="AI55" i="63"/>
  <c r="AG77" i="63"/>
  <c r="AH99" i="63"/>
  <c r="AI99" i="63"/>
  <c r="AJ77" i="63"/>
  <c r="AI77" i="63"/>
  <c r="AK33" i="63"/>
  <c r="AH77" i="63"/>
  <c r="AH55" i="63"/>
  <c r="AK55" i="63"/>
  <c r="AL99" i="63"/>
  <c r="AK77" i="63"/>
  <c r="AJ55" i="63"/>
  <c r="AM99" i="63"/>
  <c r="AM77" i="63"/>
  <c r="AL77" i="63"/>
  <c r="AI33" i="63"/>
  <c r="AG33" i="63"/>
  <c r="AJ33" i="63"/>
  <c r="AM55" i="63"/>
  <c r="AH33" i="63"/>
  <c r="AL55" i="63"/>
  <c r="AM33" i="63"/>
  <c r="AL33" i="63"/>
  <c r="AL9" i="63"/>
  <c r="AM9" i="63"/>
  <c r="AJ9" i="63"/>
  <c r="AK9" i="63"/>
  <c r="AH9" i="63"/>
  <c r="AI9" i="63"/>
  <c r="AG113" i="63" l="1"/>
  <c r="E15" i="39"/>
  <c r="I7" i="13"/>
  <c r="J10" i="40"/>
  <c r="F9" i="40"/>
  <c r="G9" i="40"/>
  <c r="I18" i="13"/>
  <c r="K18" i="13" s="1"/>
  <c r="D7" i="13"/>
  <c r="I15" i="13"/>
  <c r="I16" i="13"/>
  <c r="K16" i="13" s="1"/>
  <c r="I17" i="13"/>
  <c r="K17" i="13" s="1"/>
  <c r="I19" i="13"/>
  <c r="K19" i="13" s="1"/>
  <c r="I20" i="13"/>
  <c r="K20" i="13" s="1"/>
  <c r="I21" i="13"/>
  <c r="K21" i="13" s="1"/>
  <c r="I23" i="13"/>
  <c r="K23" i="13" s="1"/>
  <c r="I22" i="13"/>
  <c r="K22" i="13" s="1"/>
  <c r="D9" i="13"/>
  <c r="D11" i="13"/>
  <c r="B5" i="40"/>
  <c r="D6" i="13"/>
  <c r="C21" i="13"/>
  <c r="E21" i="13" s="1"/>
  <c r="C22" i="13"/>
  <c r="E22" i="13" s="1"/>
  <c r="C18" i="13"/>
  <c r="E18" i="13" s="1"/>
  <c r="C23" i="13"/>
  <c r="E23" i="13" s="1"/>
  <c r="C20" i="13"/>
  <c r="E20" i="13" s="1"/>
  <c r="C17" i="13"/>
  <c r="E17" i="13" s="1"/>
  <c r="K15" i="13" l="1"/>
  <c r="I24" i="13"/>
  <c r="C15" i="13" l="1"/>
  <c r="C16" i="13"/>
  <c r="E16" i="13" s="1"/>
  <c r="C19" i="13"/>
  <c r="E19" i="13" s="1"/>
  <c r="E15" i="13" l="1"/>
  <c r="C24" i="13"/>
  <c r="P45" i="65" l="1"/>
  <c r="E36" i="13" s="1"/>
  <c r="P44" i="65"/>
  <c r="E35" i="13" s="1"/>
  <c r="P43" i="65"/>
  <c r="E34" i="13" s="1"/>
  <c r="P42" i="65"/>
  <c r="E33" i="13" s="1"/>
  <c r="P41" i="65"/>
  <c r="E32" i="13" s="1"/>
  <c r="P40" i="65"/>
  <c r="E31" i="13" s="1"/>
  <c r="P39" i="65"/>
  <c r="E30" i="13" s="1"/>
  <c r="P38" i="65"/>
  <c r="E29" i="13" s="1"/>
  <c r="P37" i="65"/>
  <c r="E28" i="13" s="1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K10" i="13" s="1"/>
  <c r="P13" i="65"/>
  <c r="K9" i="13" s="1"/>
  <c r="P12" i="65"/>
  <c r="K8" i="13" s="1"/>
  <c r="O11" i="65"/>
  <c r="N11" i="65"/>
  <c r="M11" i="65"/>
  <c r="L11" i="65"/>
  <c r="K11" i="65"/>
  <c r="J11" i="65"/>
  <c r="P11" i="65"/>
  <c r="K7" i="13" s="1"/>
  <c r="F11" i="65"/>
  <c r="E11" i="65"/>
  <c r="D11" i="65"/>
  <c r="P10" i="65"/>
  <c r="K6" i="13" s="1"/>
  <c r="P9" i="65"/>
  <c r="O7" i="65"/>
  <c r="N7" i="65"/>
  <c r="M7" i="65"/>
  <c r="L7" i="65"/>
  <c r="K7" i="65"/>
  <c r="J7" i="65"/>
  <c r="P7" i="65"/>
  <c r="E11" i="13" s="1"/>
  <c r="P6" i="65"/>
  <c r="E10" i="13" s="1"/>
  <c r="O5" i="65"/>
  <c r="N5" i="65"/>
  <c r="M5" i="65"/>
  <c r="P5" i="65" s="1"/>
  <c r="E9" i="13" s="1"/>
  <c r="L5" i="65"/>
  <c r="K5" i="65"/>
  <c r="J5" i="65"/>
  <c r="P4" i="65"/>
  <c r="E8" i="13" s="1"/>
  <c r="P3" i="65"/>
  <c r="E7" i="13" s="1"/>
  <c r="P2" i="65"/>
  <c r="E6" i="13" s="1"/>
  <c r="D28" i="39" l="1"/>
  <c r="E34" i="39" l="1"/>
  <c r="D6" i="5" l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C10" i="40" l="1"/>
  <c r="C9" i="40"/>
  <c r="D30" i="39" l="1"/>
  <c r="E28" i="39" l="1"/>
  <c r="C21" i="39" l="1"/>
  <c r="C22" i="39"/>
  <c r="C17" i="39"/>
  <c r="C20" i="39"/>
  <c r="C23" i="39"/>
  <c r="C19" i="39"/>
  <c r="C18" i="39"/>
  <c r="C16" i="39"/>
  <c r="C24" i="39" l="1"/>
  <c r="K22" i="57" l="1"/>
  <c r="E29" i="39" l="1"/>
  <c r="D8" i="39" l="1"/>
  <c r="M10" i="58" l="1"/>
  <c r="M11" i="58"/>
  <c r="M12" i="58"/>
  <c r="M13" i="58"/>
  <c r="M9" i="58"/>
  <c r="M29" i="60" l="1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D9" i="39" l="1"/>
  <c r="K15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>
  <authors>
    <author>陳佳萱</author>
  </authors>
  <commentList>
    <comment ref="C9" authorId="0" shapeId="0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<sst xmlns="http://schemas.openxmlformats.org/spreadsheetml/2006/main" count="8444" uniqueCount="836">
  <si>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</si>
  <si>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</si>
  <si>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</si>
  <si>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</si>
  <si>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</si>
  <si>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</si>
  <si>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</si>
  <si>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</si>
  <si>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</si>
  <si>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</si>
  <si>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</si>
  <si>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</si>
  <si>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</si>
  <si>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</si>
  <si>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</si>
  <si>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</si>
  <si>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</si>
  <si>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</si>
  <si>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</si>
  <si>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</si>
  <si>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</si>
  <si>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</si>
  <si>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</si>
  <si>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</si>
  <si>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</si>
  <si>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</si>
  <si>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</si>
  <si>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</si>
  <si>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</si>
  <si>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</si>
  <si>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</si>
  <si>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</si>
  <si>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</si>
  <si>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</si>
  <si>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</si>
  <si>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</si>
  <si>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</si>
  <si>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</si>
  <si>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</si>
  <si>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</si>
  <si>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</si>
  <si>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</si>
  <si>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</si>
  <si>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</si>
  <si>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</si>
  <si>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</si>
  <si>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</si>
  <si>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</si>
  <si>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</si>
  <si>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</si>
  <si>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</si>
  <si>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</si>
  <si>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</si>
  <si>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</si>
  <si>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</si>
  <si>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</si>
  <si>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</si>
  <si>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</si>
  <si>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</si>
  <si>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</si>
  <si>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</si>
  <si>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</si>
  <si>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</si>
  <si>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</si>
  <si>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</si>
  <si>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</si>
  <si>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</si>
  <si>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</si>
  <si>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</si>
  <si>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</si>
  <si>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</si>
  <si>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</si>
  <si>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</si>
  <si>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</si>
  <si>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</si>
  <si>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</si>
  <si>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</si>
  <si>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</si>
  <si>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</si>
  <si>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</si>
  <si>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</si>
  <si>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</si>
  <si>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</si>
  <si>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</si>
  <si>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</si>
  <si>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</si>
  <si>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</si>
  <si>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</si>
  <si>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</si>
  <si>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</si>
  <si>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</si>
  <si>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</si>
  <si>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</si>
  <si>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</si>
  <si>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</si>
  <si>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</si>
  <si>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</si>
  <si>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</si>
  <si>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</si>
  <si>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</si>
  <si>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</si>
  <si>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</si>
  <si>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</si>
  <si>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</si>
  <si>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</si>
  <si>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</si>
  <si>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</si>
  <si>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</si>
  <si>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</si>
  <si>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</si>
  <si>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</si>
  <si>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</si>
  <si>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</si>
  <si>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</si>
  <si>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</si>
  <si>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</si>
  <si>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</si>
  <si>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</si>
  <si>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</si>
  <si>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</si>
  <si>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</si>
  <si>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</si>
  <si>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</si>
  <si>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</si>
  <si>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</si>
  <si>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</si>
  <si>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</si>
  <si>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</si>
  <si>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</si>
  <si>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</si>
  <si>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</si>
  <si>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</si>
  <si>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</si>
  <si>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</si>
  <si>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</si>
  <si>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</si>
  <si>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</si>
  <si>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</si>
  <si>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</si>
  <si>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</si>
  <si>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</si>
  <si>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</si>
  <si>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</si>
  <si>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</si>
  <si>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</si>
  <si>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</si>
  <si>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</si>
  <si>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</si>
  <si>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</si>
  <si>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</si>
  <si>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</si>
  <si>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</si>
  <si>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</si>
  <si>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</si>
  <si>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</si>
  <si>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</si>
  <si>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</si>
  <si>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</si>
  <si>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</si>
  <si>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</si>
  <si>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</si>
  <si>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</si>
  <si>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</si>
  <si>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</si>
  <si>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</si>
  <si>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</si>
  <si>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</si>
  <si>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</si>
  <si>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</si>
  <si>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</si>
  <si>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</si>
  <si>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</si>
  <si>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</si>
  <si>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</si>
  <si>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</si>
  <si>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</si>
  <si>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</si>
  <si>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</si>
  <si>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</si>
  <si>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</si>
  <si>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</si>
  <si>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</si>
  <si>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</si>
  <si>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</si>
  <si>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</si>
  <si>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</si>
  <si>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</si>
  <si>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</si>
  <si>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</si>
  <si>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</si>
  <si>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</si>
  <si>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</si>
  <si>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</si>
  <si>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</si>
  <si>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</si>
  <si>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</si>
  <si>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</si>
  <si>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</si>
  <si>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</si>
  <si>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</si>
  <si>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</si>
  <si>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</si>
  <si>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</si>
  <si>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</si>
  <si>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</si>
  <si>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</si>
  <si>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</si>
  <si>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</si>
  <si>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</si>
  <si>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</si>
  <si>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</si>
  <si>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</si>
  <si>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</si>
  <si>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</si>
  <si>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</si>
  <si>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</si>
  <si>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</si>
  <si>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</si>
  <si>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</si>
  <si>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</si>
  <si>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</si>
  <si>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</si>
  <si>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</si>
  <si>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</si>
  <si>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</si>
  <si>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</si>
  <si>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</si>
  <si>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</si>
  <si>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</si>
  <si>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</si>
  <si>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</si>
  <si>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</si>
  <si>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</si>
  <si>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</si>
  <si>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</si>
  <si>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</si>
  <si>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</si>
  <si>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</si>
  <si>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</si>
  <si>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</si>
  <si>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</si>
  <si>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比例</t>
    <phoneticPr fontId="10"/>
  </si>
  <si>
    <t>報廢</t>
    <phoneticPr fontId="10"/>
  </si>
  <si>
    <t>超用</t>
    <phoneticPr fontId="10"/>
  </si>
  <si>
    <t>總件數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</si>
  <si>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</si>
  <si>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</si>
  <si>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</si>
  <si>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</si>
  <si>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t>其他原因</t>
    <phoneticPr fontId="13" type="noConversion"/>
  </si>
  <si>
    <t>補單占比</t>
    <phoneticPr fontId="13" type="noConversion"/>
  </si>
  <si>
    <t>展開量高於１０5％</t>
    <phoneticPr fontId="10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</si>
  <si>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</si>
  <si>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</si>
  <si>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</si>
  <si>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</si>
  <si>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</si>
  <si>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</si>
  <si>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</si>
  <si>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</si>
  <si>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</si>
  <si>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</si>
  <si>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</si>
  <si>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</si>
  <si>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</si>
  <si>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</si>
  <si>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</si>
  <si>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</si>
  <si>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</si>
  <si>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</si>
  <si>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</si>
  <si>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</si>
  <si>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</si>
  <si>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</si>
  <si>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</si>
  <si>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</si>
  <si>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</si>
  <si>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</si>
  <si>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</si>
  <si>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</si>
  <si>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</si>
  <si>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</si>
  <si>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</si>
  <si>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</si>
  <si>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</si>
  <si>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</si>
  <si>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</si>
  <si>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</si>
  <si>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</si>
  <si>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</si>
  <si>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</si>
  <si>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</si>
  <si>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</si>
  <si>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</si>
  <si>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</si>
  <si>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</si>
  <si>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</si>
  <si>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</si>
  <si>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</si>
  <si>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</si>
  <si>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</si>
  <si>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</si>
  <si>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</si>
  <si>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</si>
  <si>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</si>
  <si>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</si>
  <si>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</si>
  <si>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</si>
  <si>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</si>
  <si>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</si>
  <si>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</si>
  <si>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</si>
  <si>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</si>
  <si>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</si>
  <si>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</si>
  <si>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</si>
  <si>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</si>
  <si>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</si>
  <si>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</si>
  <si>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</si>
  <si>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</si>
  <si>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</si>
  <si>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</si>
  <si>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</si>
  <si>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</si>
  <si>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</si>
  <si>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</si>
  <si>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</si>
  <si>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</si>
  <si>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</si>
  <si>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</si>
  <si>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</si>
  <si>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</si>
  <si>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</si>
  <si>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</si>
  <si>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烤銀鮭魚肚</t>
  </si>
  <si>
    <t>(V)川燙小青花菜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</si>
  <si>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</si>
  <si>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</si>
  <si>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</si>
  <si>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</si>
  <si>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</si>
  <si>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</si>
  <si>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</si>
  <si>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</si>
  <si>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</si>
  <si>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</si>
  <si>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麻油雞飯糰</t>
  </si>
  <si>
    <t>微波主食</t>
    <phoneticPr fontId="13" type="noConversion"/>
  </si>
  <si>
    <t>二配黃金雞排蘑菇白醬歐姆蛋飯</t>
  </si>
  <si>
    <t>嫩烤香料雞胸排蔬滿盒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</si>
  <si>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</si>
  <si>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</si>
  <si>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</si>
  <si>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</si>
  <si>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</si>
  <si>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</si>
  <si>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炒油蔥醬</t>
  </si>
  <si>
    <t>雞肉飯飯糰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</si>
  <si>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</si>
  <si>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</si>
  <si>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</si>
  <si>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</si>
  <si>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</si>
  <si>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</si>
  <si>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</si>
  <si>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</si>
  <si>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</si>
  <si>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</si>
  <si>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t>18℃-壽司手卷</t>
    <phoneticPr fontId="13" type="noConversion"/>
  </si>
  <si>
    <t>4℃-壽司手卷</t>
    <phoneticPr fontId="13" type="noConversion"/>
  </si>
  <si>
    <t>季節調理麵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</si>
  <si>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</si>
  <si>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</si>
  <si>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</si>
  <si>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</si>
  <si>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</si>
  <si>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</si>
  <si>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</si>
  <si>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</si>
  <si>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</si>
  <si>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</si>
  <si>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</si>
  <si>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</si>
  <si>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</si>
  <si>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</si>
  <si>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</si>
  <si>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</si>
  <si>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</si>
  <si>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</si>
  <si>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</si>
  <si>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</si>
  <si>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</si>
  <si>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</si>
  <si>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</si>
  <si>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</si>
  <si>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</si>
  <si>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</si>
  <si>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</si>
  <si>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</si>
  <si>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</si>
  <si>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</si>
  <si>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</si>
  <si>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</si>
  <si>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</si>
  <si>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</si>
  <si>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</si>
  <si>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</si>
  <si>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</si>
  <si>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</si>
  <si>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</si>
  <si>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</si>
  <si>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</si>
  <si>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</si>
  <si>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</si>
  <si>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</si>
  <si>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</si>
  <si>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</si>
  <si>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報廢</t>
    <phoneticPr fontId="13" type="noConversion"/>
  </si>
  <si>
    <t>超用</t>
    <phoneticPr fontId="13" type="noConversion"/>
  </si>
  <si>
    <t>川燙毛豆玉米</t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</si>
  <si>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</si>
  <si>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t>製程不穩</t>
    <phoneticPr fontId="80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</si>
  <si>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</si>
  <si>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教育訓練-實施率(進度/計畫)</t>
    <phoneticPr fontId="13" type="noConversion"/>
  </si>
  <si>
    <t>4℃-飯糰</t>
    <phoneticPr fontId="13" type="noConversion"/>
  </si>
  <si>
    <t>熱食義麵</t>
    <phoneticPr fontId="13" type="noConversion"/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</si>
  <si>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</si>
  <si>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</si>
  <si>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</si>
  <si>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</si>
  <si>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</si>
  <si>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t>烤照燒雞腿丁</t>
  </si>
  <si>
    <t>海陸雙拼肉肉餐盒</t>
  </si>
  <si>
    <t>二配三杯醬爆菇菇飯糰</t>
  </si>
  <si>
    <t>蔬活腿排補力餐盒</t>
  </si>
  <si>
    <t>二配兩粒飯糰(鮪魚.焦糖鮭魚)</t>
  </si>
  <si>
    <t>香腸腿排雙拼便當</t>
  </si>
  <si>
    <t>炒蔥花碎蛋</t>
  </si>
  <si>
    <t>一配兩粒飯糰(鮪魚.焦糖鮭魚)</t>
  </si>
  <si>
    <t>二配大飯糰韓式蒜烤豬五花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</si>
  <si>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</si>
  <si>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</si>
  <si>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3" type="noConversion"/>
  </si>
  <si>
    <t>後續對策</t>
    <phoneticPr fontId="13" type="noConversion"/>
  </si>
  <si>
    <t>展開量高於需求量</t>
  </si>
  <si>
    <t>週前二十</t>
    <phoneticPr fontId="13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</si>
  <si>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</si>
  <si>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</si>
  <si>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</si>
  <si>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</si>
  <si>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</si>
  <si>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</si>
  <si>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展開量高於需求量</t>
    <phoneticPr fontId="13" type="noConversion"/>
  </si>
  <si>
    <t>調理展開量下修，並已採用多次補單方式執行</t>
  </si>
  <si>
    <t>增加線上抽秤頻率，調理展開量下修，並已採用多次補單方式執行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</si>
  <si>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</si>
  <si>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一配鮭魚奶油醬油飯糰</t>
  </si>
  <si>
    <t>壹號醬炙烤牛飯糰</t>
  </si>
  <si>
    <t>切-烤牛五花(112年)</t>
  </si>
  <si>
    <t>烤箱製程蛋片規格厚薄差異
準備室分切剔除，確保賣相準定</t>
    <phoneticPr fontId="13" type="noConversion"/>
  </si>
  <si>
    <t>切烤雞胸肉(111年)</t>
  </si>
  <si>
    <t>蒜炒紅K油菜(A7)</t>
  </si>
  <si>
    <t>健身G肉餐盒(113年)</t>
  </si>
  <si>
    <t>炙燒韓式牛五花</t>
  </si>
  <si>
    <t>經典肉鬆飯糰(114年)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</si>
  <si>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</si>
  <si>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</si>
  <si>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</si>
  <si>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</si>
  <si>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拌鹽烤豬肉片(114年)</t>
  </si>
  <si>
    <t>鹽蔥燒肉飯糰</t>
  </si>
  <si>
    <t>二配鐵板豆腐燴蛋蓋飯</t>
  </si>
  <si>
    <t>二配濃起司燻腸紅醬焗烤飯</t>
  </si>
  <si>
    <t>焗飯-義式蕃茄紅醬</t>
  </si>
  <si>
    <t>煮鐵板豆腐</t>
  </si>
  <si>
    <t>拌蒜香五花肉</t>
  </si>
  <si>
    <t>生產前確認標準定量的機台設定，生產中抽查確認設定及實際出料重量</t>
  </si>
  <si>
    <t>青花菜原物料規格偏大造成超用</t>
  </si>
  <si>
    <t>注餡機機台工差設定確認</t>
  </si>
  <si>
    <t>原物料肉片的大小塊差異</t>
  </si>
  <si>
    <t>回饋研發，後續開發列入考量，調整分切方式，穩定分切厚薄減少規格異常</t>
  </si>
  <si>
    <t>抓量較不穩定造成超用</t>
  </si>
  <si>
    <t>烤墨西哥雞丁</t>
  </si>
  <si>
    <t>二配溏心蛋五目飯糰</t>
  </si>
  <si>
    <t>1月</t>
    <phoneticPr fontId="13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</si>
  <si>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</si>
  <si>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</si>
  <si>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</si>
  <si>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</si>
  <si>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</si>
  <si>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</si>
  <si>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</si>
  <si>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</si>
  <si>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</si>
  <si>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</si>
  <si>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</si>
  <si>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</si>
  <si>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3" type="noConversion"/>
  </si>
  <si>
    <t>業績金額(千元)</t>
    <phoneticPr fontId="13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</si>
  <si>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3" type="noConversion"/>
  </si>
  <si>
    <t>材料費(千元)</t>
    <phoneticPr fontId="13" type="noConversion"/>
  </si>
  <si>
    <t>勞務成本(千元)</t>
    <phoneticPr fontId="13" type="noConversion"/>
  </si>
  <si>
    <t xml:space="preserve">人時性(個/月均) </t>
    <phoneticPr fontId="13" type="noConversion"/>
  </si>
  <si>
    <t xml:space="preserve">人時達成率(%/月均) </t>
    <phoneticPr fontId="13" type="noConversion"/>
  </si>
  <si>
    <t>半成品-報廢(%)</t>
    <phoneticPr fontId="13" type="noConversion"/>
  </si>
  <si>
    <t>半成品-超用(%)</t>
    <phoneticPr fontId="13" type="noConversion"/>
  </si>
  <si>
    <t>二配大飯糰乾燒風味鮮蝦</t>
  </si>
  <si>
    <t>香檸奶油魚排蔬滿盒</t>
  </si>
  <si>
    <t>（１）收支狀況</t>
    <phoneticPr fontId="13" type="noConversion"/>
  </si>
  <si>
    <t>材料費率(%)</t>
    <phoneticPr fontId="13" type="noConversion"/>
  </si>
  <si>
    <t>勞務費率(%)</t>
    <phoneticPr fontId="13" type="noConversion"/>
  </si>
  <si>
    <t>人時性KPI</t>
    <phoneticPr fontId="13" type="noConversion"/>
  </si>
  <si>
    <t>固定產線-導入率(%)</t>
  </si>
  <si>
    <t>教育訓練-實施率(%)</t>
  </si>
  <si>
    <t>（３）業績構成比</t>
    <phoneticPr fontId="13" type="noConversion"/>
  </si>
  <si>
    <t>18℃-飯糰(061,063)</t>
  </si>
  <si>
    <t>（４）訂單數量構成比</t>
    <phoneticPr fontId="13" type="noConversion"/>
  </si>
  <si>
    <t>（５）品群別人時生產性</t>
    <phoneticPr fontId="13" type="noConversion"/>
  </si>
  <si>
    <t>二配贅沢鮭魚肚飯糰</t>
  </si>
  <si>
    <t>二配鹽水G絲飯糰</t>
  </si>
  <si>
    <t>一配經典人氣雙手卷</t>
  </si>
  <si>
    <t>一配鮭鮪海饌雙手卷</t>
  </si>
  <si>
    <t>贅沢鮭魚肚飯糰</t>
  </si>
  <si>
    <t>設定放料量範圍，後續開發列入考量調整，針對人員手法教育訓練，並增加線上抽秤頻率。</t>
  </si>
  <si>
    <t>針對人員抓量手法教育訓練，並增加線上抽秤頻率。</t>
  </si>
  <si>
    <t>定期更換烤盤，制定烤盤更換時程，降低豆腐沾黏焦化物而造成報廢</t>
  </si>
  <si>
    <t>抓量較不穩定，生產餘料報廢</t>
  </si>
  <si>
    <t>烤盤產生炭渣，豆腐沾黏焦化物
定期更換烤盤，制定烤盤更換時程，降低豆腐沾黏焦化物而造成報廢</t>
    <phoneticPr fontId="13" type="noConversion"/>
  </si>
  <si>
    <t>青花菜原物料規格偏大造成超用
設定放料量範圍，後續開發列入考量調整，針對人員手法教育訓練，並增加線上抽秤頻率。</t>
    <phoneticPr fontId="13" type="noConversion"/>
  </si>
  <si>
    <t>一配柚檸海灣貝飯糰</t>
  </si>
  <si>
    <t>大滿足香辣涼麵</t>
  </si>
  <si>
    <t>大滿足麻醬涼麵</t>
  </si>
  <si>
    <t>和風涓絲冷麵</t>
  </si>
  <si>
    <t>煮中華冷麵(110年)</t>
  </si>
  <si>
    <t>冷凍紅鮭碎肉20</t>
  </si>
  <si>
    <t>熟成紅鮭飯糰(114年)</t>
  </si>
  <si>
    <t>原物料肉片的大小塊差異
回饋研發，後續開發列入考量，調整分切方式，穩定分切厚薄減少規格異常</t>
    <phoneticPr fontId="13" type="noConversion"/>
  </si>
  <si>
    <t>一配山葵章魚飯糰</t>
  </si>
  <si>
    <t>台式麻醬涼麵</t>
  </si>
  <si>
    <t>原物料規格</t>
    <phoneticPr fontId="13" type="noConversion"/>
  </si>
  <si>
    <t>操作方式冰杓定量，因冰杓規格限制導致超用</t>
  </si>
  <si>
    <t>回饋研發，後續開發列入考量，針對人員手法教育訓練，並增加線上抽秤頻率。</t>
  </si>
  <si>
    <t>鰹魚烏龍冷麵</t>
  </si>
  <si>
    <t>煮烏龍冷麵(113年)</t>
  </si>
  <si>
    <t>歐姆蛋-黑咖哩醬</t>
  </si>
  <si>
    <t>操作方式冰杓定量，生產餘料報廢</t>
  </si>
  <si>
    <r>
      <rPr>
        <sz val="12"/>
        <color theme="1"/>
        <rFont val="Microsoft JhengHei"/>
        <family val="2"/>
      </rPr>
      <t>確認分切工程</t>
    </r>
    <r>
      <rPr>
        <sz val="12"/>
        <color theme="1"/>
        <rFont val="Meiryo UI"/>
        <family val="2"/>
      </rPr>
      <t>穩定分切長度減少規格異常，再針對抓量手法教育訓練，並增加線上抽秤頻率。</t>
    </r>
    <phoneticPr fontId="13" type="noConversion"/>
  </si>
  <si>
    <t>抓量較不穩定造成超用
確認分切工程穩定分切長度減少規格異常，再針對抓量手法教育訓練，並增加線上抽秤頻率。</t>
    <phoneticPr fontId="13" type="noConversion"/>
  </si>
  <si>
    <t>排序</t>
    <phoneticPr fontId="13" type="noConversion"/>
  </si>
  <si>
    <t>半成品名稱</t>
    <phoneticPr fontId="13" type="noConversion"/>
  </si>
  <si>
    <t>報廢金額
(元)</t>
    <phoneticPr fontId="13" type="noConversion"/>
  </si>
  <si>
    <t>半成品單價
(元/kg)</t>
    <phoneticPr fontId="13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</si>
  <si>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3" type="noConversion"/>
  </si>
  <si>
    <t>生管展開</t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</si>
  <si>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</si>
  <si>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3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</si>
  <si>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</si>
  <si>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</si>
  <si>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kg/</t>
    </r>
    <r>
      <rPr>
        <sz val="12"/>
        <color theme="1"/>
        <rFont val="Meiryo UI"/>
        <family val="2"/>
      </rPr>
      <t>個</t>
    </r>
    <phoneticPr fontId="13" type="noConversion"/>
  </si>
  <si>
    <t>%</t>
  </si>
  <si>
    <t>元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</si>
  <si>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</si>
  <si>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</si>
  <si>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0526-0601</t>
    <phoneticPr fontId="13" type="noConversion"/>
  </si>
  <si>
    <t>屏榮大溪廠半成品管理日別總表</t>
    <phoneticPr fontId="13" type="noConversion"/>
  </si>
  <si>
    <t>二配香烤魚排青醬燉飯</t>
  </si>
  <si>
    <r>
      <rPr>
        <sz val="12"/>
        <color theme="1"/>
        <rFont val="Meiryo UI"/>
        <family val="2"/>
      </rPr>
      <t>超用金額
(元)</t>
    </r>
    <phoneticPr fontId="13" type="noConversion"/>
  </si>
  <si>
    <t>煮白細麵生(方#12)</t>
  </si>
  <si>
    <t>反映研發，後續開發列入考量，目前報廢量以穩定控制</t>
    <phoneticPr fontId="13" type="noConversion"/>
  </si>
  <si>
    <t>菜梗、葉差異，影響人員放料手感</t>
  </si>
  <si>
    <t>增加線上抽秤頻率，調理展開量下修，並已採用多次補單方式執行</t>
    <phoneticPr fontId="13" type="noConversion"/>
  </si>
  <si>
    <t>煮麵單藍批量設定，餘料報廢</t>
    <phoneticPr fontId="13" type="noConversion"/>
  </si>
  <si>
    <t>針對人員抓量手法教育訓練，並增加線上抽秤頻率。</t>
    <phoneticPr fontId="13" type="noConversion"/>
  </si>
  <si>
    <t>回饋研發，後續開發列入考量，針對人員抓量手法教育訓練，並增加線上抽秤頻率</t>
    <phoneticPr fontId="13" type="noConversion"/>
  </si>
  <si>
    <t>原物料規格過小，無法使用
反映研發，後續開發列入考量，目前報廢量以穩定控制</t>
    <phoneticPr fontId="10"/>
  </si>
  <si>
    <t>操作方式冰杓定量，生產餘料報廢
調理展開量下修，並已採用多次補單方式執行</t>
    <phoneticPr fontId="13" type="noConversion"/>
  </si>
  <si>
    <t>一配黑胡椒洋蔥豬飯糰</t>
  </si>
  <si>
    <t>鮪魚昆布細卷</t>
  </si>
  <si>
    <t>肉鬆火腿細卷</t>
  </si>
  <si>
    <t>懷舊滷雙拼便當</t>
  </si>
  <si>
    <t>烤燉飯魚排</t>
  </si>
  <si>
    <t>蒸黑滷D4棒</t>
  </si>
  <si>
    <t>燉飯青醬(115年)</t>
  </si>
  <si>
    <r>
      <rPr>
        <sz val="11"/>
        <color theme="1"/>
        <rFont val="Microsoft JhengHei"/>
        <family val="2"/>
      </rPr>
      <t>新品</t>
    </r>
    <r>
      <rPr>
        <sz val="11"/>
        <color theme="1"/>
        <rFont val="Calibri"/>
        <family val="2"/>
      </rPr>
      <t>.</t>
    </r>
    <r>
      <rPr>
        <sz val="11"/>
        <color theme="1"/>
        <rFont val="Microsoft JhengHei"/>
        <family val="2"/>
      </rPr>
      <t>達成率提升中</t>
    </r>
    <phoneticPr fontId="13" type="noConversion"/>
  </si>
  <si>
    <r>
      <t>魚肉烤箱製程，</t>
    </r>
    <r>
      <rPr>
        <sz val="12"/>
        <color theme="1"/>
        <rFont val="Microsoft JhengHei"/>
        <family val="2"/>
        <charset val="136"/>
      </rPr>
      <t>質地較軟</t>
    </r>
    <r>
      <rPr>
        <sz val="12"/>
        <color theme="1"/>
        <rFont val="Meiryo UI"/>
        <family val="2"/>
      </rPr>
      <t>拿取後破損造成報廢</t>
    </r>
    <phoneticPr fontId="13" type="noConversion"/>
  </si>
  <si>
    <t>原物料肉片的大小塊差異超用剩餘料報廢</t>
    <phoneticPr fontId="13" type="noConversion"/>
  </si>
  <si>
    <t>加強分切規格控管與線上抓量教育訓練，降低規格落差及剩料</t>
    <phoneticPr fontId="13" type="noConversion"/>
  </si>
  <si>
    <t>蒸箱製程後物料骨肉分離無法使用</t>
    <phoneticPr fontId="13" type="noConversion"/>
  </si>
  <si>
    <t>已調整蒸箱製程後段操作方式及入籃量下修，調整後報廢數量已降低。</t>
    <phoneticPr fontId="13" type="noConversion"/>
  </si>
  <si>
    <r>
      <t>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前確認標準定量的機台設定，生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中抽</t>
    </r>
    <r>
      <rPr>
        <sz val="12"/>
        <color theme="1"/>
        <rFont val="細明體"/>
        <family val="3"/>
        <charset val="136"/>
      </rPr>
      <t>查</t>
    </r>
    <r>
      <rPr>
        <sz val="12"/>
        <color theme="1"/>
        <rFont val="Meiryo UI"/>
        <family val="2"/>
      </rPr>
      <t>確認設定及實際出料重量，餘料報廢。</t>
    </r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</si>
  <si>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3" type="noConversion"/>
  </si>
  <si>
    <t>設定雙圈秤重，抓量較不穩定造成超用</t>
    <phoneticPr fontId="13" type="noConversion"/>
  </si>
  <si>
    <r>
      <t>人員抓量放料手法不穩定，原物料單價高</t>
    </r>
    <r>
      <rPr>
        <sz val="12"/>
        <color theme="1"/>
        <rFont val="Microsoft JhengHei"/>
        <family val="2"/>
      </rPr>
      <t>總計超用金額高</t>
    </r>
    <phoneticPr fontId="13" type="noConversion"/>
  </si>
  <si>
    <t>原物料肉片的大小塊差異超用剩餘料報廢
加強分切規格控管與線上抓量教育訓練，降低規格落差及剩料</t>
    <phoneticPr fontId="13" type="noConversion"/>
  </si>
  <si>
    <t>一配椒鹽檸檬鯖魚飯糰</t>
  </si>
  <si>
    <t>韓式辣炒豬肉飯卷</t>
  </si>
  <si>
    <t>日式胡麻雞絲冷麵</t>
  </si>
  <si>
    <t>蒸玉米塊</t>
  </si>
  <si>
    <t>焙炒芝麻肉鬆(飯糰)</t>
  </si>
  <si>
    <t>蒸-解凍手撕雞</t>
  </si>
  <si>
    <t>煮2025屯京冷麵</t>
  </si>
  <si>
    <r>
      <t>青花菜原物料規格偏大造成超用</t>
    </r>
    <r>
      <rPr>
        <sz val="12"/>
        <color theme="1"/>
        <rFont val="Microsoft JhengHei"/>
        <family val="2"/>
      </rPr>
      <t>剩餘料報廢</t>
    </r>
    <phoneticPr fontId="13" type="noConversion"/>
  </si>
  <si>
    <r>
      <t>已加強操作教育訓練，</t>
    </r>
    <r>
      <rPr>
        <sz val="12"/>
        <color theme="1"/>
        <rFont val="Microsoft JhengHei"/>
        <family val="2"/>
      </rPr>
      <t>對比</t>
    </r>
    <r>
      <rPr>
        <sz val="12"/>
        <color theme="1"/>
        <rFont val="Meiryo UI"/>
        <family val="2"/>
      </rPr>
      <t>前周</t>
    </r>
    <r>
      <rPr>
        <sz val="12"/>
        <color theme="1"/>
        <rFont val="Microsoft JhengHei"/>
        <family val="2"/>
      </rPr>
      <t>破損率已下降。</t>
    </r>
    <phoneticPr fontId="13" type="noConversion"/>
  </si>
  <si>
    <t>原物料規格大小顆，影響產出數量</t>
    <phoneticPr fontId="13" type="noConversion"/>
  </si>
  <si>
    <t>反映研發，後續開發列入考量</t>
    <phoneticPr fontId="13" type="noConversion"/>
  </si>
  <si>
    <t>針對抓量手法教育訓練，並增加線上抽秤頻率。</t>
  </si>
  <si>
    <t>抓量較不穩定造成超用</t>
    <phoneticPr fontId="13" type="noConversion"/>
  </si>
  <si>
    <r>
      <t>肉片</t>
    </r>
    <r>
      <rPr>
        <sz val="12"/>
        <color theme="1"/>
        <rFont val="Microsoft JhengHei"/>
        <family val="2"/>
      </rPr>
      <t>長短規格</t>
    </r>
    <r>
      <rPr>
        <sz val="12"/>
        <color theme="1"/>
        <rFont val="Meiryo UI"/>
        <family val="2"/>
      </rPr>
      <t>影響</t>
    </r>
    <phoneticPr fontId="13" type="noConversion"/>
  </si>
  <si>
    <r>
      <t>針對人員分切方式</t>
    </r>
    <r>
      <rPr>
        <sz val="12"/>
        <color theme="1"/>
        <rFont val="Microsoft JhengHei"/>
        <family val="2"/>
      </rPr>
      <t>進行教育訓練</t>
    </r>
    <r>
      <rPr>
        <sz val="12"/>
        <color theme="1"/>
        <rFont val="Meiryo UI"/>
        <family val="2"/>
      </rPr>
      <t>，穩定分切長度減少規格異常。</t>
    </r>
    <phoneticPr fontId="13" type="noConversion"/>
  </si>
  <si>
    <t>月</t>
    <phoneticPr fontId="13" type="noConversion"/>
  </si>
  <si>
    <t>注餡機機台工差設定確認
生產前確認標準定量的機台設定，生產中抽查確認設定及實際出料重量</t>
    <phoneticPr fontId="13" type="noConversion"/>
  </si>
  <si>
    <t>抓量較不穩定造成超用
針對人員抓量手法教育訓練，並增加線上抽秤頻率。</t>
    <phoneticPr fontId="13" type="noConversion"/>
  </si>
  <si>
    <t>海陸雙拼壽司</t>
  </si>
  <si>
    <t>嘉義崇文白醋涼麵</t>
  </si>
  <si>
    <t>蒸蛋湯</t>
  </si>
  <si>
    <t>馬鈴薯玉米濃湯</t>
  </si>
  <si>
    <t>三合一味噌湯</t>
  </si>
  <si>
    <t>調味扇貝柱-F</t>
  </si>
  <si>
    <t>煮白細麵生(方#5/膠片)</t>
  </si>
  <si>
    <t>消毒細切紅蘿蔔絲</t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</si>
  <si>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的大小塊差異超用剩餘料報廢</t>
    </r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</si>
  <si>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的大小塊差異超用剩餘料報廢</t>
    </r>
    <phoneticPr fontId="13" type="noConversion"/>
  </si>
  <si>
    <r>
      <rPr>
        <sz val="12"/>
        <color theme="1"/>
        <rFont val="Microsoft JhengHei"/>
        <family val="2"/>
      </rPr>
      <t>高風險原物料拆袋</t>
    </r>
    <r>
      <rPr>
        <sz val="12"/>
        <color theme="1"/>
        <rFont val="Meiryo UI"/>
        <family val="2"/>
      </rPr>
      <t>餘料報廢</t>
    </r>
    <phoneticPr fontId="13" type="noConversion"/>
  </si>
  <si>
    <t>注餡機機台工差設定確認
生產前確認標準定量的機台設定，生產中抽查確認設定及實際出料重量，餘料報廢。</t>
    <phoneticPr fontId="13" type="noConversion"/>
  </si>
  <si>
    <t>0602-0608</t>
    <phoneticPr fontId="13" type="noConversion"/>
  </si>
  <si>
    <t>0609-0615</t>
    <phoneticPr fontId="13" type="noConversion"/>
  </si>
  <si>
    <t>0616-0622</t>
    <phoneticPr fontId="13" type="noConversion"/>
  </si>
  <si>
    <t>0623-0629</t>
    <phoneticPr fontId="13" type="noConversion"/>
  </si>
  <si>
    <t>厚香料優格咖哩烤雞飯卷</t>
  </si>
  <si>
    <t>招牌雞絲胡麻涼麵</t>
  </si>
  <si>
    <t>煮傳統冷麵</t>
  </si>
  <si>
    <t>112年拌鮪魚沙拉</t>
  </si>
  <si>
    <t>(V)消毒小黃瓜絲</t>
  </si>
  <si>
    <t>炒醬香豆瓣肉燥</t>
  </si>
  <si>
    <t>玉米濃湯(115年版)</t>
  </si>
  <si>
    <t>鮪魚飯糰</t>
  </si>
  <si>
    <t>對切屯京溫泉蛋</t>
  </si>
  <si>
    <t>義式烤馬鈴薯</t>
  </si>
  <si>
    <t>7切-烤蜜汁腿排</t>
  </si>
  <si>
    <t>6切-烤醃漬咖哩腿排</t>
  </si>
  <si>
    <t>5切法式炸雞排</t>
  </si>
  <si>
    <r>
      <t>針對人員抓量手法教育訓練，</t>
    </r>
    <r>
      <rPr>
        <sz val="12"/>
        <color theme="1"/>
        <rFont val="Microsoft JhengHei"/>
        <family val="2"/>
        <charset val="136"/>
      </rPr>
      <t>持續執行定量管理，</t>
    </r>
    <r>
      <rPr>
        <sz val="12"/>
        <color theme="1"/>
        <rFont val="Meiryo UI"/>
        <family val="2"/>
      </rPr>
      <t>並增加線上抽秤頻率。</t>
    </r>
    <phoneticPr fontId="13" type="noConversion"/>
  </si>
  <si>
    <t>設定雙圈秤重生產餘料報廢</t>
    <phoneticPr fontId="13" type="noConversion"/>
  </si>
  <si>
    <r>
      <t>菜梗、葉差異，影響人員放料手感</t>
    </r>
    <r>
      <rPr>
        <sz val="12"/>
        <color theme="1"/>
        <rFont val="Microsoft JhengHei"/>
        <family val="2"/>
      </rPr>
      <t>生產</t>
    </r>
    <r>
      <rPr>
        <sz val="12"/>
        <color theme="1"/>
        <rFont val="Microsoft JhengHei"/>
        <family val="2"/>
        <charset val="136"/>
      </rPr>
      <t>餘料報廢</t>
    </r>
    <phoneticPr fontId="13" type="noConversion"/>
  </si>
  <si>
    <t>分切製程破損導致規格不符無法使用</t>
  </si>
  <si>
    <t>針對人員分切手法進行教育訓練，改善分切製程破損狀況。</t>
  </si>
  <si>
    <t>原物料單包數量規格，產出餘料報廢</t>
    <phoneticPr fontId="13" type="noConversion"/>
  </si>
  <si>
    <t>原物料規格大小顆，影響產出數量
反映研發，後續開發列入考量</t>
    <phoneticPr fontId="13" type="noConversion"/>
  </si>
  <si>
    <t>二配酸酸辣辣椒麻雞飯</t>
  </si>
  <si>
    <t>越式牛肉寬粉</t>
  </si>
  <si>
    <t>煮牛肉片(A7)</t>
  </si>
  <si>
    <t>越式湯凍(115年)</t>
  </si>
  <si>
    <t>煮寬粉(114年)</t>
  </si>
  <si>
    <t>野郎醬(112年)</t>
  </si>
  <si>
    <t>原物料肉片大小片差異，影響人員手感生產餘料報廢</t>
    <phoneticPr fontId="13" type="noConversion"/>
  </si>
  <si>
    <r>
      <t>已加強操作教育訓練，</t>
    </r>
    <r>
      <rPr>
        <sz val="12"/>
        <color theme="1"/>
        <rFont val="Microsoft JhengHei"/>
        <family val="2"/>
      </rPr>
      <t>並更換對比</t>
    </r>
    <r>
      <rPr>
        <sz val="12"/>
        <color theme="1"/>
        <rFont val="Meiryo UI"/>
        <family val="2"/>
      </rPr>
      <t>前周</t>
    </r>
    <r>
      <rPr>
        <sz val="12"/>
        <color theme="1"/>
        <rFont val="Microsoft JhengHei"/>
        <family val="2"/>
      </rPr>
      <t>破損率已下降。</t>
    </r>
    <phoneticPr fontId="13" type="noConversion"/>
  </si>
  <si>
    <t>煮麵單包批量設定，餘料報廢</t>
    <phoneticPr fontId="13" type="noConversion"/>
  </si>
  <si>
    <t>原物料規格大小顆，影響抓量手感</t>
    <phoneticPr fontId="13" type="noConversion"/>
  </si>
  <si>
    <t>原物料肉片大小片差異，影響人員手感</t>
    <phoneticPr fontId="13" type="noConversion"/>
  </si>
  <si>
    <r>
      <t>原物料</t>
    </r>
    <r>
      <rPr>
        <sz val="12"/>
        <color theme="1"/>
        <rFont val="Microsoft JhengHei"/>
        <family val="2"/>
      </rPr>
      <t>肉塊</t>
    </r>
    <r>
      <rPr>
        <sz val="12"/>
        <color theme="1"/>
        <rFont val="Meiryo UI"/>
        <family val="2"/>
      </rPr>
      <t>大小塊差異</t>
    </r>
    <phoneticPr fontId="13" type="noConversion"/>
  </si>
  <si>
    <t>魚肉烤箱製程，質地較軟拿取後破損造成報廢
已加強操作教育訓練，並更換對比前周破損率已下降。</t>
    <phoneticPr fontId="13" type="noConversion"/>
  </si>
  <si>
    <t>煮麵單籃批量設定，餘料報廢</t>
    <phoneticPr fontId="13" type="noConversion"/>
  </si>
  <si>
    <t>二配鮭魚毛豆炊飯飯糰</t>
  </si>
  <si>
    <t>二配西班牙風味海鮮燉飯</t>
  </si>
  <si>
    <t>5切-炸椒麻雞腿排</t>
  </si>
  <si>
    <t>雙拼炒混蔬</t>
  </si>
  <si>
    <t>烤黑胡椒清肉排</t>
  </si>
  <si>
    <t>113年川燙綠豆芽</t>
  </si>
  <si>
    <t>蘑菇白醬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</si>
  <si>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性前幾名品項(0630-0706)</t>
    </r>
    <phoneticPr fontId="13" type="noConversion"/>
  </si>
  <si>
    <t>原物料規格過小，無法使用</t>
    <phoneticPr fontId="13" type="noConversion"/>
  </si>
  <si>
    <t>烤盤產生炭渣，豆腐沾黏焦化物</t>
    <phoneticPr fontId="13" type="noConversion"/>
  </si>
  <si>
    <t>烤箱製程蛋片規格厚薄差異</t>
    <phoneticPr fontId="13" type="noConversion"/>
  </si>
  <si>
    <r>
      <t>反映研發，後續開發列入考量，目前報廢量</t>
    </r>
    <r>
      <rPr>
        <sz val="12"/>
        <color theme="1"/>
        <rFont val="Microsoft JhengHei"/>
        <family val="2"/>
      </rPr>
      <t>設定目標</t>
    </r>
    <r>
      <rPr>
        <sz val="12"/>
        <color theme="1"/>
        <rFont val="Meiryo UI"/>
        <family val="2"/>
      </rPr>
      <t>控制</t>
    </r>
    <r>
      <rPr>
        <sz val="12"/>
        <color theme="1"/>
        <rFont val="Microsoft JhengHei"/>
        <family val="2"/>
      </rPr>
      <t>在單籃內</t>
    </r>
    <phoneticPr fontId="13" type="noConversion"/>
  </si>
  <si>
    <r>
      <t>青花菜原物料規格大</t>
    </r>
    <r>
      <rPr>
        <sz val="12"/>
        <color theme="1"/>
        <rFont val="Microsoft JhengHei"/>
        <family val="2"/>
      </rPr>
      <t>小差異</t>
    </r>
    <r>
      <rPr>
        <sz val="12"/>
        <color theme="1"/>
        <rFont val="Meiryo UI"/>
        <family val="2"/>
      </rPr>
      <t>造成超用</t>
    </r>
    <r>
      <rPr>
        <sz val="12"/>
        <color theme="1"/>
        <rFont val="Microsoft JhengHei"/>
        <family val="2"/>
      </rPr>
      <t>剩餘料報廢</t>
    </r>
    <phoneticPr fontId="13" type="noConversion"/>
  </si>
  <si>
    <t>生產餘料報廢</t>
    <phoneticPr fontId="13" type="noConversion"/>
  </si>
  <si>
    <t>操作方式冰杓定量，生產餘料報廢</t>
    <phoneticPr fontId="13" type="noConversion"/>
  </si>
  <si>
    <r>
      <t>抓量較不穩定造成超用</t>
    </r>
    <r>
      <rPr>
        <sz val="12"/>
        <color theme="1"/>
        <rFont val="Microsoft JhengHei"/>
        <family val="2"/>
        <charset val="136"/>
      </rPr>
      <t>餘料報廢</t>
    </r>
    <phoneticPr fontId="13" type="noConversion"/>
  </si>
  <si>
    <t>原物料規格大小顆，影響產出數量差異</t>
    <phoneticPr fontId="13" type="noConversion"/>
  </si>
  <si>
    <t>機台上灑落及生產餘料報廢</t>
    <phoneticPr fontId="13" type="noConversion"/>
  </si>
  <si>
    <t>針對人員抓量手法教育訓練，並增加線上抽秤頻率</t>
    <phoneticPr fontId="13" type="noConversion"/>
  </si>
  <si>
    <r>
      <rPr>
        <sz val="12"/>
        <color theme="1"/>
        <rFont val="Microsoft JhengHei"/>
        <family val="2"/>
      </rPr>
      <t>秤重標準差異</t>
    </r>
    <r>
      <rPr>
        <sz val="12"/>
        <color theme="1"/>
        <rFont val="Meiryo UI"/>
        <family val="2"/>
      </rPr>
      <t>造成超用</t>
    </r>
    <phoneticPr fontId="13" type="noConversion"/>
  </si>
  <si>
    <r>
      <t>針對人員</t>
    </r>
    <r>
      <rPr>
        <sz val="12"/>
        <color theme="1"/>
        <rFont val="Microsoft JhengHei"/>
        <family val="2"/>
      </rPr>
      <t>過磅標準</t>
    </r>
    <r>
      <rPr>
        <sz val="12"/>
        <color theme="1"/>
        <rFont val="Meiryo UI"/>
        <family val="2"/>
      </rPr>
      <t>教育訓練，並增加線上抽秤頻率，對比上週</t>
    </r>
    <r>
      <rPr>
        <sz val="12"/>
        <color theme="1"/>
        <rFont val="Microsoft JhengHei"/>
        <family val="2"/>
      </rPr>
      <t>減少0.1%</t>
    </r>
    <phoneticPr fontId="13" type="noConversion"/>
  </si>
  <si>
    <r>
      <t>針對人員</t>
    </r>
    <r>
      <rPr>
        <sz val="12"/>
        <color theme="1"/>
        <rFont val="Microsoft JhengHei"/>
        <family val="2"/>
      </rPr>
      <t>秤重標準</t>
    </r>
    <r>
      <rPr>
        <sz val="12"/>
        <color theme="1"/>
        <rFont val="Meiryo UI"/>
        <family val="2"/>
      </rPr>
      <t>教育訓練，並增加線上抽秤頻率</t>
    </r>
    <phoneticPr fontId="13" type="noConversion"/>
  </si>
  <si>
    <t>原物料肉片大小片差異，影響人員手感
針對人員秤重標準教育訓練，並增加線上抽秤頻率</t>
    <phoneticPr fontId="13" type="noConversion"/>
  </si>
  <si>
    <t>青花菜原物料規格大小差異造成超用剩餘料報廢
反映研發，後續開發列入考量，目前報廢量以穩定控制</t>
    <phoneticPr fontId="10"/>
  </si>
  <si>
    <t>煮麵單籃批量設定，餘料報廢
反映研發，後續開發列入考量，目前報廢量設定目標控制在單籃內</t>
    <phoneticPr fontId="10"/>
  </si>
  <si>
    <t>生產餘料報廢
增加線上抽秤頻率，調理展開量下修，並已採用多次補單方式執行</t>
    <phoneticPr fontId="13" type="noConversion"/>
  </si>
  <si>
    <t>抓量較不穩定造成超用餘料報廢
增加線上抽秤頻率，調理展開量下修，並已採用多次補單方式執行</t>
    <phoneticPr fontId="13" type="noConversion"/>
  </si>
  <si>
    <t>二配大飯糰泡菜鮪魚</t>
  </si>
  <si>
    <t>二配柚香雞胸五穀飯糰</t>
  </si>
  <si>
    <t>切-烤牛五花(115年)</t>
  </si>
  <si>
    <t>對切-烤蒜味香腸(台畜)</t>
  </si>
  <si>
    <t>蒸燻腸片</t>
  </si>
  <si>
    <t>西班牙烤雞腿丁(115年)</t>
  </si>
  <si>
    <t>煮蝦湯凍</t>
  </si>
  <si>
    <t>糖燻野郎三十天熟成牛飯(115年)</t>
  </si>
  <si>
    <t>七</t>
    <phoneticPr fontId="13" type="noConversion"/>
  </si>
  <si>
    <t>分切製程耗損導致報廢</t>
    <phoneticPr fontId="13" type="noConversion"/>
  </si>
  <si>
    <t>已加強人員分切製程教育訓練，降低規格異常與耗損</t>
    <phoneticPr fontId="13" type="noConversion"/>
  </si>
  <si>
    <r>
      <t>針對人員</t>
    </r>
    <r>
      <rPr>
        <sz val="12"/>
        <color theme="1"/>
        <rFont val="Microsoft JhengHei"/>
        <family val="2"/>
      </rPr>
      <t>過磅標準</t>
    </r>
    <r>
      <rPr>
        <sz val="12"/>
        <color theme="1"/>
        <rFont val="Meiryo UI"/>
        <family val="2"/>
      </rPr>
      <t>教育訓練，並增加線上抽秤頻率，</t>
    </r>
    <r>
      <rPr>
        <sz val="12"/>
        <color theme="1"/>
        <rFont val="Microsoft JhengHei"/>
        <family val="2"/>
        <charset val="136"/>
      </rPr>
      <t>持續控制超用百分比在1%內</t>
    </r>
    <phoneticPr fontId="13" type="noConversion"/>
  </si>
  <si>
    <t>菜梗、葉差異，影響人員放料手感抓量較不穩定造成超用</t>
    <phoneticPr fontId="13" type="noConversion"/>
  </si>
  <si>
    <t>強化截切及抓量標準化作業，落實人員教育訓練，並增加線上抽秤頻率。</t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</si>
  <si>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大小片差異，影響人員手感</t>
    </r>
    <phoneticPr fontId="13" type="noConversion"/>
  </si>
  <si>
    <r>
      <t>針對人員抓量手法教育訓練，並增加線上抽秤頻率，</t>
    </r>
    <r>
      <rPr>
        <sz val="12"/>
        <color theme="1"/>
        <rFont val="Microsoft JhengHei"/>
        <family val="2"/>
        <charset val="136"/>
      </rPr>
      <t>持續追查，超用量百分比逐步下降。</t>
    </r>
    <phoneticPr fontId="13" type="noConversion"/>
  </si>
  <si>
    <t>0630-0706 總合計↑</t>
    <phoneticPr fontId="13" type="noConversion"/>
  </si>
  <si>
    <t>八</t>
    <phoneticPr fontId="13" type="noConversion"/>
  </si>
  <si>
    <r>
      <rPr>
        <b/>
        <sz val="12"/>
        <color theme="1"/>
        <rFont val="Meiryo UI"/>
        <family val="2"/>
        <charset val="136"/>
      </rPr>
      <t>產</t>
    </r>
    <r>
      <rPr>
        <b/>
        <sz val="12"/>
        <color theme="1"/>
        <rFont val="Meiryo UI"/>
        <family val="2"/>
        <charset val="128"/>
      </rPr>
      <t>線配置圖－</t>
    </r>
    <r>
      <rPr>
        <b/>
        <sz val="12"/>
        <color theme="1"/>
        <rFont val="Meiryo UI"/>
        <family val="2"/>
        <charset val="136"/>
      </rPr>
      <t>每</t>
    </r>
    <r>
      <rPr>
        <b/>
        <sz val="12"/>
        <color theme="1"/>
        <rFont val="Meiryo UI"/>
        <family val="2"/>
        <charset val="128"/>
      </rPr>
      <t>週更新(0630-0706)</t>
    </r>
    <phoneticPr fontId="13" type="noConversion"/>
  </si>
  <si>
    <t>產線配置圖－每週更新(0630-0706)</t>
  </si>
  <si>
    <t>地中海布格麥烤魚餐盒</t>
  </si>
  <si>
    <t>加強蔬菜截切教育訓練，降低菜梗規格差異影響；增加線上抽秤頻率、下修展開量並採多次補單，提升用量精準度，降低報廢，對比前月百分比減少0.16%，報廢金額減少5011元</t>
    <phoneticPr fontId="13" type="noConversion"/>
  </si>
  <si>
    <t>冰杓定量作業、生產餘料報廢；下修調理展開量並採多次補單，降低報廢。</t>
    <phoneticPr fontId="13" type="noConversion"/>
  </si>
  <si>
    <t>加強蔬菜截切教育訓練，降低菜梗規格差異影響；增加線上抽秤頻率、下修展開量並採多次補單，提升用量精準度，降低報廢，對比前月對比前月百分比減少0.16%，報廢金額減少1447元。</t>
    <phoneticPr fontId="13" type="noConversion"/>
  </si>
  <si>
    <t>原因分析：原物料肉片規格大小不一，造成單片重量差異，人員秤重時不易控制，導致生產餘料報廢。改善:針對秤重上下限規範加強教育訓練及線上抽查，提升秤重一致性下修展開量並採多次補單降低餘料報廢。</t>
    <phoneticPr fontId="13" type="noConversion"/>
  </si>
  <si>
    <t>原物料大小顆差異大，影響單位重量及產出數量，產生餘料報廢，下修展開量並採多次補單降低餘料報廢。</t>
    <phoneticPr fontId="13" type="noConversion"/>
  </si>
  <si>
    <t>因烤箱製程蛋片厚薄規格存在差異，準備室於分切時進行篩選剔除，確保產品外觀及賣相穩定，造成剃除報廢。</t>
    <phoneticPr fontId="13" type="noConversion"/>
  </si>
  <si>
    <t>主要原因:烤盤產生炭渣，豆腐沾黏焦化物。對策:定期更換烤盤，制定烤盤更換時程</t>
    <phoneticPr fontId="13" type="noConversion"/>
  </si>
  <si>
    <t>主因:抓量較不穩定造成超用，導致餘料報廢。對策:調整人員分切方式，穩定產品長短一致性降低抓量誤差並減少超用及報廢。</t>
    <phoneticPr fontId="13" type="noConversion"/>
  </si>
  <si>
    <t>原因分析：
烤燉飯魚排於烤箱製程後魚肉質地較軟，線上人員拿取及收籃過程易因施力不當造成破損，進而產生報廢。
改善措施：已針對線上及收籃人員加強魚排拿取手法教育訓練，並教育輕拿輕放作業原則，降低作業過程破損風險。改善成效：經持續追蹤，魚排破損率已逐步下降</t>
    <phoneticPr fontId="13" type="noConversion"/>
  </si>
  <si>
    <t>原因分析： 人員分切規格異常，造成報廢。
改善措施： 加強分切規格教育訓練及線上抽查，提升分切一致性，降低製程報廢。</t>
    <phoneticPr fontId="13" type="noConversion"/>
  </si>
  <si>
    <t>主因:青花菜原物料規格偏大造成影響抓量手感，剩餘料報廢，以調整下修展開量報廢量持續減少，報廢數量已穩定控制在0.3%內，百分比對比前月減少0.05%，報廢金額減少2348元。</t>
    <phoneticPr fontId="13" type="noConversion"/>
  </si>
  <si>
    <t>主要原因:規格大小不穩定導致斷裂破損產生報廢，偏小比例增加導致報廢增加。對策:持續組裝前準備室先進行整理入籃，減少沾黏狀況，因調理斷裂組合可拼合使用，使用率提高。目前報廢率已控制在0.3%內。</t>
    <phoneticPr fontId="13" type="noConversion"/>
  </si>
  <si>
    <t>因煮中華冷麵採單籃批量設定生產，實際需求量無法完全符合整籃出料單位，造成生產結束後產生餘料報廢</t>
    <phoneticPr fontId="13" type="noConversion"/>
  </si>
  <si>
    <t>因煮烏龍冷麵採單籃批量設定生產，實際需求量無法完全符合整籃出料單位，造成生產結束後產生餘料報廢</t>
    <phoneticPr fontId="13" type="noConversion"/>
  </si>
  <si>
    <t>因煮白細麵生(方#5/膠片)採單籃批量設定生產，實際需求量無法完全符合整籃出料單位，造成生產結束後產生餘料報廢</t>
    <phoneticPr fontId="13" type="noConversion"/>
  </si>
  <si>
    <t>因煮傳統冷麵採單籃批量設定生產，實際需求量無法完全符合整籃出料單位，造成生產結束後產生餘料報廢</t>
    <phoneticPr fontId="13" type="noConversion"/>
  </si>
  <si>
    <t>主因:青花菜原物料規格偏大造成超用。對策:量測設定放料量範圍，後續開發列入考量調整，並持續針對人員抓量秤重進行教育訓練，目前用量已有穩定控制，對比前月超用率減少0.5%，金額減少11791元。</t>
    <phoneticPr fontId="13" type="noConversion"/>
  </si>
  <si>
    <t>(V)消毒小黃瓜絲因人員抓量穩定性問題，易產生超用情形；已加強人員教育訓練、提高抽秤頻率，用量控制成效持續改善。</t>
    <phoneticPr fontId="13" type="noConversion"/>
  </si>
  <si>
    <t>持續優化充填設備參數設定，並加強作業人員用量確認及抽秤管理；同步評估充填噴口規格及定量穩定性，提升配量準確度。</t>
    <phoneticPr fontId="13" type="noConversion"/>
  </si>
  <si>
    <t>主因:青花菜原物料規格偏大造成超用。對策:量測設定放料量範圍，後續開發列入考量調整，並持續針對人員抓量秤重進行教育訓練，超用率對比前月減少0.6%，超用金額減少1516元。</t>
    <phoneticPr fontId="13" type="noConversion"/>
  </si>
  <si>
    <t>針對各類麵體建立單條重量管理基準，並加強秤麵人員重量上下限規範教育訓練及用量追蹤管理，提升配量準確度。對比前月用量有逐步下降。超用量對比前月下降0.1%百分比，超用金額減少7091元</t>
    <phoneticPr fontId="13" type="noConversion"/>
  </si>
  <si>
    <t>切烤雞胸肉（111年）因原物料肉片大小差異影響分切規格穩定性，已調整分切方式強化厚薄控制，規格異常情形持續改善，超用率對比前月減少0.3%，超用金額減少7648元。</t>
    <phoneticPr fontId="13" type="noConversion"/>
  </si>
  <si>
    <t>針對各類麵體建立單條重量管理基準，並加強秤麵人員重量上下限規範教育訓練及用量追蹤管理，提升配量準確度。</t>
    <phoneticPr fontId="13" type="noConversion"/>
  </si>
  <si>
    <t>針對各類麵體建立單條重量管理基準，並加強秤麵人員重量上下限規範教育訓練及用量追蹤管理，提升配量準確度。超用量逐步下降對比前月下降0.5%百分比。</t>
    <phoneticPr fontId="13" type="noConversion"/>
  </si>
  <si>
    <t>秤重標準差異造成超用
針對人員過磅標準教育訓練，並增加線上抽秤頻率，持續控制超用百分比在1%內</t>
    <phoneticPr fontId="13" type="noConversion"/>
  </si>
  <si>
    <r>
      <t>06</t>
    </r>
    <r>
      <rPr>
        <sz val="12"/>
        <color rgb="FF000000"/>
        <rFont val="新細明體"/>
        <family val="2"/>
        <charset val="136"/>
      </rPr>
      <t>30</t>
    </r>
    <r>
      <rPr>
        <sz val="12"/>
        <color rgb="FF000000"/>
        <rFont val="Meiryo UI"/>
        <family val="2"/>
      </rPr>
      <t>-0</t>
    </r>
    <r>
      <rPr>
        <sz val="12"/>
        <color rgb="FF000000"/>
        <rFont val="新細明體"/>
        <family val="2"/>
        <charset val="136"/>
      </rPr>
      <t>706</t>
    </r>
    <phoneticPr fontId="13" type="noConversion"/>
  </si>
  <si>
    <t>蒸-全熟雞肉絲CL(113年)</t>
  </si>
  <si>
    <t>煮茄汁豆腐</t>
  </si>
  <si>
    <t>餐盒用-三色高麗菜</t>
  </si>
  <si>
    <t>新冷凍銀鮭碎肉</t>
  </si>
  <si>
    <t>超用A(多展)</t>
    <phoneticPr fontId="13" type="noConversion"/>
  </si>
  <si>
    <t>超用B(多展-報廢)</t>
    <phoneticPr fontId="13" type="noConversion"/>
  </si>
  <si>
    <r>
      <t>超用A(</t>
    </r>
    <r>
      <rPr>
        <sz val="12"/>
        <rFont val="細明體"/>
        <family val="3"/>
        <charset val="136"/>
      </rPr>
      <t>多展)</t>
    </r>
    <phoneticPr fontId="13" type="noConversion"/>
  </si>
  <si>
    <r>
      <t>7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</si>
  <si>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t>反映研發，後續開發列入考量，目前報廢量以穩定控制</t>
  </si>
  <si>
    <t>煮麵單籃批量設定，餘料報廢</t>
  </si>
  <si>
    <t>反映研發，後續開發列入考量，目前報廢量設定目標控制在單籃內</t>
  </si>
  <si>
    <t>生產餘料報廢</t>
  </si>
  <si>
    <t>抓量較不穩定造成超用餘料報廢</t>
  </si>
  <si>
    <t>生產前確認標準定量的機台設定，生產中抽查確認設定及實際出料重量，餘料報廢。</t>
  </si>
  <si>
    <t>原物料肉片的大小塊差異超用剩餘料報廢</t>
  </si>
  <si>
    <t>加強分切規格控管與線上抓量教育訓練，降低規格落差及剩料</t>
  </si>
  <si>
    <t>原物料規格大小顆，影響產出數量</t>
  </si>
  <si>
    <t>反映研發，後續開發列入考量</t>
  </si>
  <si>
    <t>原物料規格大小顆，影響抓量手感，生產餘料報廢</t>
  </si>
  <si>
    <t>秤重標準差異造成超用</t>
  </si>
  <si>
    <t>針對人員過磅標準教育訓練，並增加線上抽秤頻率，持續控制超用百分比在1%內</t>
  </si>
  <si>
    <t>菜梗、葉差異，影響人員放料手感抓量較不穩定造成超用</t>
  </si>
  <si>
    <t>強化截切及抓量標準化作業，落實人員教育訓練，並增加線上抽秤頻率。</t>
  </si>
  <si>
    <t>確認分切工程穩定分切長度減少規格異常，再針對抓量手法教育訓練，並增加線上抽秤頻率。</t>
  </si>
  <si>
    <t>操作方式冰杓定量，人員手法差異導致超用</t>
  </si>
  <si>
    <t>針對人員手法教育訓練，並增加線上抽秤頻率。</t>
  </si>
  <si>
    <t>原物料肉塊大小片差異，影響人員手感</t>
  </si>
  <si>
    <t>針對人員秤重標準教育訓練，並增加線上抽秤頻率</t>
  </si>
  <si>
    <t>新品一週,達成率穩定提升中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</si>
  <si>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性前幾名品項(0707-0713)</t>
    </r>
    <phoneticPr fontId="13" type="noConversion"/>
  </si>
  <si>
    <t>轉回便二生產,人數少1</t>
    <phoneticPr fontId="13" type="noConversion"/>
  </si>
  <si>
    <t>（８）報廢原因別前幾名品項(0630-0706)</t>
    <phoneticPr fontId="13" type="noConversion"/>
  </si>
  <si>
    <t>原物料肉塊大小片差異，影響人員手感
針對人員秤重標準教育訓練，並增加線上抽秤頻率</t>
    <phoneticPr fontId="13" type="noConversion"/>
  </si>
  <si>
    <t>菜梗、葉差異，影響人員放料手感抓量較不穩定造成超用
強化截切及抓量標準化作業，落實人員教育訓練，並增加線上抽秤頻率。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</si>
  <si>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性前幾名品項(0714-0720)</t>
    </r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</si>
  <si>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週更新(0707-0713)</t>
    </r>
    <phoneticPr fontId="13" type="noConversion"/>
  </si>
  <si>
    <t>產線配置圖－每週更新(0707-0713)</t>
  </si>
  <si>
    <t>金門高粱香腸飯糰</t>
  </si>
  <si>
    <t>日式鮭魚茶泡烤飯</t>
  </si>
  <si>
    <t>日式蕎麥沾麵</t>
  </si>
  <si>
    <t>0707-0713 總合計↑</t>
    <phoneticPr fontId="13" type="noConversion"/>
  </si>
  <si>
    <t>7月總報廢合計</t>
    <phoneticPr fontId="13" type="noConversion"/>
  </si>
  <si>
    <t>7月總報廢率</t>
    <phoneticPr fontId="13" type="noConversion"/>
  </si>
  <si>
    <r>
      <t>7月總超用A合計金額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</si>
  <si>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r>
      <t>7月總超用率A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</si>
  <si>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t>7月總超用B合計金額
(多展-報廢)</t>
    <phoneticPr fontId="13" type="noConversion"/>
  </si>
  <si>
    <t>7月總超用率B
(多展-報廢)</t>
    <phoneticPr fontId="13" type="noConversion"/>
  </si>
  <si>
    <t>廢棄週合計</t>
    <phoneticPr fontId="13" type="noConversion"/>
  </si>
  <si>
    <t>超用週合計</t>
    <phoneticPr fontId="13" type="noConversion"/>
  </si>
  <si>
    <t>日期</t>
    <phoneticPr fontId="80" type="noConversion"/>
  </si>
  <si>
    <t>報廢額</t>
    <phoneticPr fontId="80" type="noConversion"/>
  </si>
  <si>
    <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  <phoneticPr fontId="13" type="noConversion"/>
  </si>
  <si>
    <t>超用額A</t>
    <phoneticPr fontId="80" type="noConversion"/>
  </si>
  <si>
    <t>超用率A</t>
    <phoneticPr fontId="13" type="noConversion"/>
  </si>
  <si>
    <t>超用額B</t>
    <phoneticPr fontId="80" type="noConversion"/>
  </si>
  <si>
    <t>超用率B</t>
    <phoneticPr fontId="13" type="noConversion"/>
  </si>
  <si>
    <t>營業額合計</t>
    <phoneticPr fontId="80" type="noConversion"/>
  </si>
  <si>
    <r>
      <rPr>
        <sz val="12"/>
        <color rgb="FF000000"/>
        <rFont val="新細明體"/>
        <family val="2"/>
        <charset val="136"/>
      </rPr>
      <t>0707</t>
    </r>
    <r>
      <rPr>
        <sz val="12"/>
        <color rgb="FF000000"/>
        <rFont val="Meiryo UI"/>
        <family val="2"/>
      </rPr>
      <t>-07</t>
    </r>
    <r>
      <rPr>
        <sz val="12"/>
        <color rgb="FF000000"/>
        <rFont val="新細明體"/>
        <family val="2"/>
        <charset val="136"/>
      </rPr>
      <t>13</t>
    </r>
    <phoneticPr fontId="13" type="noConversion"/>
  </si>
  <si>
    <t>煮熊本蕎麥生麵(角#18)</t>
  </si>
  <si>
    <t>泡飯-柴魚湯凍(115年)</t>
  </si>
  <si>
    <t>川燙青白花菜</t>
  </si>
  <si>
    <t>炒筍絲冬粉</t>
  </si>
  <si>
    <t>水煮毛豆仁(111年)</t>
  </si>
  <si>
    <t>烤厚烘蔥蛋(114年)</t>
    <phoneticPr fontId="13" type="noConversion"/>
  </si>
  <si>
    <t>調味鮭魚熟碎肉CL</t>
  </si>
  <si>
    <t>炒酸菜豬絞肉</t>
  </si>
  <si>
    <t>人時生產性維持穩定</t>
    <phoneticPr fontId="13" type="noConversion"/>
  </si>
  <si>
    <t>手工貼金酒小標,人數配置+1人</t>
    <phoneticPr fontId="13" type="noConversion"/>
  </si>
  <si>
    <t>九億包裝機產速提升</t>
    <phoneticPr fontId="13" type="noConversion"/>
  </si>
  <si>
    <t>上蓋操作困難,人時性不佳</t>
    <phoneticPr fontId="13" type="noConversion"/>
  </si>
  <si>
    <r>
      <rPr>
        <sz val="11"/>
        <color theme="1"/>
        <rFont val="細明體"/>
        <family val="2"/>
        <charset val="136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細明體"/>
        <family val="2"/>
        <charset val="136"/>
      </rPr>
      <t>人時性提升中</t>
    </r>
    <phoneticPr fontId="13" type="noConversion"/>
  </si>
  <si>
    <r>
      <t>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前確認標準定量的機台設定，生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中抽</t>
    </r>
    <r>
      <rPr>
        <sz val="12"/>
        <color theme="1"/>
        <rFont val="細明體"/>
        <family val="3"/>
        <charset val="136"/>
      </rPr>
      <t>查</t>
    </r>
    <r>
      <rPr>
        <sz val="12"/>
        <color theme="1"/>
        <rFont val="Meiryo UI"/>
        <family val="2"/>
      </rPr>
      <t>確認設定及實際出料重量，針對注餡機噴口調整持續確認用量</t>
    </r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</si>
  <si>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r>
      <rPr>
        <sz val="12"/>
        <color theme="1"/>
        <rFont val="Meiryo UI"/>
        <family val="2"/>
      </rPr>
      <t>，針對注餡機</t>
    </r>
    <r>
      <rPr>
        <sz val="12"/>
        <color theme="1"/>
        <rFont val="微軟正黑體"/>
        <family val="2"/>
        <charset val="136"/>
      </rPr>
      <t>噴口調整持續確認用量</t>
    </r>
    <phoneticPr fontId="13" type="noConversion"/>
  </si>
  <si>
    <r>
      <t>原物料規格大</t>
    </r>
    <r>
      <rPr>
        <sz val="12"/>
        <color theme="1"/>
        <rFont val="Microsoft JhengHei"/>
        <family val="2"/>
      </rPr>
      <t>小差異</t>
    </r>
    <r>
      <rPr>
        <sz val="12"/>
        <color theme="1"/>
        <rFont val="Meiryo UI"/>
        <family val="2"/>
      </rPr>
      <t>造成超用</t>
    </r>
    <r>
      <rPr>
        <sz val="12"/>
        <color theme="1"/>
        <rFont val="Microsoft JhengHei"/>
        <family val="2"/>
      </rPr>
      <t>剩餘料報廢</t>
    </r>
    <phoneticPr fontId="13" type="noConversion"/>
  </si>
  <si>
    <t>原物料規格差異及人員手法不穩定導致餘料報廢</t>
    <phoneticPr fontId="13" type="noConversion"/>
  </si>
  <si>
    <t>加強操作教育訓練，調理展開量下修，並已採用多次補單方式執行</t>
    <phoneticPr fontId="13" type="noConversion"/>
  </si>
  <si>
    <t>烤箱製程狀態不符導致報廢</t>
    <phoneticPr fontId="13" type="noConversion"/>
  </si>
  <si>
    <t>確認烘烤溫度、時間及設備參數，落實確認與製程巡檢</t>
    <phoneticPr fontId="13" type="noConversion"/>
  </si>
  <si>
    <t>（８）報廢原因別前幾名品項(0707-0713)</t>
    <phoneticPr fontId="13" type="noConversion"/>
  </si>
  <si>
    <t>（８）報廢原因別前幾名品項(0714-0720)</t>
    <phoneticPr fontId="13" type="noConversion"/>
  </si>
  <si>
    <t>原物料規格大小差異造成超用剩餘料報廢
反映研發，後續開發列入考量，目前報廢量以穩定控制</t>
    <phoneticPr fontId="13" type="noConversion"/>
  </si>
  <si>
    <t>原物料規格差異及人員手法不穩定導致餘料報廢
加強操作教育訓練，調理展開量下修，並已採用多次補單方式執行</t>
    <phoneticPr fontId="13" type="noConversion"/>
  </si>
  <si>
    <t>抓量較不穩定造成超用
生產前確認標準定量的機台設定，生產中抽查確認設定及實際出料重量，針對注餡機噴口調整持續確認用量</t>
    <phoneticPr fontId="13" type="noConversion"/>
  </si>
  <si>
    <t>注餡機機台工差設定確認
生產前確認標準定量的機台設定，生產中抽查確認設定及實際出料重量，針對注餡機噴口調整持續確認用量</t>
    <phoneticPr fontId="13" type="noConversion"/>
  </si>
  <si>
    <t>W3</t>
    <phoneticPr fontId="13" type="noConversion"/>
  </si>
  <si>
    <t>0714-0720 總合計↑</t>
    <phoneticPr fontId="13" type="noConversion"/>
  </si>
  <si>
    <r>
      <t>（５）品群別人時生</t>
    </r>
    <r>
      <rPr>
        <b/>
        <sz val="12"/>
        <color theme="1"/>
        <rFont val="Meiryo UI"/>
        <family val="3"/>
        <charset val="136"/>
      </rPr>
      <t>產</t>
    </r>
    <r>
      <rPr>
        <b/>
        <sz val="12"/>
        <color theme="1"/>
        <rFont val="Meiryo UI"/>
        <family val="2"/>
        <charset val="128"/>
      </rPr>
      <t>性</t>
    </r>
    <phoneticPr fontId="10"/>
  </si>
  <si>
    <t>一配筋子銀鮭飯糰</t>
  </si>
  <si>
    <t>產線配置圖－每週更新(0714-0720)</t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</si>
  <si>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週更新(0714-0720)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</si>
  <si>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性前幾名品項(0721-0728)</t>
    </r>
    <phoneticPr fontId="13" type="noConversion"/>
  </si>
  <si>
    <r>
      <rPr>
        <sz val="12"/>
        <color rgb="FF000000"/>
        <rFont val="Meiryo UI"/>
        <family val="2"/>
      </rPr>
      <t>07</t>
    </r>
    <r>
      <rPr>
        <sz val="12"/>
        <color rgb="FF000000"/>
        <rFont val="新細明體"/>
        <family val="2"/>
        <charset val="136"/>
      </rPr>
      <t>14</t>
    </r>
    <r>
      <rPr>
        <sz val="12"/>
        <color rgb="FF000000"/>
        <rFont val="Meiryo UI"/>
        <family val="2"/>
      </rPr>
      <t>-07</t>
    </r>
    <r>
      <rPr>
        <sz val="12"/>
        <color rgb="FF000000"/>
        <rFont val="新細明體"/>
        <family val="2"/>
        <charset val="136"/>
      </rPr>
      <t>20</t>
    </r>
    <phoneticPr fontId="13" type="noConversion"/>
  </si>
  <si>
    <r>
      <rPr>
        <sz val="12"/>
        <color rgb="FF000000"/>
        <rFont val="Meiryo UI"/>
        <family val="2"/>
      </rPr>
      <t>07</t>
    </r>
    <r>
      <rPr>
        <sz val="12"/>
        <color rgb="FF000000"/>
        <rFont val="新細明體"/>
        <family val="2"/>
        <charset val="136"/>
      </rPr>
      <t>21</t>
    </r>
    <r>
      <rPr>
        <sz val="12"/>
        <color rgb="FF000000"/>
        <rFont val="Meiryo UI"/>
        <family val="2"/>
      </rPr>
      <t>-07</t>
    </r>
    <r>
      <rPr>
        <sz val="12"/>
        <color rgb="FF000000"/>
        <rFont val="新細明體"/>
        <family val="2"/>
        <charset val="136"/>
      </rPr>
      <t>27</t>
    </r>
    <phoneticPr fontId="13" type="noConversion"/>
  </si>
  <si>
    <t>義式炒洋菇片(115年)</t>
  </si>
  <si>
    <t>炒黑胡椒豆芽(餐盒)</t>
  </si>
  <si>
    <t>蒸燻腸片</t>
    <phoneticPr fontId="13" type="noConversion"/>
  </si>
  <si>
    <r>
      <t>炒蝦仁(9號)(大飯</t>
    </r>
    <r>
      <rPr>
        <sz val="12"/>
        <color rgb="FF000000"/>
        <rFont val="微軟正黑體"/>
        <family val="2"/>
        <charset val="136"/>
      </rPr>
      <t>糰</t>
    </r>
    <r>
      <rPr>
        <sz val="12"/>
        <color rgb="FF000000"/>
        <rFont val="Meiryo UI"/>
        <family val="2"/>
        <charset val="128"/>
      </rPr>
      <t>)</t>
    </r>
    <phoneticPr fontId="13" type="noConversion"/>
  </si>
  <si>
    <t>烤照燒雞腿丁</t>
    <phoneticPr fontId="13" type="noConversion"/>
  </si>
  <si>
    <t>焗飯-奶香白醬(114年)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</si>
</sst>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.00_ "/>
  </numFmts>
  <fonts count="13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0"/>
      <color rgb="FF000000"/>
      <name val="Microsoft JhengHei UI"/>
      <family val="2"/>
      <charset val="136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theme="1"/>
      <name val="Noto Sans CJK SC"/>
      <family val="2"/>
    </font>
    <font>
      <sz val="11"/>
      <color theme="1"/>
      <name val="Calibri"/>
      <family val="2"/>
    </font>
    <font>
      <sz val="12"/>
      <color theme="1"/>
      <name val="Microsoft JhengHei"/>
      <family val="2"/>
      <charset val="136"/>
    </font>
    <font>
      <sz val="12"/>
      <color rgb="FF000000"/>
      <name val="Microsoft JhengHei"/>
      <family val="2"/>
    </font>
    <font>
      <sz val="12"/>
      <color rgb="FF000000"/>
      <name val="新細明體"/>
      <family val="2"/>
      <charset val="136"/>
    </font>
    <font>
      <b/>
      <sz val="12"/>
      <color theme="1"/>
      <name val="Meiryo UI"/>
      <family val="2"/>
      <charset val="136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2"/>
      <color rgb="FF000000"/>
      <name val="Meiryo UI"/>
      <family val="2"/>
      <charset val="136"/>
    </font>
    <font>
      <sz val="11"/>
      <color theme="1"/>
      <name val="Meiryo UI"/>
      <family val="2"/>
      <charset val="136"/>
    </font>
    <font>
      <sz val="11"/>
      <color theme="1"/>
      <name val="細明體"/>
      <family val="2"/>
      <charset val="136"/>
    </font>
    <font>
      <b/>
      <sz val="12"/>
      <color theme="1"/>
      <name val="Meiryo UI"/>
      <family val="3"/>
      <charset val="136"/>
    </font>
    <font>
      <sz val="10"/>
      <name val="Meiryo UI"/>
      <family val="2"/>
      <charset val="128"/>
    </font>
    <font>
      <sz val="12"/>
      <color rgb="FF000000"/>
      <name val="Meiryo UI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9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84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6" fillId="0" borderId="0" xfId="0" applyFont="1"/>
    <xf numFmtId="0" fontId="48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49" fillId="0" borderId="22" xfId="0" applyFont="1" applyBorder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58" fillId="0" borderId="0" xfId="11" applyNumberFormat="1" applyFont="1" applyAlignment="1">
      <alignment shrinkToFit="1"/>
    </xf>
    <xf numFmtId="0" fontId="43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3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0" xfId="11" applyFont="1" applyAlignment="1">
      <alignment horizontal="center" vertical="center"/>
    </xf>
    <xf numFmtId="0" fontId="7" fillId="0" borderId="0" xfId="5"/>
    <xf numFmtId="0" fontId="64" fillId="9" borderId="30" xfId="5" applyFont="1" applyFill="1" applyBorder="1"/>
    <xf numFmtId="0" fontId="64" fillId="0" borderId="0" xfId="5" applyFont="1"/>
    <xf numFmtId="0" fontId="64" fillId="0" borderId="22" xfId="5" applyFont="1" applyBorder="1"/>
    <xf numFmtId="0" fontId="64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vertical="center" shrinkToFit="1"/>
    </xf>
    <xf numFmtId="0" fontId="31" fillId="5" borderId="23" xfId="11" applyFont="1" applyFill="1" applyBorder="1" applyAlignment="1">
      <alignment horizontal="center" vertical="center"/>
    </xf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7" fillId="0" borderId="22" xfId="0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57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57" fillId="5" borderId="22" xfId="0" applyFont="1" applyFill="1" applyBorder="1" applyAlignment="1">
      <alignment horizontal="center" shrinkToFit="1"/>
    </xf>
    <xf numFmtId="0" fontId="57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57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1" fontId="57" fillId="0" borderId="22" xfId="0" applyNumberFormat="1" applyFont="1" applyBorder="1" applyAlignment="1">
      <alignment shrinkToFit="1"/>
    </xf>
    <xf numFmtId="183" fontId="57" fillId="0" borderId="22" xfId="0" applyNumberFormat="1" applyFont="1" applyBorder="1" applyAlignment="1">
      <alignment shrinkToFit="1"/>
    </xf>
    <xf numFmtId="0" fontId="57" fillId="0" borderId="22" xfId="0" applyFont="1" applyBorder="1" applyAlignment="1">
      <alignment horizontal="right" shrinkToFit="1"/>
    </xf>
    <xf numFmtId="1" fontId="72" fillId="0" borderId="22" xfId="0" applyNumberFormat="1" applyFont="1" applyBorder="1" applyAlignment="1">
      <alignment shrinkToFit="1"/>
    </xf>
    <xf numFmtId="183" fontId="72" fillId="0" borderId="22" xfId="0" applyNumberFormat="1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8" fillId="0" borderId="67" xfId="0" applyFont="1" applyBorder="1" applyAlignment="1">
      <alignment horizontal="left" vertical="center"/>
    </xf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4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0" fontId="67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3" fillId="0" borderId="0" xfId="11" applyNumberFormat="1" applyFont="1" applyAlignment="1">
      <alignment shrinkToFit="1"/>
    </xf>
    <xf numFmtId="0" fontId="58" fillId="0" borderId="6" xfId="11" applyFont="1" applyBorder="1" applyAlignment="1">
      <alignment horizontal="center" shrinkToFit="1"/>
    </xf>
    <xf numFmtId="0" fontId="58" fillId="0" borderId="1" xfId="11" applyFont="1" applyBorder="1" applyAlignment="1">
      <alignment horizontal="center" shrinkToFit="1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4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76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4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4" fillId="0" borderId="1" xfId="11" applyFont="1" applyBorder="1" applyAlignment="1">
      <alignment horizontal="left" vertical="center" shrinkToFit="1"/>
    </xf>
    <xf numFmtId="0" fontId="68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4" fillId="0" borderId="55" xfId="11" applyFont="1" applyBorder="1" applyAlignment="1">
      <alignment horizontal="left" vertical="center" shrinkToFit="1"/>
    </xf>
    <xf numFmtId="0" fontId="76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4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5" fontId="83" fillId="0" borderId="22" xfId="0" applyNumberFormat="1" applyFont="1" applyBorder="1" applyAlignment="1">
      <alignment shrinkToFit="1"/>
    </xf>
    <xf numFmtId="177" fontId="14" fillId="9" borderId="22" xfId="0" applyNumberFormat="1" applyFont="1" applyFill="1" applyBorder="1"/>
    <xf numFmtId="0" fontId="58" fillId="0" borderId="0" xfId="0" applyFont="1" applyAlignment="1">
      <alignment shrinkToFit="1"/>
    </xf>
    <xf numFmtId="0" fontId="66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68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57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66" fillId="0" borderId="0" xfId="11" applyFont="1" applyAlignment="1">
      <alignment vertical="center" shrinkToFit="1"/>
    </xf>
    <xf numFmtId="0" fontId="66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68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68" fillId="0" borderId="0" xfId="11" applyFont="1" applyAlignment="1">
      <alignment horizontal="left" vertical="center"/>
    </xf>
    <xf numFmtId="0" fontId="68" fillId="0" borderId="67" xfId="11" applyFont="1" applyBorder="1" applyAlignment="1">
      <alignment horizontal="left" vertical="center"/>
    </xf>
    <xf numFmtId="0" fontId="28" fillId="2" borderId="72" xfId="11" applyFont="1" applyFill="1" applyBorder="1" applyAlignment="1">
      <alignment horizontal="center" vertical="center" shrinkToFit="1"/>
    </xf>
    <xf numFmtId="10" fontId="28" fillId="3" borderId="73" xfId="11" applyNumberFormat="1" applyFont="1" applyFill="1" applyBorder="1" applyAlignment="1">
      <alignment horizontal="center" vertical="center" shrinkToFit="1"/>
    </xf>
    <xf numFmtId="0" fontId="28" fillId="2" borderId="74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0" fontId="11" fillId="2" borderId="74" xfId="11" applyFont="1" applyFill="1" applyBorder="1" applyAlignment="1">
      <alignment horizontal="center" shrinkToFit="1"/>
    </xf>
    <xf numFmtId="1" fontId="7" fillId="3" borderId="76" xfId="11" applyNumberFormat="1" applyFont="1" applyFill="1" applyBorder="1" applyAlignment="1">
      <alignment shrinkToFit="1"/>
    </xf>
    <xf numFmtId="0" fontId="28" fillId="0" borderId="77" xfId="11" applyFont="1" applyBorder="1" applyAlignment="1">
      <alignment vertical="center"/>
    </xf>
    <xf numFmtId="192" fontId="57" fillId="0" borderId="22" xfId="0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57" fillId="0" borderId="22" xfId="11" applyFont="1" applyBorder="1" applyAlignment="1">
      <alignment horizontal="center" vertical="center" shrinkToFit="1"/>
    </xf>
    <xf numFmtId="1" fontId="28" fillId="3" borderId="78" xfId="11" applyNumberFormat="1" applyFont="1" applyFill="1" applyBorder="1" applyAlignment="1">
      <alignment vertical="center" shrinkToFit="1"/>
    </xf>
    <xf numFmtId="0" fontId="28" fillId="0" borderId="71" xfId="1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0" fontId="28" fillId="0" borderId="22" xfId="11" applyFont="1" applyBorder="1" applyAlignment="1">
      <alignment vertical="center"/>
    </xf>
    <xf numFmtId="0" fontId="28" fillId="0" borderId="57" xfId="11" applyFont="1" applyBorder="1" applyAlignment="1">
      <alignment vertical="center"/>
    </xf>
    <xf numFmtId="0" fontId="28" fillId="0" borderId="58" xfId="11" applyFont="1" applyBorder="1" applyAlignment="1">
      <alignment vertical="center"/>
    </xf>
    <xf numFmtId="0" fontId="28" fillId="0" borderId="61" xfId="11" applyFont="1" applyBorder="1" applyAlignment="1">
      <alignment vertical="center"/>
    </xf>
    <xf numFmtId="0" fontId="31" fillId="0" borderId="22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6" fillId="5" borderId="22" xfId="22" applyFont="1" applyFill="1" applyBorder="1" applyAlignment="1">
      <alignment horizontal="center" vertical="center"/>
    </xf>
    <xf numFmtId="196" fontId="36" fillId="0" borderId="22" xfId="11" applyNumberFormat="1" applyFont="1" applyBorder="1" applyAlignment="1">
      <alignment horizontal="center" vertical="center"/>
    </xf>
    <xf numFmtId="197" fontId="36" fillId="9" borderId="22" xfId="11" applyNumberFormat="1" applyFont="1" applyFill="1" applyBorder="1" applyAlignment="1">
      <alignment horizontal="center" vertical="center"/>
    </xf>
    <xf numFmtId="0" fontId="94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92" fillId="0" borderId="0" xfId="11" applyFont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left" vertical="center"/>
    </xf>
    <xf numFmtId="0" fontId="94" fillId="0" borderId="0" xfId="11" applyFont="1" applyAlignment="1">
      <alignment horizontal="center" vertical="center"/>
    </xf>
    <xf numFmtId="1" fontId="61" fillId="0" borderId="79" xfId="11" applyNumberFormat="1" applyFont="1" applyBorder="1" applyAlignment="1">
      <alignment horizontal="center" vertical="center"/>
    </xf>
    <xf numFmtId="9" fontId="31" fillId="0" borderId="79" xfId="13" applyFont="1" applyBorder="1" applyAlignment="1">
      <alignment horizontal="center"/>
    </xf>
    <xf numFmtId="1" fontId="31" fillId="0" borderId="69" xfId="11" applyNumberFormat="1" applyFont="1" applyBorder="1" applyAlignment="1">
      <alignment horizontal="center" vertical="center"/>
    </xf>
    <xf numFmtId="1" fontId="31" fillId="0" borderId="22" xfId="11" applyNumberFormat="1" applyFont="1" applyBorder="1" applyAlignment="1">
      <alignment horizontal="center" vertical="center"/>
    </xf>
    <xf numFmtId="0" fontId="28" fillId="0" borderId="68" xfId="11" applyFont="1" applyBorder="1" applyAlignment="1">
      <alignment vertical="center"/>
    </xf>
    <xf numFmtId="0" fontId="11" fillId="2" borderId="5" xfId="11" applyFont="1" applyFill="1" applyBorder="1" applyAlignment="1">
      <alignment horizontal="center" vertical="center" shrinkToFit="1"/>
    </xf>
    <xf numFmtId="0" fontId="28" fillId="0" borderId="59" xfId="11" applyFont="1" applyBorder="1" applyAlignment="1">
      <alignment vertical="center"/>
    </xf>
    <xf numFmtId="0" fontId="28" fillId="0" borderId="80" xfId="11" applyFont="1" applyBorder="1" applyAlignment="1">
      <alignment vertical="center"/>
    </xf>
    <xf numFmtId="0" fontId="88" fillId="0" borderId="22" xfId="11" applyFont="1" applyBorder="1" applyAlignment="1">
      <alignment horizontal="center" vertical="center"/>
    </xf>
    <xf numFmtId="0" fontId="14" fillId="0" borderId="0" xfId="11" applyFont="1" applyAlignment="1">
      <alignment horizontal="center" shrinkToFit="1"/>
    </xf>
    <xf numFmtId="10" fontId="7" fillId="0" borderId="65" xfId="11" applyNumberFormat="1" applyFont="1" applyBorder="1" applyAlignment="1">
      <alignment vertical="center" shrinkToFit="1"/>
    </xf>
    <xf numFmtId="183" fontId="14" fillId="0" borderId="0" xfId="0" applyNumberFormat="1" applyFont="1" applyAlignment="1">
      <alignment horizontal="center" vertical="center" shrinkToFit="1"/>
    </xf>
    <xf numFmtId="183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vertical="center" shrinkToFit="1"/>
    </xf>
    <xf numFmtId="0" fontId="95" fillId="0" borderId="0" xfId="0" applyFont="1" applyAlignment="1">
      <alignment shrinkToFit="1"/>
    </xf>
    <xf numFmtId="0" fontId="7" fillId="0" borderId="81" xfId="11" applyFont="1" applyBorder="1" applyAlignment="1">
      <alignment vertical="center" shrinkToFit="1"/>
    </xf>
    <xf numFmtId="1" fontId="7" fillId="3" borderId="76" xfId="0" applyNumberFormat="1" applyFont="1" applyFill="1" applyBorder="1" applyAlignment="1">
      <alignment shrinkToFit="1"/>
    </xf>
    <xf numFmtId="0" fontId="96" fillId="0" borderId="0" xfId="0" applyFont="1" applyAlignment="1">
      <alignment horizontal="left" vertical="center" indent="1"/>
    </xf>
    <xf numFmtId="0" fontId="66" fillId="0" borderId="0" xfId="0" applyFont="1" applyAlignment="1">
      <alignment horizontal="left" vertical="center" indent="2"/>
    </xf>
    <xf numFmtId="0" fontId="66" fillId="0" borderId="0" xfId="11" applyFont="1"/>
    <xf numFmtId="0" fontId="66" fillId="0" borderId="0" xfId="11" applyFont="1" applyAlignment="1">
      <alignment horizontal="left" vertical="center"/>
    </xf>
    <xf numFmtId="0" fontId="66" fillId="0" borderId="0" xfId="11" applyFont="1" applyAlignment="1">
      <alignment horizontal="left" vertical="center" indent="2"/>
    </xf>
    <xf numFmtId="0" fontId="96" fillId="0" borderId="0" xfId="11" applyFont="1" applyAlignment="1">
      <alignment horizontal="left" vertical="center" indent="1"/>
    </xf>
    <xf numFmtId="0" fontId="96" fillId="0" borderId="0" xfId="11" applyFont="1" applyAlignment="1">
      <alignment horizontal="left" vertical="center"/>
    </xf>
    <xf numFmtId="0" fontId="66" fillId="0" borderId="0" xfId="0" applyFont="1" applyAlignment="1">
      <alignment shrinkToFit="1"/>
    </xf>
    <xf numFmtId="0" fontId="66" fillId="0" borderId="0" xfId="0" applyFont="1"/>
    <xf numFmtId="3" fontId="28" fillId="6" borderId="22" xfId="0" applyNumberFormat="1" applyFont="1" applyFill="1" applyBorder="1" applyAlignment="1">
      <alignment shrinkToFit="1"/>
    </xf>
    <xf numFmtId="0" fontId="97" fillId="0" borderId="83" xfId="11" applyFont="1" applyBorder="1" applyAlignment="1">
      <alignment horizontal="center" vertical="center"/>
    </xf>
    <xf numFmtId="0" fontId="97" fillId="0" borderId="84" xfId="11" applyFont="1" applyBorder="1" applyAlignment="1">
      <alignment horizontal="center" vertical="center"/>
    </xf>
    <xf numFmtId="196" fontId="98" fillId="0" borderId="22" xfId="11" applyNumberFormat="1" applyFont="1" applyBorder="1" applyAlignment="1">
      <alignment horizontal="right" vertical="center"/>
    </xf>
    <xf numFmtId="198" fontId="98" fillId="0" borderId="22" xfId="11" applyNumberFormat="1" applyFont="1" applyBorder="1" applyAlignment="1">
      <alignment horizontal="right" vertical="center"/>
    </xf>
    <xf numFmtId="186" fontId="98" fillId="0" borderId="22" xfId="13" applyNumberFormat="1" applyFont="1" applyBorder="1" applyAlignment="1">
      <alignment vertical="center"/>
    </xf>
    <xf numFmtId="10" fontId="98" fillId="0" borderId="22" xfId="13" applyNumberFormat="1" applyFont="1" applyBorder="1" applyAlignment="1">
      <alignment vertical="center"/>
    </xf>
    <xf numFmtId="183" fontId="98" fillId="0" borderId="22" xfId="11" applyNumberFormat="1" applyFont="1" applyBorder="1" applyAlignment="1">
      <alignment vertical="center"/>
    </xf>
    <xf numFmtId="183" fontId="98" fillId="0" borderId="88" xfId="11" applyNumberFormat="1" applyFont="1" applyBorder="1" applyAlignment="1">
      <alignment vertical="center"/>
    </xf>
    <xf numFmtId="10" fontId="28" fillId="9" borderId="22" xfId="0" applyNumberFormat="1" applyFont="1" applyFill="1" applyBorder="1" applyAlignment="1">
      <alignment shrinkToFit="1"/>
    </xf>
    <xf numFmtId="4" fontId="28" fillId="6" borderId="22" xfId="0" applyNumberFormat="1" applyFont="1" applyFill="1" applyBorder="1" applyAlignment="1">
      <alignment horizontal="right" shrinkToFit="1"/>
    </xf>
    <xf numFmtId="186" fontId="28" fillId="6" borderId="22" xfId="13" applyNumberFormat="1" applyFont="1" applyFill="1" applyBorder="1" applyAlignment="1">
      <alignment horizontal="right" shrinkToFit="1"/>
    </xf>
    <xf numFmtId="10" fontId="28" fillId="6" borderId="22" xfId="13" applyNumberFormat="1" applyFont="1" applyFill="1" applyBorder="1" applyAlignment="1">
      <alignment horizontal="right" shrinkToFit="1"/>
    </xf>
    <xf numFmtId="191" fontId="28" fillId="6" borderId="22" xfId="0" applyNumberFormat="1" applyFont="1" applyFill="1" applyBorder="1" applyAlignment="1">
      <alignment shrinkToFit="1"/>
    </xf>
    <xf numFmtId="0" fontId="98" fillId="0" borderId="22" xfId="11" applyFont="1" applyBorder="1" applyAlignment="1">
      <alignment vertical="center"/>
    </xf>
    <xf numFmtId="196" fontId="98" fillId="9" borderId="86" xfId="11" applyNumberFormat="1" applyFont="1" applyFill="1" applyBorder="1"/>
    <xf numFmtId="0" fontId="98" fillId="9" borderId="22" xfId="11" applyFont="1" applyFill="1" applyBorder="1" applyAlignment="1">
      <alignment vertical="center"/>
    </xf>
    <xf numFmtId="10" fontId="99" fillId="9" borderId="22" xfId="13" applyNumberFormat="1" applyFont="1" applyFill="1" applyBorder="1" applyAlignment="1">
      <alignment horizontal="right" vertical="center"/>
    </xf>
    <xf numFmtId="10" fontId="98" fillId="9" borderId="22" xfId="13" applyNumberFormat="1" applyFont="1" applyFill="1" applyBorder="1" applyAlignment="1">
      <alignment horizontal="right" vertical="center"/>
    </xf>
    <xf numFmtId="10" fontId="98" fillId="9" borderId="86" xfId="13" applyNumberFormat="1" applyFont="1" applyFill="1" applyBorder="1" applyAlignment="1"/>
    <xf numFmtId="0" fontId="98" fillId="0" borderId="85" xfId="11" applyFont="1" applyBorder="1" applyAlignment="1">
      <alignment horizontal="left"/>
    </xf>
    <xf numFmtId="197" fontId="98" fillId="0" borderId="22" xfId="11" applyNumberFormat="1" applyFont="1" applyBorder="1" applyAlignment="1">
      <alignment horizontal="right" vertical="center"/>
    </xf>
    <xf numFmtId="198" fontId="98" fillId="9" borderId="86" xfId="11" applyNumberFormat="1" applyFont="1" applyFill="1" applyBorder="1"/>
    <xf numFmtId="10" fontId="98" fillId="9" borderId="86" xfId="13" applyNumberFormat="1" applyFont="1" applyFill="1" applyBorder="1" applyAlignment="1">
      <alignment horizontal="right" vertical="center"/>
    </xf>
    <xf numFmtId="186" fontId="98" fillId="9" borderId="86" xfId="13" applyNumberFormat="1" applyFont="1" applyFill="1" applyBorder="1" applyAlignment="1">
      <alignment horizontal="right" vertical="center"/>
    </xf>
    <xf numFmtId="10" fontId="98" fillId="0" borderId="22" xfId="13" applyNumberFormat="1" applyFont="1" applyBorder="1" applyAlignment="1"/>
    <xf numFmtId="197" fontId="98" fillId="9" borderId="86" xfId="13" applyNumberFormat="1" applyFont="1" applyFill="1" applyBorder="1" applyAlignment="1">
      <alignment horizontal="right" vertical="center"/>
    </xf>
    <xf numFmtId="0" fontId="98" fillId="0" borderId="23" xfId="11" applyFont="1" applyBorder="1" applyAlignment="1">
      <alignment vertical="center"/>
    </xf>
    <xf numFmtId="183" fontId="98" fillId="0" borderId="23" xfId="11" applyNumberFormat="1" applyFont="1" applyBorder="1" applyAlignment="1">
      <alignment vertical="center"/>
    </xf>
    <xf numFmtId="0" fontId="98" fillId="0" borderId="88" xfId="11" applyFont="1" applyBorder="1" applyAlignment="1">
      <alignment vertical="center"/>
    </xf>
    <xf numFmtId="197" fontId="98" fillId="9" borderId="89" xfId="13" applyNumberFormat="1" applyFont="1" applyFill="1" applyBorder="1" applyAlignment="1">
      <alignment horizontal="right" vertical="center"/>
    </xf>
    <xf numFmtId="3" fontId="28" fillId="9" borderId="22" xfId="0" applyNumberFormat="1" applyFont="1" applyFill="1" applyBorder="1" applyAlignment="1">
      <alignment shrinkToFit="1"/>
    </xf>
    <xf numFmtId="4" fontId="28" fillId="9" borderId="22" xfId="0" applyNumberFormat="1" applyFont="1" applyFill="1" applyBorder="1" applyAlignment="1">
      <alignment horizontal="right" shrinkToFit="1"/>
    </xf>
    <xf numFmtId="186" fontId="28" fillId="9" borderId="22" xfId="0" applyNumberFormat="1" applyFont="1" applyFill="1" applyBorder="1" applyAlignment="1">
      <alignment shrinkToFit="1"/>
    </xf>
    <xf numFmtId="10" fontId="28" fillId="6" borderId="22" xfId="13" applyNumberFormat="1" applyFont="1" applyFill="1" applyBorder="1" applyAlignment="1">
      <alignment shrinkToFit="1"/>
    </xf>
    <xf numFmtId="10" fontId="28" fillId="6" borderId="22" xfId="0" applyNumberFormat="1" applyFont="1" applyFill="1" applyBorder="1" applyAlignment="1">
      <alignment shrinkToFit="1"/>
    </xf>
    <xf numFmtId="183" fontId="28" fillId="9" borderId="22" xfId="0" applyNumberFormat="1" applyFont="1" applyFill="1" applyBorder="1" applyAlignment="1">
      <alignment shrinkToFit="1"/>
    </xf>
    <xf numFmtId="183" fontId="28" fillId="6" borderId="22" xfId="0" applyNumberFormat="1" applyFont="1" applyFill="1" applyBorder="1" applyAlignment="1">
      <alignment shrinkToFit="1"/>
    </xf>
    <xf numFmtId="179" fontId="14" fillId="0" borderId="0" xfId="0" applyNumberFormat="1" applyFont="1" applyAlignment="1">
      <alignment horizontal="center"/>
    </xf>
    <xf numFmtId="10" fontId="28" fillId="3" borderId="93" xfId="11" applyNumberFormat="1" applyFont="1" applyFill="1" applyBorder="1" applyAlignment="1">
      <alignment horizontal="center" vertical="center" shrinkToFit="1"/>
    </xf>
    <xf numFmtId="0" fontId="93" fillId="5" borderId="22" xfId="22" applyFont="1" applyFill="1" applyBorder="1" applyAlignment="1">
      <alignment horizontal="center" vertical="center" wrapText="1"/>
    </xf>
    <xf numFmtId="0" fontId="31" fillId="9" borderId="22" xfId="11" applyFont="1" applyFill="1" applyBorder="1" applyAlignment="1">
      <alignment horizontal="left" vertical="center"/>
    </xf>
    <xf numFmtId="196" fontId="36" fillId="4" borderId="22" xfId="11" applyNumberFormat="1" applyFont="1" applyFill="1" applyBorder="1" applyAlignment="1">
      <alignment horizontal="center" vertical="center"/>
    </xf>
    <xf numFmtId="198" fontId="36" fillId="9" borderId="22" xfId="11" applyNumberFormat="1" applyFont="1" applyFill="1" applyBorder="1" applyAlignment="1">
      <alignment horizontal="center" vertical="center"/>
    </xf>
    <xf numFmtId="198" fontId="36" fillId="9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9" fontId="31" fillId="0" borderId="79" xfId="13" applyFont="1" applyBorder="1" applyAlignment="1">
      <alignment horizontal="center" vertical="center"/>
    </xf>
    <xf numFmtId="0" fontId="86" fillId="0" borderId="0" xfId="11" applyFont="1" applyAlignment="1">
      <alignment horizontal="center" shrinkToFit="1"/>
    </xf>
    <xf numFmtId="0" fontId="107" fillId="0" borderId="0" xfId="15" applyFont="1">
      <alignment vertical="center"/>
    </xf>
    <xf numFmtId="193" fontId="107" fillId="0" borderId="0" xfId="15" applyNumberFormat="1" applyFont="1">
      <alignment vertical="center"/>
    </xf>
    <xf numFmtId="193" fontId="111" fillId="9" borderId="22" xfId="6" applyNumberFormat="1" applyFont="1" applyFill="1" applyBorder="1" applyAlignment="1">
      <alignment horizontal="center" vertical="center"/>
    </xf>
    <xf numFmtId="196" fontId="36" fillId="0" borderId="22" xfId="13" applyNumberFormat="1" applyFont="1" applyFill="1" applyBorder="1" applyAlignment="1">
      <alignment horizontal="center" vertical="center"/>
    </xf>
    <xf numFmtId="0" fontId="114" fillId="0" borderId="0" xfId="11" applyFont="1" applyAlignment="1">
      <alignment horizontal="center" vertical="center"/>
    </xf>
    <xf numFmtId="10" fontId="28" fillId="9" borderId="22" xfId="13" applyNumberFormat="1" applyFont="1" applyFill="1" applyBorder="1" applyAlignment="1">
      <alignment shrinkToFit="1"/>
    </xf>
    <xf numFmtId="0" fontId="31" fillId="0" borderId="29" xfId="0" applyFont="1" applyBorder="1"/>
    <xf numFmtId="0" fontId="31" fillId="0" borderId="30" xfId="0" applyFont="1" applyBorder="1"/>
    <xf numFmtId="189" fontId="14" fillId="9" borderId="25" xfId="0" applyNumberFormat="1" applyFont="1" applyFill="1" applyBorder="1" applyAlignment="1">
      <alignment vertical="center" shrinkToFit="1"/>
    </xf>
    <xf numFmtId="0" fontId="58" fillId="0" borderId="0" xfId="0" applyFont="1" applyAlignment="1">
      <alignment vertical="center"/>
    </xf>
    <xf numFmtId="198" fontId="61" fillId="0" borderId="22" xfId="11" applyNumberFormat="1" applyFont="1" applyBorder="1" applyAlignment="1">
      <alignment horizontal="center" vertical="center"/>
    </xf>
    <xf numFmtId="185" fontId="61" fillId="0" borderId="22" xfId="13" applyNumberFormat="1" applyFont="1" applyFill="1" applyBorder="1" applyAlignment="1">
      <alignment horizontal="center" vertical="center"/>
    </xf>
    <xf numFmtId="196" fontId="61" fillId="0" borderId="22" xfId="13" applyNumberFormat="1" applyFont="1" applyFill="1" applyBorder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185" fontId="26" fillId="0" borderId="0" xfId="13" applyNumberFormat="1" applyFont="1" applyAlignment="1">
      <alignment horizontal="center"/>
    </xf>
    <xf numFmtId="0" fontId="104" fillId="0" borderId="0" xfId="0" applyFont="1" applyAlignment="1">
      <alignment horizontal="center" vertical="center"/>
    </xf>
    <xf numFmtId="10" fontId="26" fillId="0" borderId="0" xfId="0" applyNumberFormat="1" applyFont="1" applyAlignment="1">
      <alignment horizontal="center"/>
    </xf>
    <xf numFmtId="180" fontId="26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82" fontId="14" fillId="0" borderId="30" xfId="0" applyNumberFormat="1" applyFont="1" applyBorder="1" applyAlignment="1">
      <alignment horizontal="center" vertical="center" shrinkToFit="1"/>
    </xf>
    <xf numFmtId="0" fontId="114" fillId="0" borderId="30" xfId="0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0" fontId="120" fillId="0" borderId="0" xfId="15" applyFont="1">
      <alignment vertical="center"/>
    </xf>
    <xf numFmtId="0" fontId="37" fillId="0" borderId="0" xfId="15" applyFont="1">
      <alignment vertical="center"/>
    </xf>
    <xf numFmtId="193" fontId="107" fillId="0" borderId="23" xfId="15" applyNumberFormat="1" applyFont="1" applyBorder="1" applyAlignment="1">
      <alignment horizontal="center" vertical="center"/>
    </xf>
    <xf numFmtId="0" fontId="107" fillId="0" borderId="27" xfId="15" applyFont="1" applyBorder="1" applyAlignment="1">
      <alignment horizontal="center" vertical="center" wrapText="1"/>
    </xf>
    <xf numFmtId="0" fontId="107" fillId="0" borderId="25" xfId="15" applyFont="1" applyBorder="1" applyAlignment="1">
      <alignment horizontal="center" vertical="center" wrapText="1"/>
    </xf>
    <xf numFmtId="0" fontId="121" fillId="0" borderId="23" xfId="15" applyFont="1" applyBorder="1" applyAlignment="1">
      <alignment horizontal="center" vertical="center" wrapText="1"/>
    </xf>
    <xf numFmtId="0" fontId="121" fillId="0" borderId="25" xfId="15" applyFont="1" applyBorder="1" applyAlignment="1">
      <alignment horizontal="center" vertical="center" wrapText="1"/>
    </xf>
    <xf numFmtId="10" fontId="107" fillId="0" borderId="23" xfId="3" applyNumberFormat="1" applyFont="1" applyBorder="1" applyAlignment="1">
      <alignment horizontal="center" vertical="center"/>
    </xf>
    <xf numFmtId="193" fontId="121" fillId="0" borderId="23" xfId="15" applyNumberFormat="1" applyFont="1" applyBorder="1" applyAlignment="1">
      <alignment horizontal="center" vertical="center"/>
    </xf>
    <xf numFmtId="10" fontId="121" fillId="0" borderId="23" xfId="3" applyNumberFormat="1" applyFont="1" applyBorder="1" applyAlignment="1">
      <alignment horizontal="center" vertical="center"/>
    </xf>
    <xf numFmtId="0" fontId="107" fillId="0" borderId="0" xfId="15" applyFont="1" applyAlignment="1">
      <alignment horizontal="center" vertical="center"/>
    </xf>
    <xf numFmtId="10" fontId="107" fillId="0" borderId="0" xfId="3" applyNumberFormat="1" applyFont="1" applyFill="1" applyBorder="1" applyAlignment="1">
      <alignment horizontal="center" vertical="center"/>
    </xf>
    <xf numFmtId="0" fontId="108" fillId="0" borderId="23" xfId="15" applyFont="1" applyBorder="1" applyAlignment="1">
      <alignment horizontal="center" vertical="center" wrapText="1"/>
    </xf>
    <xf numFmtId="0" fontId="122" fillId="0" borderId="23" xfId="15" applyFont="1" applyBorder="1" applyAlignment="1">
      <alignment horizontal="center" vertical="center" wrapText="1"/>
    </xf>
    <xf numFmtId="193" fontId="110" fillId="0" borderId="0" xfId="15" applyNumberFormat="1" applyFont="1">
      <alignment vertical="center"/>
    </xf>
    <xf numFmtId="195" fontId="120" fillId="0" borderId="0" xfId="15" applyNumberFormat="1" applyFont="1">
      <alignment vertical="center"/>
    </xf>
    <xf numFmtId="195" fontId="37" fillId="0" borderId="0" xfId="15" applyNumberFormat="1" applyFont="1">
      <alignment vertical="center"/>
    </xf>
    <xf numFmtId="194" fontId="81" fillId="5" borderId="22" xfId="5" applyNumberFormat="1" applyFont="1" applyFill="1" applyBorder="1" applyAlignment="1">
      <alignment horizontal="center" vertical="center"/>
    </xf>
    <xf numFmtId="193" fontId="120" fillId="9" borderId="22" xfId="4" applyNumberFormat="1" applyFont="1" applyFill="1" applyBorder="1" applyAlignment="1">
      <alignment horizontal="center" vertical="center"/>
    </xf>
    <xf numFmtId="193" fontId="120" fillId="9" borderId="22" xfId="6" applyNumberFormat="1" applyFont="1" applyFill="1" applyBorder="1" applyAlignment="1">
      <alignment horizontal="center" vertical="center"/>
    </xf>
    <xf numFmtId="186" fontId="120" fillId="0" borderId="22" xfId="4" applyNumberFormat="1" applyFont="1" applyBorder="1" applyAlignment="1">
      <alignment horizontal="center" vertical="center"/>
    </xf>
    <xf numFmtId="10" fontId="120" fillId="0" borderId="22" xfId="3" applyNumberFormat="1" applyFont="1" applyBorder="1" applyAlignment="1">
      <alignment horizontal="center" vertical="center"/>
    </xf>
    <xf numFmtId="193" fontId="123" fillId="9" borderId="22" xfId="6" applyNumberFormat="1" applyFont="1" applyFill="1" applyBorder="1" applyAlignment="1">
      <alignment horizontal="center" vertical="center"/>
    </xf>
    <xf numFmtId="10" fontId="123" fillId="0" borderId="22" xfId="3" applyNumberFormat="1" applyFont="1" applyBorder="1" applyAlignment="1">
      <alignment horizontal="center" vertical="center"/>
    </xf>
    <xf numFmtId="0" fontId="120" fillId="0" borderId="0" xfId="4" applyFont="1">
      <alignment vertical="center"/>
    </xf>
    <xf numFmtId="0" fontId="37" fillId="0" borderId="0" xfId="4" applyFont="1">
      <alignment vertical="center"/>
    </xf>
    <xf numFmtId="194" fontId="81" fillId="10" borderId="22" xfId="5" applyNumberFormat="1" applyFont="1" applyFill="1" applyBorder="1" applyAlignment="1">
      <alignment horizontal="center" vertical="center"/>
    </xf>
    <xf numFmtId="194" fontId="81" fillId="0" borderId="22" xfId="5" applyNumberFormat="1" applyFont="1" applyBorder="1" applyAlignment="1">
      <alignment horizontal="center" vertical="center"/>
    </xf>
    <xf numFmtId="193" fontId="120" fillId="9" borderId="22" xfId="17" applyNumberFormat="1" applyFont="1" applyFill="1" applyBorder="1" applyAlignment="1">
      <alignment horizontal="center" vertical="center"/>
    </xf>
    <xf numFmtId="0" fontId="11" fillId="2" borderId="38" xfId="11" applyFont="1" applyFill="1" applyBorder="1" applyAlignment="1">
      <alignment horizontal="center" vertical="center" shrinkToFit="1"/>
    </xf>
    <xf numFmtId="0" fontId="11" fillId="2" borderId="6" xfId="11" applyFont="1" applyFill="1" applyBorder="1" applyAlignment="1">
      <alignment horizontal="center" vertical="center" shrinkToFit="1"/>
    </xf>
    <xf numFmtId="0" fontId="7" fillId="2" borderId="6" xfId="11" applyFont="1" applyFill="1" applyBorder="1" applyAlignment="1">
      <alignment horizontal="center" vertical="center" shrinkToFit="1"/>
    </xf>
    <xf numFmtId="0" fontId="26" fillId="0" borderId="35" xfId="11" applyFont="1" applyBorder="1" applyAlignment="1">
      <alignment shrinkToFit="1"/>
    </xf>
    <xf numFmtId="0" fontId="26" fillId="0" borderId="26" xfId="11" applyFont="1" applyBorder="1" applyAlignment="1">
      <alignment wrapText="1" shrinkToFit="1"/>
    </xf>
    <xf numFmtId="0" fontId="26" fillId="0" borderId="26" xfId="11" applyFont="1" applyBorder="1" applyAlignment="1">
      <alignment vertical="center" shrinkToFit="1"/>
    </xf>
    <xf numFmtId="0" fontId="26" fillId="0" borderId="26" xfId="11" applyFont="1" applyBorder="1" applyAlignment="1">
      <alignment shrinkToFit="1"/>
    </xf>
    <xf numFmtId="0" fontId="26" fillId="0" borderId="36" xfId="11" applyFont="1" applyBorder="1" applyAlignment="1">
      <alignment shrinkToFit="1"/>
    </xf>
    <xf numFmtId="0" fontId="26" fillId="0" borderId="34" xfId="11" applyFont="1" applyBorder="1" applyAlignment="1">
      <alignment shrinkToFit="1"/>
    </xf>
    <xf numFmtId="0" fontId="26" fillId="4" borderId="34" xfId="11" applyFont="1" applyFill="1" applyBorder="1" applyAlignment="1">
      <alignment shrinkToFit="1"/>
    </xf>
    <xf numFmtId="0" fontId="24" fillId="0" borderId="33" xfId="11" applyBorder="1" applyAlignment="1">
      <alignment shrinkToFit="1"/>
    </xf>
    <xf numFmtId="0" fontId="24" fillId="0" borderId="34" xfId="11" applyBorder="1" applyAlignment="1">
      <alignment shrinkToFit="1"/>
    </xf>
    <xf numFmtId="0" fontId="9" fillId="0" borderId="62" xfId="11" applyFont="1" applyBorder="1" applyAlignment="1">
      <alignment shrinkToFit="1"/>
    </xf>
    <xf numFmtId="0" fontId="9" fillId="0" borderId="95" xfId="11" applyFont="1" applyBorder="1" applyAlignment="1">
      <alignment shrinkToFit="1"/>
    </xf>
    <xf numFmtId="0" fontId="24" fillId="0" borderId="0" xfId="11" applyAlignment="1">
      <alignment vertical="center"/>
    </xf>
    <xf numFmtId="0" fontId="11" fillId="2" borderId="96" xfId="11" applyFont="1" applyFill="1" applyBorder="1" applyAlignment="1">
      <alignment horizontal="center" shrinkToFit="1"/>
    </xf>
    <xf numFmtId="10" fontId="28" fillId="3" borderId="97" xfId="11" applyNumberFormat="1" applyFont="1" applyFill="1" applyBorder="1" applyAlignment="1">
      <alignment horizontal="center" vertical="center" shrinkToFit="1"/>
    </xf>
    <xf numFmtId="0" fontId="11" fillId="2" borderId="44" xfId="11" applyFont="1" applyFill="1" applyBorder="1" applyAlignment="1">
      <alignment horizontal="center" shrinkToFit="1"/>
    </xf>
    <xf numFmtId="1" fontId="7" fillId="3" borderId="45" xfId="11" applyNumberFormat="1" applyFont="1" applyFill="1" applyBorder="1" applyAlignment="1">
      <alignment shrinkToFit="1"/>
    </xf>
    <xf numFmtId="177" fontId="14" fillId="9" borderId="25" xfId="0" applyNumberFormat="1" applyFont="1" applyFill="1" applyBorder="1"/>
    <xf numFmtId="0" fontId="128" fillId="0" borderId="0" xfId="0" applyFont="1" applyAlignment="1">
      <alignment vertical="center"/>
    </xf>
    <xf numFmtId="0" fontId="128" fillId="0" borderId="0" xfId="0" applyFont="1" applyAlignment="1">
      <alignment horizontal="center" vertical="center"/>
    </xf>
    <xf numFmtId="0" fontId="128" fillId="0" borderId="0" xfId="0" applyFont="1" applyAlignment="1">
      <alignment horizontal="left" vertical="center" shrinkToFit="1"/>
    </xf>
    <xf numFmtId="0" fontId="128" fillId="0" borderId="0" xfId="0" applyFont="1" applyAlignment="1">
      <alignment horizontal="center" vertical="center" shrinkToFit="1"/>
    </xf>
    <xf numFmtId="0" fontId="14" fillId="4" borderId="0" xfId="0" applyFont="1" applyFill="1" applyAlignment="1">
      <alignment vertical="center" shrinkToFit="1"/>
    </xf>
    <xf numFmtId="0" fontId="14" fillId="9" borderId="0" xfId="0" applyFont="1" applyFill="1" applyAlignment="1">
      <alignment vertical="center" shrinkToFit="1"/>
    </xf>
    <xf numFmtId="183" fontId="14" fillId="0" borderId="0" xfId="0" applyNumberFormat="1" applyFont="1" applyAlignment="1">
      <alignment vertical="center" shrinkToFit="1"/>
    </xf>
    <xf numFmtId="0" fontId="98" fillId="0" borderId="85" xfId="11" applyFont="1" applyBorder="1" applyAlignment="1">
      <alignment horizontal="left" vertical="center"/>
    </xf>
    <xf numFmtId="0" fontId="98" fillId="0" borderId="90" xfId="11" applyFont="1" applyBorder="1" applyAlignment="1">
      <alignment horizontal="left" vertical="center"/>
    </xf>
    <xf numFmtId="0" fontId="98" fillId="0" borderId="87" xfId="11" applyFont="1" applyBorder="1" applyAlignment="1">
      <alignment horizontal="left" vertical="center"/>
    </xf>
    <xf numFmtId="0" fontId="97" fillId="0" borderId="82" xfId="11" applyFont="1" applyBorder="1" applyAlignment="1">
      <alignment horizontal="center" vertical="center"/>
    </xf>
    <xf numFmtId="0" fontId="97" fillId="0" borderId="83" xfId="11" applyFont="1" applyBorder="1" applyAlignment="1">
      <alignment horizontal="center" vertical="center"/>
    </xf>
    <xf numFmtId="0" fontId="98" fillId="0" borderId="91" xfId="11" applyFont="1" applyBorder="1" applyAlignment="1">
      <alignment horizontal="left" vertical="center"/>
    </xf>
    <xf numFmtId="0" fontId="98" fillId="0" borderId="92" xfId="11" applyFont="1" applyBorder="1" applyAlignment="1">
      <alignment horizontal="left" vertical="center"/>
    </xf>
    <xf numFmtId="0" fontId="69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9" fillId="9" borderId="27" xfId="0" applyFont="1" applyFill="1" applyBorder="1" applyAlignment="1">
      <alignment horizontal="center" vertical="center" shrinkToFit="1"/>
    </xf>
    <xf numFmtId="0" fontId="49" fillId="9" borderId="25" xfId="0" applyFont="1" applyFill="1" applyBorder="1" applyAlignment="1">
      <alignment horizontal="center" vertical="center" shrinkToFit="1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185" fontId="26" fillId="0" borderId="0" xfId="0" applyNumberFormat="1" applyFont="1" applyAlignment="1">
      <alignment horizontal="center"/>
    </xf>
    <xf numFmtId="185" fontId="26" fillId="0" borderId="0" xfId="13" applyNumberFormat="1" applyFont="1" applyAlignment="1">
      <alignment horizontal="center"/>
    </xf>
    <xf numFmtId="189" fontId="26" fillId="0" borderId="0" xfId="0" applyNumberFormat="1" applyFont="1" applyAlignment="1">
      <alignment horizontal="center"/>
    </xf>
    <xf numFmtId="0" fontId="104" fillId="0" borderId="0" xfId="0" applyFont="1" applyAlignment="1">
      <alignment horizontal="center" vertical="center"/>
    </xf>
    <xf numFmtId="180" fontId="14" fillId="0" borderId="0" xfId="0" applyNumberFormat="1" applyFont="1" applyAlignment="1">
      <alignment horizontal="center"/>
    </xf>
    <xf numFmtId="185" fontId="14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/>
    </xf>
    <xf numFmtId="0" fontId="32" fillId="0" borderId="22" xfId="0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82" fontId="14" fillId="0" borderId="23" xfId="0" applyNumberFormat="1" applyFont="1" applyBorder="1" applyAlignment="1">
      <alignment horizontal="center" vertical="center" shrinkToFit="1"/>
    </xf>
    <xf numFmtId="182" fontId="14" fillId="0" borderId="29" xfId="0" applyNumberFormat="1" applyFont="1" applyBorder="1" applyAlignment="1">
      <alignment horizontal="center" vertical="center" shrinkToFit="1"/>
    </xf>
    <xf numFmtId="182" fontId="14" fillId="0" borderId="30" xfId="0" applyNumberFormat="1" applyFont="1" applyBorder="1" applyAlignment="1">
      <alignment horizontal="center" vertical="center" shrinkToFit="1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14" fillId="0" borderId="23" xfId="0" applyFont="1" applyBorder="1" applyAlignment="1">
      <alignment horizontal="center" vertical="center"/>
    </xf>
    <xf numFmtId="0" fontId="114" fillId="0" borderId="29" xfId="0" applyFont="1" applyBorder="1" applyAlignment="1">
      <alignment horizontal="center" vertical="center"/>
    </xf>
    <xf numFmtId="0" fontId="114" fillId="0" borderId="30" xfId="0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177" fontId="79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0" fontId="31" fillId="0" borderId="23" xfId="0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177" fontId="14" fillId="0" borderId="23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0" fontId="117" fillId="0" borderId="37" xfId="0" applyFont="1" applyBorder="1" applyAlignment="1">
      <alignment horizontal="left" vertical="center"/>
    </xf>
    <xf numFmtId="0" fontId="119" fillId="0" borderId="32" xfId="0" applyFont="1" applyBorder="1" applyAlignment="1">
      <alignment horizontal="left" vertical="center"/>
    </xf>
    <xf numFmtId="0" fontId="119" fillId="0" borderId="26" xfId="0" applyFont="1" applyBorder="1" applyAlignment="1">
      <alignment horizontal="left" vertical="center"/>
    </xf>
    <xf numFmtId="0" fontId="119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0" fontId="46" fillId="0" borderId="37" xfId="0" applyFont="1" applyBorder="1" applyAlignment="1">
      <alignment horizontal="left" vertical="center"/>
    </xf>
    <xf numFmtId="0" fontId="48" fillId="0" borderId="32" xfId="0" applyFont="1" applyBorder="1" applyAlignment="1">
      <alignment horizontal="left" vertical="center"/>
    </xf>
    <xf numFmtId="0" fontId="48" fillId="0" borderId="26" xfId="0" applyFont="1" applyBorder="1" applyAlignment="1">
      <alignment horizontal="left" vertical="center"/>
    </xf>
    <xf numFmtId="0" fontId="48" fillId="0" borderId="36" xfId="0" applyFont="1" applyBorder="1" applyAlignment="1">
      <alignment horizontal="left" vertical="center"/>
    </xf>
    <xf numFmtId="0" fontId="82" fillId="0" borderId="37" xfId="0" applyFont="1" applyBorder="1" applyAlignment="1">
      <alignment horizontal="left" vertical="center"/>
    </xf>
    <xf numFmtId="0" fontId="82" fillId="0" borderId="32" xfId="0" applyFont="1" applyBorder="1" applyAlignment="1">
      <alignment horizontal="left" vertical="center"/>
    </xf>
    <xf numFmtId="0" fontId="82" fillId="0" borderId="26" xfId="0" applyFont="1" applyBorder="1" applyAlignment="1">
      <alignment horizontal="left" vertical="center"/>
    </xf>
    <xf numFmtId="0" fontId="82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51" fillId="0" borderId="37" xfId="0" applyFont="1" applyBorder="1" applyAlignment="1">
      <alignment horizontal="left" vertical="center"/>
    </xf>
    <xf numFmtId="0" fontId="51" fillId="0" borderId="32" xfId="0" applyFont="1" applyBorder="1" applyAlignment="1">
      <alignment horizontal="left" vertical="center"/>
    </xf>
    <xf numFmtId="0" fontId="51" fillId="0" borderId="26" xfId="0" applyFont="1" applyBorder="1" applyAlignment="1">
      <alignment horizontal="left" vertical="center"/>
    </xf>
    <xf numFmtId="0" fontId="51" fillId="0" borderId="36" xfId="0" applyFont="1" applyBorder="1" applyAlignment="1">
      <alignment horizontal="left" vertical="center"/>
    </xf>
    <xf numFmtId="0" fontId="86" fillId="0" borderId="22" xfId="0" applyFont="1" applyBorder="1" applyAlignment="1">
      <alignment horizontal="center" vertical="center"/>
    </xf>
    <xf numFmtId="183" fontId="14" fillId="0" borderId="23" xfId="0" applyNumberFormat="1" applyFont="1" applyBorder="1" applyAlignment="1">
      <alignment horizontal="center" vertical="center"/>
    </xf>
    <xf numFmtId="183" fontId="14" fillId="0" borderId="29" xfId="0" applyNumberFormat="1" applyFont="1" applyBorder="1" applyAlignment="1">
      <alignment horizontal="center" vertical="center"/>
    </xf>
    <xf numFmtId="183" fontId="14" fillId="0" borderId="30" xfId="0" applyNumberFormat="1" applyFont="1" applyBorder="1" applyAlignment="1">
      <alignment horizontal="center" vertical="center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15" fillId="0" borderId="22" xfId="0" applyFont="1" applyBorder="1" applyAlignment="1">
      <alignment horizontal="center" vertical="center" shrinkToFit="1"/>
    </xf>
    <xf numFmtId="0" fontId="57" fillId="2" borderId="22" xfId="0" applyFont="1" applyFill="1" applyBorder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72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shrinkToFit="1"/>
    </xf>
    <xf numFmtId="0" fontId="57" fillId="0" borderId="27" xfId="0" applyFont="1" applyBorder="1" applyAlignment="1">
      <alignment shrinkToFit="1"/>
    </xf>
    <xf numFmtId="0" fontId="57" fillId="0" borderId="28" xfId="0" applyFont="1" applyBorder="1" applyAlignment="1">
      <alignment shrinkToFit="1"/>
    </xf>
    <xf numFmtId="0" fontId="57" fillId="0" borderId="25" xfId="0" applyFont="1" applyBorder="1" applyAlignment="1">
      <alignment shrinkToFit="1"/>
    </xf>
    <xf numFmtId="0" fontId="57" fillId="2" borderId="27" xfId="0" applyFont="1" applyFill="1" applyBorder="1" applyAlignment="1">
      <alignment horizontal="center" shrinkToFit="1"/>
    </xf>
    <xf numFmtId="0" fontId="57" fillId="2" borderId="25" xfId="0" applyFont="1" applyFill="1" applyBorder="1" applyAlignment="1">
      <alignment horizontal="center" shrinkToFit="1"/>
    </xf>
    <xf numFmtId="0" fontId="57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7" fillId="2" borderId="23" xfId="0" applyFont="1" applyFill="1" applyBorder="1" applyAlignment="1">
      <alignment horizontal="center" vertical="center" shrinkToFit="1"/>
    </xf>
    <xf numFmtId="0" fontId="57" fillId="2" borderId="29" xfId="0" applyFont="1" applyFill="1" applyBorder="1" applyAlignment="1">
      <alignment horizontal="center" vertical="center" shrinkToFit="1"/>
    </xf>
    <xf numFmtId="0" fontId="57" fillId="2" borderId="30" xfId="0" applyFont="1" applyFill="1" applyBorder="1" applyAlignment="1">
      <alignment horizontal="center" vertical="center" shrinkToFit="1"/>
    </xf>
    <xf numFmtId="0" fontId="57" fillId="2" borderId="27" xfId="0" applyFont="1" applyFill="1" applyBorder="1" applyAlignment="1">
      <alignment horizontal="center" vertical="center" shrinkToFit="1"/>
    </xf>
    <xf numFmtId="0" fontId="57" fillId="2" borderId="25" xfId="0" applyFont="1" applyFill="1" applyBorder="1" applyAlignment="1">
      <alignment horizontal="center" vertical="center" shrinkToFit="1"/>
    </xf>
    <xf numFmtId="0" fontId="57" fillId="2" borderId="28" xfId="0" applyFont="1" applyFill="1" applyBorder="1" applyAlignment="1">
      <alignment horizontal="center" vertical="center" shrinkToFit="1"/>
    </xf>
    <xf numFmtId="0" fontId="64" fillId="0" borderId="22" xfId="0" applyFont="1" applyBorder="1" applyAlignment="1">
      <alignment shrinkToFit="1"/>
    </xf>
    <xf numFmtId="0" fontId="125" fillId="0" borderId="27" xfId="0" applyFont="1" applyBorder="1" applyAlignment="1">
      <alignment shrinkToFit="1"/>
    </xf>
    <xf numFmtId="0" fontId="42" fillId="0" borderId="0" xfId="11" applyFont="1" applyAlignment="1">
      <alignment horizontal="center" vertical="center" shrinkToFit="1"/>
    </xf>
    <xf numFmtId="0" fontId="51" fillId="0" borderId="0" xfId="11" applyFont="1" applyAlignment="1">
      <alignment horizontal="left" vertical="center" shrinkToFit="1"/>
    </xf>
    <xf numFmtId="0" fontId="44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55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3" fillId="2" borderId="22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wrapText="1" shrinkToFit="1"/>
    </xf>
    <xf numFmtId="0" fontId="64" fillId="0" borderId="22" xfId="11" applyFont="1" applyBorder="1" applyAlignment="1">
      <alignment horizontal="left" vertical="center" wrapText="1"/>
    </xf>
    <xf numFmtId="0" fontId="64" fillId="2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37" fillId="4" borderId="22" xfId="11" applyFont="1" applyFill="1" applyBorder="1" applyAlignment="1">
      <alignment vertical="center" wrapText="1"/>
    </xf>
    <xf numFmtId="0" fontId="37" fillId="0" borderId="22" xfId="11" applyFont="1" applyBorder="1" applyAlignment="1">
      <alignment vertical="center" wrapText="1"/>
    </xf>
    <xf numFmtId="0" fontId="64" fillId="4" borderId="22" xfId="11" applyFont="1" applyFill="1" applyBorder="1" applyAlignment="1">
      <alignment vertical="center" wrapText="1"/>
    </xf>
    <xf numFmtId="0" fontId="64" fillId="0" borderId="22" xfId="11" applyFont="1" applyBorder="1" applyAlignment="1">
      <alignment vertical="center" wrapText="1"/>
    </xf>
    <xf numFmtId="0" fontId="52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horizontal="center" vertical="center" shrinkToFit="1"/>
    </xf>
    <xf numFmtId="0" fontId="77" fillId="0" borderId="3" xfId="11" applyFont="1" applyBorder="1" applyAlignment="1">
      <alignment horizontal="center" vertical="center" shrinkToFit="1"/>
    </xf>
    <xf numFmtId="0" fontId="77" fillId="0" borderId="4" xfId="11" applyFont="1" applyBorder="1" applyAlignment="1">
      <alignment horizontal="center" shrinkToFit="1"/>
    </xf>
    <xf numFmtId="0" fontId="77" fillId="0" borderId="3" xfId="11" applyFont="1" applyBorder="1" applyAlignment="1">
      <alignment horizontal="center" shrinkToFi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vertical="center" wrapText="1" shrinkToFit="1"/>
    </xf>
    <xf numFmtId="0" fontId="77" fillId="0" borderId="3" xfId="11" applyFont="1" applyBorder="1" applyAlignment="1">
      <alignment vertical="center" wrapText="1" shrinkToFit="1"/>
    </xf>
    <xf numFmtId="0" fontId="77" fillId="0" borderId="4" xfId="11" applyFont="1" applyBorder="1" applyAlignment="1">
      <alignment vertical="center" wrapText="1"/>
    </xf>
    <xf numFmtId="0" fontId="77" fillId="0" borderId="3" xfId="11" applyFont="1" applyBorder="1" applyAlignment="1">
      <alignment vertical="center" wrapTex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84" fillId="4" borderId="4" xfId="11" applyFont="1" applyFill="1" applyBorder="1" applyAlignment="1">
      <alignment vertical="center" wrapText="1"/>
    </xf>
    <xf numFmtId="0" fontId="84" fillId="4" borderId="3" xfId="11" applyFont="1" applyFill="1" applyBorder="1" applyAlignment="1">
      <alignment vertical="center" wrapText="1"/>
    </xf>
    <xf numFmtId="0" fontId="77" fillId="0" borderId="4" xfId="11" applyFont="1" applyBorder="1" applyAlignment="1">
      <alignment horizontal="left" vertical="top" wrapText="1"/>
    </xf>
    <xf numFmtId="0" fontId="77" fillId="0" borderId="3" xfId="11" applyFont="1" applyBorder="1" applyAlignment="1">
      <alignment horizontal="left" vertical="top" wrapText="1"/>
    </xf>
    <xf numFmtId="0" fontId="77" fillId="0" borderId="4" xfId="11" applyFont="1" applyBorder="1" applyAlignment="1">
      <alignment horizontal="left" vertical="center" wrapText="1"/>
    </xf>
    <xf numFmtId="0" fontId="77" fillId="0" borderId="3" xfId="11" applyFont="1" applyBorder="1" applyAlignment="1">
      <alignment horizontal="left" vertical="center" wrapText="1"/>
    </xf>
    <xf numFmtId="0" fontId="77" fillId="4" borderId="4" xfId="11" applyFont="1" applyFill="1" applyBorder="1" applyAlignment="1">
      <alignment vertical="center" wrapText="1"/>
    </xf>
    <xf numFmtId="0" fontId="77" fillId="4" borderId="3" xfId="11" applyFont="1" applyFill="1" applyBorder="1" applyAlignment="1">
      <alignment vertical="center" wrapTex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77" fillId="4" borderId="4" xfId="11" applyFont="1" applyFill="1" applyBorder="1" applyAlignment="1">
      <alignment horizontal="left" vertical="center" wrapText="1"/>
    </xf>
    <xf numFmtId="0" fontId="77" fillId="4" borderId="3" xfId="11" applyFont="1" applyFill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 shrinkToFit="1"/>
    </xf>
    <xf numFmtId="0" fontId="77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1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64" fillId="0" borderId="4" xfId="11" applyFont="1" applyBorder="1" applyAlignment="1">
      <alignment horizontal="left" vertical="center" wrapText="1"/>
    </xf>
    <xf numFmtId="0" fontId="64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4" fillId="2" borderId="57" xfId="11" applyFont="1" applyFill="1" applyBorder="1" applyAlignment="1">
      <alignment horizontal="center" vertical="center" shrinkToFit="1"/>
    </xf>
    <xf numFmtId="0" fontId="64" fillId="2" borderId="61" xfId="11" applyFont="1" applyFill="1" applyBorder="1" applyAlignment="1">
      <alignment horizontal="center" vertical="center" shrinkToFit="1"/>
    </xf>
    <xf numFmtId="0" fontId="64" fillId="2" borderId="57" xfId="11" applyFont="1" applyFill="1" applyBorder="1" applyAlignment="1">
      <alignment horizontal="left" vertical="center" shrinkToFit="1"/>
    </xf>
    <xf numFmtId="0" fontId="64" fillId="2" borderId="61" xfId="11" applyFont="1" applyFill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shrinkToFit="1"/>
    </xf>
    <xf numFmtId="0" fontId="64" fillId="0" borderId="62" xfId="11" applyFont="1" applyBorder="1" applyAlignment="1">
      <alignment horizontal="left" vertical="center" shrinkToFit="1"/>
    </xf>
    <xf numFmtId="0" fontId="64" fillId="2" borderId="52" xfId="11" applyFont="1" applyFill="1" applyBorder="1" applyAlignment="1">
      <alignment horizontal="center" vertical="center" shrinkToFit="1"/>
    </xf>
    <xf numFmtId="0" fontId="64" fillId="2" borderId="26" xfId="11" applyFont="1" applyFill="1" applyBorder="1" applyAlignment="1">
      <alignment horizontal="center" vertical="center" shrinkToFit="1"/>
    </xf>
    <xf numFmtId="0" fontId="64" fillId="2" borderId="36" xfId="11" applyFont="1" applyFill="1" applyBorder="1" applyAlignment="1">
      <alignment horizontal="center" vertical="center" shrinkToFit="1"/>
    </xf>
    <xf numFmtId="0" fontId="64" fillId="0" borderId="68" xfId="11" applyFont="1" applyBorder="1" applyAlignment="1">
      <alignment horizontal="left" vertical="center" wrapText="1"/>
    </xf>
    <xf numFmtId="0" fontId="64" fillId="0" borderId="61" xfId="11" applyFont="1" applyBorder="1" applyAlignment="1">
      <alignment horizontal="left" vertical="center" wrapText="1"/>
    </xf>
    <xf numFmtId="0" fontId="64" fillId="2" borderId="52" xfId="11" applyFont="1" applyFill="1" applyBorder="1" applyAlignment="1">
      <alignment horizontal="left" vertical="center" shrinkToFit="1"/>
    </xf>
    <xf numFmtId="0" fontId="64" fillId="2" borderId="26" xfId="11" applyFont="1" applyFill="1" applyBorder="1" applyAlignment="1">
      <alignment horizontal="left" vertical="center" shrinkToFit="1"/>
    </xf>
    <xf numFmtId="0" fontId="64" fillId="2" borderId="53" xfId="11" applyFont="1" applyFill="1" applyBorder="1" applyAlignment="1">
      <alignment horizontal="left" vertical="center" shrinkToFit="1"/>
    </xf>
    <xf numFmtId="0" fontId="57" fillId="0" borderId="22" xfId="11" applyFont="1" applyBorder="1" applyAlignment="1">
      <alignment horizontal="center" vertical="center" shrinkToFit="1"/>
    </xf>
    <xf numFmtId="0" fontId="77" fillId="4" borderId="4" xfId="11" applyFont="1" applyFill="1" applyBorder="1" applyAlignment="1">
      <alignment vertical="top" wrapText="1" shrinkToFit="1"/>
    </xf>
    <xf numFmtId="0" fontId="77" fillId="4" borderId="3" xfId="11" applyFont="1" applyFill="1" applyBorder="1" applyAlignment="1">
      <alignment vertical="top" wrapText="1" shrinkToFit="1"/>
    </xf>
    <xf numFmtId="0" fontId="77" fillId="0" borderId="4" xfId="11" applyFont="1" applyBorder="1" applyAlignment="1">
      <alignment vertical="top" wrapText="1" shrinkToFit="1"/>
    </xf>
    <xf numFmtId="0" fontId="77" fillId="0" borderId="3" xfId="11" applyFont="1" applyBorder="1" applyAlignment="1">
      <alignment vertical="top" wrapText="1" shrinkToFit="1"/>
    </xf>
    <xf numFmtId="0" fontId="84" fillId="0" borderId="4" xfId="11" applyFont="1" applyBorder="1" applyAlignment="1">
      <alignment vertical="center" wrapText="1"/>
    </xf>
    <xf numFmtId="0" fontId="84" fillId="0" borderId="3" xfId="11" applyFont="1" applyBorder="1" applyAlignment="1">
      <alignment vertical="center" wrapText="1"/>
    </xf>
    <xf numFmtId="0" fontId="7" fillId="2" borderId="9" xfId="11" applyFont="1" applyFill="1" applyBorder="1" applyAlignment="1">
      <alignment horizontal="center" vertical="center" shrinkToFit="1"/>
    </xf>
    <xf numFmtId="0" fontId="7" fillId="2" borderId="10" xfId="11" applyFont="1" applyFill="1" applyBorder="1" applyAlignment="1">
      <alignment horizontal="center" vertical="center" shrinkToFit="1"/>
    </xf>
    <xf numFmtId="0" fontId="7" fillId="2" borderId="8" xfId="11" applyFont="1" applyFill="1" applyBorder="1" applyAlignment="1">
      <alignment horizontal="center" vertical="center" shrinkToFit="1"/>
    </xf>
    <xf numFmtId="0" fontId="11" fillId="2" borderId="9" xfId="11" applyFont="1" applyFill="1" applyBorder="1" applyAlignment="1">
      <alignment horizontal="center" vertical="center" shrinkToFit="1"/>
    </xf>
    <xf numFmtId="0" fontId="11" fillId="2" borderId="10" xfId="11" applyFont="1" applyFill="1" applyBorder="1" applyAlignment="1">
      <alignment horizontal="center" vertic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55" fillId="0" borderId="27" xfId="11" applyFont="1" applyBorder="1" applyAlignment="1">
      <alignment horizontal="center" vertical="center" shrinkToFit="1"/>
    </xf>
    <xf numFmtId="0" fontId="55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89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0" xfId="11" applyFont="1" applyFill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3" fillId="2" borderId="27" xfId="11" applyFont="1" applyFill="1" applyBorder="1" applyAlignment="1">
      <alignment horizontal="center" vertical="center" shrinkToFit="1"/>
    </xf>
    <xf numFmtId="0" fontId="43" fillId="2" borderId="25" xfId="11" applyFont="1" applyFill="1" applyBorder="1" applyAlignment="1">
      <alignment horizontal="center" vertical="center" shrinkToFit="1"/>
    </xf>
    <xf numFmtId="0" fontId="37" fillId="0" borderId="71" xfId="11" applyFont="1" applyBorder="1" applyAlignment="1">
      <alignment horizontal="left" vertical="center" wrapText="1"/>
    </xf>
    <xf numFmtId="0" fontId="64" fillId="0" borderId="71" xfId="11" applyFont="1" applyBorder="1" applyAlignment="1">
      <alignment horizontal="left" vertical="center" wrapText="1"/>
    </xf>
    <xf numFmtId="0" fontId="51" fillId="0" borderId="37" xfId="11" applyFont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wrapText="1" shrinkToFit="1"/>
    </xf>
    <xf numFmtId="0" fontId="64" fillId="0" borderId="3" xfId="11" applyFont="1" applyBorder="1" applyAlignment="1">
      <alignment horizontal="left" vertical="center" wrapText="1" shrinkToFit="1"/>
    </xf>
    <xf numFmtId="0" fontId="87" fillId="0" borderId="4" xfId="11" applyFont="1" applyBorder="1" applyAlignment="1">
      <alignment horizontal="left" vertical="center" wrapText="1"/>
    </xf>
    <xf numFmtId="0" fontId="87" fillId="0" borderId="3" xfId="11" applyFont="1" applyBorder="1" applyAlignment="1">
      <alignment horizontal="left" vertical="center" wrapText="1"/>
    </xf>
    <xf numFmtId="0" fontId="7" fillId="0" borderId="3" xfId="11" applyFont="1" applyBorder="1" applyAlignment="1">
      <alignment horizontal="left" vertical="center" wrapText="1"/>
    </xf>
    <xf numFmtId="0" fontId="12" fillId="2" borderId="62" xfId="11" applyFont="1" applyFill="1" applyBorder="1" applyAlignment="1">
      <alignment horizontal="center" vertical="center" shrinkToFit="1"/>
    </xf>
    <xf numFmtId="0" fontId="77" fillId="0" borderId="62" xfId="11" applyFont="1" applyBorder="1" applyAlignment="1">
      <alignment horizontal="left" vertical="center" wrapText="1" shrinkToFit="1"/>
    </xf>
    <xf numFmtId="0" fontId="7" fillId="2" borderId="46" xfId="11" applyFont="1" applyFill="1" applyBorder="1" applyAlignment="1">
      <alignment horizontal="center" shrinkToFit="1"/>
    </xf>
    <xf numFmtId="0" fontId="7" fillId="2" borderId="47" xfId="11" applyFont="1" applyFill="1" applyBorder="1" applyAlignment="1">
      <alignment horizontal="center" shrinkToFit="1"/>
    </xf>
    <xf numFmtId="0" fontId="7" fillId="2" borderId="63" xfId="11" applyFont="1" applyFill="1" applyBorder="1" applyAlignment="1">
      <alignment horizontal="center" shrinkToFit="1"/>
    </xf>
    <xf numFmtId="0" fontId="84" fillId="0" borderId="62" xfId="11" applyFont="1" applyBorder="1" applyAlignment="1">
      <alignment vertical="center" wrapText="1"/>
    </xf>
    <xf numFmtId="0" fontId="77" fillId="0" borderId="62" xfId="11" applyFont="1" applyBorder="1" applyAlignment="1">
      <alignment vertical="center" wrapText="1"/>
    </xf>
    <xf numFmtId="0" fontId="77" fillId="0" borderId="62" xfId="11" applyFont="1" applyBorder="1" applyAlignment="1">
      <alignment horizontal="center" shrinkToFit="1"/>
    </xf>
    <xf numFmtId="0" fontId="7" fillId="2" borderId="62" xfId="11" applyFont="1" applyFill="1" applyBorder="1" applyAlignment="1">
      <alignment horizontal="center" shrinkToFit="1"/>
    </xf>
    <xf numFmtId="0" fontId="35" fillId="0" borderId="35" xfId="11" applyFont="1" applyBorder="1" applyAlignment="1">
      <alignment horizontal="center" vertical="center" shrinkToFit="1"/>
    </xf>
    <xf numFmtId="0" fontId="35" fillId="0" borderId="36" xfId="11" applyFont="1" applyBorder="1" applyAlignment="1">
      <alignment horizontal="center" vertical="center" shrinkToFit="1"/>
    </xf>
    <xf numFmtId="0" fontId="7" fillId="2" borderId="19" xfId="11" applyFont="1" applyFill="1" applyBorder="1" applyAlignment="1">
      <alignment horizontal="center" vertical="center" shrinkToFit="1"/>
    </xf>
    <xf numFmtId="0" fontId="7" fillId="2" borderId="20" xfId="11" applyFont="1" applyFill="1" applyBorder="1" applyAlignment="1">
      <alignment horizontal="center" vertical="center" shrinkToFit="1"/>
    </xf>
    <xf numFmtId="0" fontId="7" fillId="2" borderId="21" xfId="11" applyFont="1" applyFill="1" applyBorder="1" applyAlignment="1">
      <alignment horizontal="center" vertical="center" shrinkToFit="1"/>
    </xf>
    <xf numFmtId="0" fontId="11" fillId="2" borderId="78" xfId="11" applyFont="1" applyFill="1" applyBorder="1" applyAlignment="1">
      <alignment horizontal="center" vertical="center" shrinkToFit="1"/>
    </xf>
    <xf numFmtId="0" fontId="11" fillId="2" borderId="26" xfId="11" applyFont="1" applyFill="1" applyBorder="1" applyAlignment="1">
      <alignment horizontal="center" vertical="center" shrinkToFit="1"/>
    </xf>
    <xf numFmtId="0" fontId="11" fillId="2" borderId="53" xfId="11" applyFont="1" applyFill="1" applyBorder="1" applyAlignment="1">
      <alignment horizontal="center" vertical="center" shrinkToFit="1"/>
    </xf>
    <xf numFmtId="0" fontId="12" fillId="2" borderId="19" xfId="11" applyFont="1" applyFill="1" applyBorder="1" applyAlignment="1">
      <alignment horizontal="center" vertical="center" shrinkToFit="1"/>
    </xf>
    <xf numFmtId="0" fontId="12" fillId="2" borderId="94" xfId="11" applyFont="1" applyFill="1" applyBorder="1" applyAlignment="1">
      <alignment horizontal="center" vertical="center" shrinkToFit="1"/>
    </xf>
    <xf numFmtId="0" fontId="77" fillId="0" borderId="62" xfId="11" applyFont="1" applyBorder="1" applyAlignment="1">
      <alignment horizontal="left" vertical="center" wrapText="1"/>
    </xf>
    <xf numFmtId="0" fontId="77" fillId="4" borderId="62" xfId="11" applyFont="1" applyFill="1" applyBorder="1" applyAlignment="1">
      <alignment horizontal="left" vertical="center" wrapText="1"/>
    </xf>
    <xf numFmtId="0" fontId="51" fillId="0" borderId="33" xfId="11" applyFont="1" applyBorder="1" applyAlignment="1">
      <alignment horizontal="left" vertical="center" shrinkToFit="1"/>
    </xf>
    <xf numFmtId="0" fontId="42" fillId="0" borderId="31" xfId="11" applyFont="1" applyBorder="1" applyAlignment="1">
      <alignment horizontal="center" vertical="center" shrinkToFit="1"/>
    </xf>
    <xf numFmtId="0" fontId="42" fillId="0" borderId="37" xfId="11" applyFont="1" applyBorder="1" applyAlignment="1">
      <alignment horizontal="center" vertical="center" shrinkToFit="1"/>
    </xf>
    <xf numFmtId="0" fontId="42" fillId="0" borderId="32" xfId="11" applyFont="1" applyBorder="1" applyAlignment="1">
      <alignment horizontal="center" vertical="center" shrinkToFit="1"/>
    </xf>
    <xf numFmtId="0" fontId="42" fillId="0" borderId="33" xfId="11" applyFont="1" applyBorder="1" applyAlignment="1">
      <alignment horizontal="center" vertical="center" shrinkToFit="1"/>
    </xf>
    <xf numFmtId="0" fontId="42" fillId="0" borderId="34" xfId="11" applyFont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195" fontId="120" fillId="10" borderId="22" xfId="15" applyNumberFormat="1" applyFont="1" applyFill="1" applyBorder="1" applyAlignment="1">
      <alignment horizontal="center" vertical="center"/>
    </xf>
    <xf numFmtId="195" fontId="120" fillId="5" borderId="22" xfId="15" applyNumberFormat="1" applyFont="1" applyFill="1" applyBorder="1" applyAlignment="1">
      <alignment horizontal="center" vertical="center"/>
    </xf>
    <xf numFmtId="0" fontId="106" fillId="11" borderId="22" xfId="15" applyFont="1" applyFill="1" applyBorder="1" applyAlignment="1">
      <alignment horizontal="center" vertical="center"/>
    </xf>
    <xf numFmtId="0" fontId="107" fillId="0" borderId="23" xfId="15" applyFont="1" applyBorder="1" applyAlignment="1">
      <alignment horizontal="center" vertical="center"/>
    </xf>
    <xf numFmtId="0" fontId="107" fillId="0" borderId="30" xfId="15" applyFont="1" applyBorder="1" applyAlignment="1">
      <alignment horizontal="center" vertical="center"/>
    </xf>
    <xf numFmtId="193" fontId="107" fillId="0" borderId="23" xfId="15" applyNumberFormat="1" applyFont="1" applyBorder="1" applyAlignment="1">
      <alignment horizontal="center" vertical="center"/>
    </xf>
    <xf numFmtId="193" fontId="107" fillId="0" borderId="30" xfId="15" applyNumberFormat="1" applyFont="1" applyBorder="1" applyAlignment="1">
      <alignment horizontal="center" vertical="center"/>
    </xf>
    <xf numFmtId="186" fontId="107" fillId="0" borderId="23" xfId="15" applyNumberFormat="1" applyFont="1" applyBorder="1" applyAlignment="1">
      <alignment horizontal="center" vertical="center"/>
    </xf>
    <xf numFmtId="186" fontId="107" fillId="0" borderId="30" xfId="15" applyNumberFormat="1" applyFont="1" applyBorder="1" applyAlignment="1">
      <alignment horizontal="center" vertical="center"/>
    </xf>
    <xf numFmtId="0" fontId="109" fillId="0" borderId="23" xfId="11" applyFont="1" applyBorder="1" applyAlignment="1">
      <alignment horizontal="center" vertical="center"/>
    </xf>
    <xf numFmtId="0" fontId="109" fillId="0" borderId="29" xfId="11" applyFont="1" applyBorder="1" applyAlignment="1">
      <alignment horizontal="center" vertical="center"/>
    </xf>
    <xf numFmtId="0" fontId="109" fillId="0" borderId="30" xfId="11" applyFont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 wrapText="1"/>
    </xf>
    <xf numFmtId="0" fontId="36" fillId="5" borderId="30" xfId="22" applyFont="1" applyFill="1" applyBorder="1" applyAlignment="1">
      <alignment horizontal="center" vertical="center" wrapText="1"/>
    </xf>
    <xf numFmtId="0" fontId="49" fillId="5" borderId="31" xfId="5" applyFont="1" applyFill="1" applyBorder="1" applyAlignment="1">
      <alignment horizontal="center" vertical="center"/>
    </xf>
    <xf numFmtId="0" fontId="49" fillId="5" borderId="37" xfId="5" applyFont="1" applyFill="1" applyBorder="1" applyAlignment="1">
      <alignment horizontal="center" vertical="center"/>
    </xf>
    <xf numFmtId="0" fontId="49" fillId="5" borderId="32" xfId="5" applyFont="1" applyFill="1" applyBorder="1" applyAlignment="1">
      <alignment horizontal="center" vertical="center"/>
    </xf>
    <xf numFmtId="0" fontId="49" fillId="5" borderId="33" xfId="5" applyFont="1" applyFill="1" applyBorder="1" applyAlignment="1">
      <alignment horizontal="center" vertical="center"/>
    </xf>
    <xf numFmtId="0" fontId="49" fillId="5" borderId="0" xfId="5" applyFont="1" applyFill="1" applyAlignment="1">
      <alignment horizontal="center" vertical="center"/>
    </xf>
    <xf numFmtId="0" fontId="49" fillId="5" borderId="34" xfId="5" applyFont="1" applyFill="1" applyBorder="1" applyAlignment="1">
      <alignment horizontal="center" vertical="center"/>
    </xf>
    <xf numFmtId="0" fontId="49" fillId="5" borderId="35" xfId="5" applyFont="1" applyFill="1" applyBorder="1" applyAlignment="1">
      <alignment horizontal="center" vertical="center"/>
    </xf>
    <xf numFmtId="0" fontId="49" fillId="5" borderId="26" xfId="5" applyFont="1" applyFill="1" applyBorder="1" applyAlignment="1">
      <alignment horizontal="center" vertical="center"/>
    </xf>
    <xf numFmtId="0" fontId="49" fillId="5" borderId="36" xfId="5" applyFont="1" applyFill="1" applyBorder="1" applyAlignment="1">
      <alignment horizontal="center" vertical="center"/>
    </xf>
    <xf numFmtId="0" fontId="124" fillId="0" borderId="31" xfId="11" applyFont="1" applyBorder="1" applyAlignment="1">
      <alignment horizontal="center" vertical="center"/>
    </xf>
    <xf numFmtId="0" fontId="31" fillId="0" borderId="32" xfId="11" applyFont="1" applyBorder="1" applyAlignment="1">
      <alignment horizontal="center" vertical="center"/>
    </xf>
    <xf numFmtId="0" fontId="31" fillId="0" borderId="33" xfId="11" applyFont="1" applyBorder="1" applyAlignment="1">
      <alignment horizontal="center" vertical="center"/>
    </xf>
    <xf numFmtId="0" fontId="31" fillId="0" borderId="34" xfId="11" applyFont="1" applyBorder="1" applyAlignment="1">
      <alignment horizontal="center" vertical="center"/>
    </xf>
    <xf numFmtId="0" fontId="31" fillId="0" borderId="35" xfId="11" applyFont="1" applyBorder="1" applyAlignment="1">
      <alignment horizontal="center" vertical="center"/>
    </xf>
    <xf numFmtId="0" fontId="31" fillId="0" borderId="36" xfId="11" applyFont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/>
    </xf>
    <xf numFmtId="0" fontId="93" fillId="5" borderId="22" xfId="22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93" fillId="5" borderId="23" xfId="22" applyFont="1" applyFill="1" applyBorder="1" applyAlignment="1">
      <alignment horizontal="center" vertical="center" wrapText="1"/>
    </xf>
    <xf numFmtId="0" fontId="38" fillId="5" borderId="27" xfId="22" applyFont="1" applyFill="1" applyBorder="1" applyAlignment="1">
      <alignment horizontal="center" vertical="center"/>
    </xf>
    <xf numFmtId="0" fontId="38" fillId="5" borderId="25" xfId="22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 wrapText="1"/>
    </xf>
    <xf numFmtId="0" fontId="38" fillId="5" borderId="25" xfId="22" applyFont="1" applyFill="1" applyBorder="1" applyAlignment="1">
      <alignment horizontal="center" vertical="center" wrapText="1"/>
    </xf>
    <xf numFmtId="0" fontId="61" fillId="5" borderId="31" xfId="22" applyFont="1" applyFill="1" applyBorder="1" applyAlignment="1">
      <alignment horizontal="center" vertical="center" wrapText="1"/>
    </xf>
    <xf numFmtId="0" fontId="61" fillId="5" borderId="37" xfId="22" applyFont="1" applyFill="1" applyBorder="1" applyAlignment="1">
      <alignment horizontal="center" vertical="center" wrapText="1"/>
    </xf>
    <xf numFmtId="0" fontId="61" fillId="5" borderId="32" xfId="22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40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7" xfId="5" applyFont="1" applyFill="1" applyBorder="1" applyAlignment="1">
      <alignment horizontal="center" vertical="center"/>
    </xf>
    <xf numFmtId="0" fontId="36" fillId="5" borderId="32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0" xfId="5" applyFont="1" applyFill="1" applyAlignment="1">
      <alignment horizontal="center" vertical="center"/>
    </xf>
    <xf numFmtId="0" fontId="36" fillId="5" borderId="34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6" xfId="5" applyFont="1" applyFill="1" applyBorder="1" applyAlignment="1">
      <alignment horizontal="center" vertical="center"/>
    </xf>
    <xf numFmtId="0" fontId="36" fillId="5" borderId="36" xfId="5" applyFont="1" applyFill="1" applyBorder="1" applyAlignment="1">
      <alignment horizontal="center" vertical="center"/>
    </xf>
    <xf numFmtId="0" fontId="31" fillId="0" borderId="31" xfId="11" applyFont="1" applyBorder="1" applyAlignment="1">
      <alignment horizontal="center" vertical="center"/>
    </xf>
    <xf numFmtId="0" fontId="36" fillId="5" borderId="29" xfId="22" applyFont="1" applyFill="1" applyBorder="1" applyAlignment="1">
      <alignment horizontal="center" vertical="center" wrapText="1"/>
    </xf>
    <xf numFmtId="0" fontId="36" fillId="5" borderId="29" xfId="5" applyFont="1" applyFill="1" applyBorder="1" applyAlignment="1">
      <alignment horizontal="center" vertical="center"/>
    </xf>
    <xf numFmtId="0" fontId="31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/>
    </xf>
    <xf numFmtId="0" fontId="36" fillId="5" borderId="30" xfId="22" applyFont="1" applyFill="1" applyBorder="1" applyAlignment="1">
      <alignment horizontal="center" vertical="center"/>
    </xf>
    <xf numFmtId="0" fontId="93" fillId="5" borderId="23" xfId="22" applyFont="1" applyFill="1" applyBorder="1" applyAlignment="1">
      <alignment horizontal="center" vertical="center"/>
    </xf>
    <xf numFmtId="0" fontId="93" fillId="5" borderId="30" xfId="22" applyFont="1" applyFill="1" applyBorder="1" applyAlignment="1">
      <alignment horizontal="center" vertical="center"/>
    </xf>
    <xf numFmtId="0" fontId="93" fillId="5" borderId="30" xfId="22" applyFont="1" applyFill="1" applyBorder="1" applyAlignment="1">
      <alignment horizontal="center" vertical="center" wrapText="1"/>
    </xf>
    <xf numFmtId="0" fontId="93" fillId="5" borderId="23" xfId="5" applyFont="1" applyFill="1" applyBorder="1" applyAlignment="1">
      <alignment horizontal="center" vertical="center"/>
    </xf>
    <xf numFmtId="0" fontId="93" fillId="5" borderId="29" xfId="5" applyFont="1" applyFill="1" applyBorder="1" applyAlignment="1">
      <alignment horizontal="center" vertical="center"/>
    </xf>
    <xf numFmtId="0" fontId="93" fillId="5" borderId="30" xfId="5" applyFont="1" applyFill="1" applyBorder="1" applyAlignment="1">
      <alignment horizontal="center" vertical="center"/>
    </xf>
    <xf numFmtId="0" fontId="36" fillId="5" borderId="27" xfId="5" applyFont="1" applyFill="1" applyBorder="1" applyAlignment="1">
      <alignment horizontal="center" vertical="center"/>
    </xf>
    <xf numFmtId="0" fontId="36" fillId="5" borderId="28" xfId="5" applyFont="1" applyFill="1" applyBorder="1" applyAlignment="1">
      <alignment horizontal="center" vertical="center"/>
    </xf>
    <xf numFmtId="0" fontId="36" fillId="5" borderId="25" xfId="5" applyFont="1" applyFill="1" applyBorder="1" applyAlignment="1">
      <alignment horizontal="center" vertical="center"/>
    </xf>
    <xf numFmtId="0" fontId="92" fillId="5" borderId="31" xfId="11" applyFont="1" applyFill="1" applyBorder="1" applyAlignment="1">
      <alignment horizontal="center" vertical="center"/>
    </xf>
    <xf numFmtId="0" fontId="92" fillId="5" borderId="32" xfId="11" applyFont="1" applyFill="1" applyBorder="1" applyAlignment="1">
      <alignment horizontal="center" vertical="center"/>
    </xf>
    <xf numFmtId="0" fontId="92" fillId="5" borderId="33" xfId="11" applyFont="1" applyFill="1" applyBorder="1" applyAlignment="1">
      <alignment horizontal="center" vertical="center"/>
    </xf>
    <xf numFmtId="0" fontId="92" fillId="5" borderId="34" xfId="11" applyFont="1" applyFill="1" applyBorder="1" applyAlignment="1">
      <alignment horizontal="center" vertical="center"/>
    </xf>
    <xf numFmtId="0" fontId="92" fillId="5" borderId="35" xfId="11" applyFont="1" applyFill="1" applyBorder="1" applyAlignment="1">
      <alignment horizontal="center" vertical="center"/>
    </xf>
    <xf numFmtId="0" fontId="92" fillId="5" borderId="36" xfId="11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/>
    </xf>
    <xf numFmtId="0" fontId="38" fillId="5" borderId="28" xfId="22" applyFont="1" applyFill="1" applyBorder="1" applyAlignment="1">
      <alignment horizontal="center"/>
    </xf>
    <xf numFmtId="0" fontId="38" fillId="5" borderId="25" xfId="22" applyFont="1" applyFill="1" applyBorder="1" applyAlignment="1">
      <alignment horizontal="center"/>
    </xf>
    <xf numFmtId="0" fontId="36" fillId="5" borderId="29" xfId="22" applyFont="1" applyFill="1" applyBorder="1" applyAlignment="1">
      <alignment horizontal="center" vertical="center"/>
    </xf>
    <xf numFmtId="0" fontId="93" fillId="5" borderId="22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37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/>
    <cellStyle name="一般 2 2" xfId="23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2 2 2 2 2" xfId="35"/>
    <cellStyle name="一般 2 2 30 2 2 30 2 2 2 2 3" xfId="33"/>
    <cellStyle name="一般 2 2 30 2 2 30 2 2 2 3" xfId="31"/>
    <cellStyle name="一般 2 2 30 2 2 30 2 2 3" xfId="28"/>
    <cellStyle name="一般 2 2 30 2 2 30 2 3" xfId="15"/>
    <cellStyle name="一般 2 2 30 2 2 30 2 3 2" xfId="29"/>
    <cellStyle name="一般 2 2 30 2 2 30 2 4" xfId="25"/>
    <cellStyle name="一般 2 2 30 2 3 2" xfId="6"/>
    <cellStyle name="一般 2 2 30 2 3 2 2" xfId="16"/>
    <cellStyle name="一般 2 2 30 2 3 2 2 2" xfId="18"/>
    <cellStyle name="一般 2 2 30 2 3 2 2 2 2" xfId="32"/>
    <cellStyle name="一般 2 2 30 2 3 2 2 3" xfId="30"/>
    <cellStyle name="一般 2 2 30 2 3 2 3" xfId="26"/>
    <cellStyle name="一般 2 2 30 3 30" xfId="7"/>
    <cellStyle name="一般 2 2 30 3 30 2" xfId="27"/>
    <cellStyle name="一般 3" xfId="11"/>
    <cellStyle name="一般 4" xfId="5"/>
    <cellStyle name="千分位 2" xfId="2"/>
    <cellStyle name="千分位 2 2" xfId="24"/>
    <cellStyle name="千分位 3" xfId="21"/>
    <cellStyle name="千分位 3 2" xfId="34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(&#9679;)&#22823;&#28330;&#24288;&#29983;&#29986;&#31649;&#29702;&#22577;&#34920;cora(0714-07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W2"/>
      <sheetName val="W3"/>
      <sheetName val="W4"/>
      <sheetName val="W5"/>
      <sheetName val="W6"/>
      <sheetName val="W7"/>
      <sheetName val="W1"/>
      <sheetName val="產能清單0714"/>
      <sheetName val="（２）ＫＰＩ達成進度"/>
      <sheetName val="貼訂購銷售表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產能清單0623"/>
      <sheetName val="產能清單0629"/>
      <sheetName val="（５-8）品群別人時生產性(季節調理麵) --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/>
  <dimension ref="B1:P45"/>
  <sheetViews>
    <sheetView workbookViewId="0">
      <selection activeCell="I4" sqref="I4:I7"/>
    </sheetView>
  </sheetViews>
  <sheetFormatPr defaultColWidth="8.7109375" defaultRowHeight="13.5"/>
  <cols>
    <col min="1" max="1" width="8.7109375" style="392"/>
    <col min="2" max="2" width="27.7109375" style="392" bestFit="1" customWidth="1"/>
    <col min="3" max="3" width="34.7109375" style="392" customWidth="1"/>
    <col min="4" max="15" width="12.7109375" style="392" customWidth="1"/>
    <col min="16" max="16" width="15.7109375" style="392" customWidth="1"/>
    <col min="17" max="16384" width="8.7109375" style="392"/>
  </cols>
  <sheetData>
    <row r="1" spans="2:16" ht="18.75">
      <c r="B1" s="531" t="s">
        <v>197</v>
      </c>
      <c r="C1" s="532"/>
      <c r="D1" s="400" t="s">
        <v>485</v>
      </c>
      <c r="E1" s="400" t="s">
        <v>487</v>
      </c>
      <c r="F1" s="400" t="s">
        <v>488</v>
      </c>
      <c r="G1" s="400" t="s">
        <v>489</v>
      </c>
      <c r="H1" s="400" t="s">
        <v>490</v>
      </c>
      <c r="I1" s="400" t="s">
        <v>491</v>
      </c>
      <c r="J1" s="400" t="s">
        <v>492</v>
      </c>
      <c r="K1" s="400" t="s">
        <v>493</v>
      </c>
      <c r="L1" s="400" t="s">
        <v>494</v>
      </c>
      <c r="M1" s="400" t="s">
        <v>495</v>
      </c>
      <c r="N1" s="400" t="s">
        <v>496</v>
      </c>
      <c r="O1" s="400" t="s">
        <v>497</v>
      </c>
      <c r="P1" s="401" t="s">
        <v>498</v>
      </c>
    </row>
    <row r="2" spans="2:16" ht="15.75">
      <c r="B2" s="528" t="s">
        <v>509</v>
      </c>
      <c r="C2" s="413" t="s">
        <v>499</v>
      </c>
      <c r="D2" s="402">
        <v>146299.93539000006</v>
      </c>
      <c r="E2" s="402">
        <v>116569.43023000001</v>
      </c>
      <c r="F2" s="402">
        <v>148837.99842999995</v>
      </c>
      <c r="G2" s="402">
        <v>160648.31477000003</v>
      </c>
      <c r="H2" s="402">
        <v>181836.62618999998</v>
      </c>
      <c r="I2" s="402">
        <v>194099.28702000002</v>
      </c>
      <c r="J2" s="402"/>
      <c r="K2" s="402"/>
      <c r="L2" s="402"/>
      <c r="M2" s="402"/>
      <c r="N2" s="402"/>
      <c r="O2" s="402"/>
      <c r="P2" s="414">
        <f>SUM(D2:O2)</f>
        <v>948291.59203000006</v>
      </c>
    </row>
    <row r="3" spans="2:16" ht="15.75">
      <c r="B3" s="528"/>
      <c r="C3" s="413" t="s">
        <v>500</v>
      </c>
      <c r="D3" s="402">
        <v>4768701</v>
      </c>
      <c r="E3" s="402">
        <v>3787002</v>
      </c>
      <c r="F3" s="402">
        <v>5045753</v>
      </c>
      <c r="G3" s="402">
        <v>5396292</v>
      </c>
      <c r="H3" s="402">
        <v>6084520</v>
      </c>
      <c r="I3" s="402">
        <v>6275618</v>
      </c>
      <c r="J3" s="402"/>
      <c r="K3" s="402"/>
      <c r="L3" s="402"/>
      <c r="M3" s="402"/>
      <c r="N3" s="402"/>
      <c r="O3" s="402"/>
      <c r="P3" s="414">
        <f>SUM(D3:O3)</f>
        <v>31357886</v>
      </c>
    </row>
    <row r="4" spans="2:16" ht="15.75">
      <c r="B4" s="528"/>
      <c r="C4" s="413" t="s">
        <v>501</v>
      </c>
      <c r="D4" s="402">
        <v>93253</v>
      </c>
      <c r="E4" s="402">
        <v>74777</v>
      </c>
      <c r="F4" s="402">
        <v>93614</v>
      </c>
      <c r="G4" s="402">
        <v>104435</v>
      </c>
      <c r="H4" s="402">
        <v>116562</v>
      </c>
      <c r="I4" s="402">
        <v>126964</v>
      </c>
      <c r="J4" s="402"/>
      <c r="K4" s="402"/>
      <c r="L4" s="402"/>
      <c r="M4" s="402"/>
      <c r="N4" s="402"/>
      <c r="O4" s="402"/>
      <c r="P4" s="414">
        <f>SUM(D4:O4)</f>
        <v>609605</v>
      </c>
    </row>
    <row r="5" spans="2:16" ht="15.75">
      <c r="B5" s="528"/>
      <c r="C5" s="415" t="s">
        <v>510</v>
      </c>
      <c r="D5" s="416">
        <v>0.65500000000000003</v>
      </c>
      <c r="E5" s="416">
        <v>0.65300000000000002</v>
      </c>
      <c r="F5" s="416">
        <v>0.64800000000000002</v>
      </c>
      <c r="G5" s="416">
        <v>0.66300000000000003</v>
      </c>
      <c r="H5" s="416">
        <v>0.67200000000000004</v>
      </c>
      <c r="I5" s="416">
        <v>0.67500000000000004</v>
      </c>
      <c r="J5" s="417" t="str">
        <f t="shared" ref="J5:O5" si="0">IFERROR(J4/J2, "")</f>
        <v/>
      </c>
      <c r="K5" s="417" t="str">
        <f t="shared" si="0"/>
        <v/>
      </c>
      <c r="L5" s="417" t="str">
        <f t="shared" si="0"/>
        <v/>
      </c>
      <c r="M5" s="417" t="str">
        <f t="shared" si="0"/>
        <v/>
      </c>
      <c r="N5" s="417" t="str">
        <f t="shared" si="0"/>
        <v/>
      </c>
      <c r="O5" s="417" t="str">
        <f t="shared" si="0"/>
        <v/>
      </c>
      <c r="P5" s="418">
        <f>AVERAGEIF(D5:O5, "&gt;0")</f>
        <v>0.66100000000000003</v>
      </c>
    </row>
    <row r="6" spans="2:16" ht="15.75">
      <c r="B6" s="528"/>
      <c r="C6" s="413" t="s">
        <v>502</v>
      </c>
      <c r="D6" s="402">
        <v>22378</v>
      </c>
      <c r="E6" s="402">
        <v>22860</v>
      </c>
      <c r="F6" s="402">
        <v>22710</v>
      </c>
      <c r="G6" s="402">
        <v>23226</v>
      </c>
      <c r="H6" s="402">
        <v>24474</v>
      </c>
      <c r="I6" s="402">
        <v>26795</v>
      </c>
      <c r="J6" s="402"/>
      <c r="K6" s="402"/>
      <c r="L6" s="402"/>
      <c r="M6" s="402"/>
      <c r="N6" s="402"/>
      <c r="O6" s="402"/>
      <c r="P6" s="414">
        <f t="shared" ref="P6" si="1">SUM(D6:O6)</f>
        <v>142443</v>
      </c>
    </row>
    <row r="7" spans="2:16" ht="15.75">
      <c r="B7" s="528"/>
      <c r="C7" s="415" t="s">
        <v>511</v>
      </c>
      <c r="D7" s="416">
        <v>0.157</v>
      </c>
      <c r="E7" s="416">
        <v>0.2</v>
      </c>
      <c r="F7" s="416">
        <v>0.157</v>
      </c>
      <c r="G7" s="416">
        <v>0.14699999999999999</v>
      </c>
      <c r="H7" s="416">
        <v>0.14099999999999999</v>
      </c>
      <c r="I7" s="416">
        <v>0.14199999999999999</v>
      </c>
      <c r="J7" s="417" t="str">
        <f t="shared" ref="J7:O7" si="2">IFERROR(J6/J2, "")</f>
        <v/>
      </c>
      <c r="K7" s="417" t="str">
        <f t="shared" si="2"/>
        <v/>
      </c>
      <c r="L7" s="417" t="str">
        <f t="shared" si="2"/>
        <v/>
      </c>
      <c r="M7" s="417" t="str">
        <f t="shared" si="2"/>
        <v/>
      </c>
      <c r="N7" s="417" t="str">
        <f t="shared" si="2"/>
        <v/>
      </c>
      <c r="O7" s="417" t="str">
        <f t="shared" si="2"/>
        <v/>
      </c>
      <c r="P7" s="418">
        <f>AVERAGEIF(D7:O7, "&gt;0")</f>
        <v>0.15733333333333335</v>
      </c>
    </row>
    <row r="8" spans="2:16" ht="15.75">
      <c r="B8" s="419"/>
      <c r="C8" s="413"/>
      <c r="D8" s="402"/>
      <c r="E8" s="402"/>
      <c r="F8" s="402"/>
      <c r="G8" s="402"/>
      <c r="H8" s="402"/>
      <c r="I8" s="402"/>
      <c r="J8" s="402"/>
      <c r="K8" s="402"/>
      <c r="L8" s="402"/>
      <c r="M8" s="402"/>
      <c r="N8" s="402"/>
      <c r="O8" s="402"/>
      <c r="P8" s="414"/>
    </row>
    <row r="9" spans="2:16" ht="15.75">
      <c r="B9" s="528" t="s">
        <v>130</v>
      </c>
      <c r="C9" s="413" t="s">
        <v>512</v>
      </c>
      <c r="D9" s="420">
        <v>497.6</v>
      </c>
      <c r="E9" s="420">
        <v>497.6</v>
      </c>
      <c r="F9" s="420">
        <v>497.6</v>
      </c>
      <c r="G9" s="420">
        <v>497.6</v>
      </c>
      <c r="H9" s="403">
        <v>497.6</v>
      </c>
      <c r="I9" s="403">
        <v>497.6</v>
      </c>
      <c r="J9" s="403"/>
      <c r="K9" s="403"/>
      <c r="L9" s="403"/>
      <c r="M9" s="403"/>
      <c r="N9" s="403"/>
      <c r="O9" s="403"/>
      <c r="P9" s="421">
        <f>AVERAGEIF(D9:O9, "&gt;0")</f>
        <v>497.59999999999997</v>
      </c>
    </row>
    <row r="10" spans="2:16" ht="15.75">
      <c r="B10" s="528"/>
      <c r="C10" s="413" t="s">
        <v>503</v>
      </c>
      <c r="D10" s="420">
        <v>458.3841382804668</v>
      </c>
      <c r="E10" s="420">
        <v>476.04171528829499</v>
      </c>
      <c r="F10" s="420">
        <v>409.81563372836604</v>
      </c>
      <c r="G10" s="403">
        <v>402.86432092718081</v>
      </c>
      <c r="H10" s="403">
        <v>419.38045550218868</v>
      </c>
      <c r="I10" s="403">
        <v>425.95259125022073</v>
      </c>
      <c r="J10" s="403"/>
      <c r="K10" s="403"/>
      <c r="L10" s="403"/>
      <c r="M10" s="403"/>
      <c r="N10" s="403"/>
      <c r="O10" s="403"/>
      <c r="P10" s="421">
        <f>AVERAGEIF(D10:O10, "&gt;0")</f>
        <v>432.07314249611971</v>
      </c>
    </row>
    <row r="11" spans="2:16" ht="15.75">
      <c r="B11" s="528"/>
      <c r="C11" s="415" t="s">
        <v>504</v>
      </c>
      <c r="D11" s="417">
        <f t="shared" ref="D11:O11" si="3">IFERROR(D10/D9, "")</f>
        <v>0.92118998850576117</v>
      </c>
      <c r="E11" s="417">
        <f t="shared" si="3"/>
        <v>0.95667547284625198</v>
      </c>
      <c r="F11" s="417">
        <f t="shared" si="3"/>
        <v>0.82358447292678061</v>
      </c>
      <c r="G11" s="417">
        <f t="shared" si="3"/>
        <v>0.80961479286008997</v>
      </c>
      <c r="H11" s="417">
        <v>0.94796667156914272</v>
      </c>
      <c r="I11" s="417">
        <v>0.96282231295257903</v>
      </c>
      <c r="J11" s="417" t="str">
        <f t="shared" si="3"/>
        <v/>
      </c>
      <c r="K11" s="417" t="str">
        <f t="shared" si="3"/>
        <v/>
      </c>
      <c r="L11" s="417" t="str">
        <f t="shared" si="3"/>
        <v/>
      </c>
      <c r="M11" s="417" t="str">
        <f t="shared" si="3"/>
        <v/>
      </c>
      <c r="N11" s="417" t="str">
        <f t="shared" si="3"/>
        <v/>
      </c>
      <c r="O11" s="417" t="str">
        <f t="shared" si="3"/>
        <v/>
      </c>
      <c r="P11" s="422">
        <f>AVERAGEIF(D11:O11, "&gt;0")</f>
        <v>0.90364228527676749</v>
      </c>
    </row>
    <row r="12" spans="2:16" ht="15.75">
      <c r="B12" s="528"/>
      <c r="C12" s="413" t="s">
        <v>505</v>
      </c>
      <c r="D12" s="405">
        <v>2.4135432458014692E-3</v>
      </c>
      <c r="E12" s="404">
        <v>2.3657636051419204E-3</v>
      </c>
      <c r="F12" s="404">
        <v>2.0222247634522129E-3</v>
      </c>
      <c r="G12" s="404">
        <v>2.0113648122943311E-3</v>
      </c>
      <c r="H12" s="404">
        <v>2.0088240498114199E-3</v>
      </c>
      <c r="I12" s="404">
        <v>2.0072505835617024E-3</v>
      </c>
      <c r="J12" s="404"/>
      <c r="K12" s="404"/>
      <c r="L12" s="404"/>
      <c r="M12" s="404"/>
      <c r="N12" s="404"/>
      <c r="O12" s="404"/>
      <c r="P12" s="423">
        <f>AVERAGEIF(D12:O12, "&gt;0")</f>
        <v>2.1381618433438426E-3</v>
      </c>
    </row>
    <row r="13" spans="2:16" ht="15.75">
      <c r="B13" s="528"/>
      <c r="C13" s="413" t="s">
        <v>506</v>
      </c>
      <c r="D13" s="405">
        <v>5.599443330875099E-3</v>
      </c>
      <c r="E13" s="405">
        <v>5.2393000579921759E-3</v>
      </c>
      <c r="F13" s="405">
        <v>4.8799137535570384E-3</v>
      </c>
      <c r="G13" s="405">
        <v>4.3085188206646403E-3</v>
      </c>
      <c r="H13" s="405">
        <v>6.1874817008048359E-3</v>
      </c>
      <c r="I13" s="405">
        <v>6.077521140456379E-3</v>
      </c>
      <c r="J13" s="405"/>
      <c r="K13" s="405"/>
      <c r="L13" s="405"/>
      <c r="M13" s="405"/>
      <c r="N13" s="405"/>
      <c r="O13" s="405"/>
      <c r="P13" s="422">
        <f>AVERAGEIF(D13:O13, "&gt;0")</f>
        <v>5.3820298007250279E-3</v>
      </c>
    </row>
    <row r="14" spans="2:16" ht="15.75">
      <c r="B14" s="528"/>
      <c r="C14" s="413" t="s">
        <v>513</v>
      </c>
      <c r="D14" s="405">
        <v>0.89999999999999947</v>
      </c>
      <c r="E14" s="405">
        <v>0.89999999999999958</v>
      </c>
      <c r="F14" s="405">
        <v>0.89999999999999947</v>
      </c>
      <c r="G14" s="405">
        <v>0.89999999999999958</v>
      </c>
      <c r="H14" s="405">
        <v>0.89999999999999947</v>
      </c>
      <c r="I14" s="405">
        <v>0.89999999999999958</v>
      </c>
      <c r="J14" s="405"/>
      <c r="K14" s="405"/>
      <c r="L14" s="405"/>
      <c r="M14" s="405"/>
      <c r="N14" s="405"/>
      <c r="O14" s="405"/>
      <c r="P14" s="422">
        <f t="shared" ref="P14" si="4">AVERAGEIF(D14:O14, "&gt;0")</f>
        <v>0.89999999999999947</v>
      </c>
    </row>
    <row r="15" spans="2:16" ht="15.75">
      <c r="B15" s="528"/>
      <c r="C15" s="413" t="s">
        <v>514</v>
      </c>
      <c r="D15" s="405">
        <v>5.7692307692307702E-2</v>
      </c>
      <c r="E15" s="405">
        <v>0.13873626373626369</v>
      </c>
      <c r="F15" s="405">
        <v>0.21960297766749381</v>
      </c>
      <c r="G15" s="405">
        <v>0.30384615384615377</v>
      </c>
      <c r="H15" s="405">
        <v>0.38709677419354849</v>
      </c>
      <c r="I15" s="405">
        <v>0.47115384615384609</v>
      </c>
      <c r="J15" s="405"/>
      <c r="K15" s="405"/>
      <c r="L15" s="405"/>
      <c r="M15" s="405"/>
      <c r="N15" s="405"/>
      <c r="O15" s="405"/>
      <c r="P15" s="422">
        <f>MAX(D15:O15)</f>
        <v>0.47115384615384609</v>
      </c>
    </row>
    <row r="16" spans="2:16" ht="15.75">
      <c r="B16" s="419"/>
      <c r="C16" s="413"/>
      <c r="D16" s="405"/>
      <c r="E16" s="405"/>
      <c r="F16" s="405"/>
      <c r="G16" s="405"/>
      <c r="H16" s="405"/>
      <c r="I16" s="405"/>
      <c r="J16" s="405"/>
      <c r="K16" s="405"/>
      <c r="L16" s="405"/>
      <c r="M16" s="405"/>
      <c r="N16" s="405"/>
      <c r="O16" s="405"/>
      <c r="P16" s="422"/>
    </row>
    <row r="17" spans="2:16" ht="15.75">
      <c r="B17" s="529" t="s">
        <v>515</v>
      </c>
      <c r="C17" s="413" t="s">
        <v>516</v>
      </c>
      <c r="D17" s="424">
        <v>0.36139567422949059</v>
      </c>
      <c r="E17" s="424">
        <v>0.34737656751091073</v>
      </c>
      <c r="F17" s="424">
        <v>0.36414345188530645</v>
      </c>
      <c r="G17" s="424">
        <v>0.38079955956950995</v>
      </c>
      <c r="H17" s="424">
        <v>0.36318310058720077</v>
      </c>
      <c r="I17" s="424">
        <v>0.29977346874027683</v>
      </c>
      <c r="J17" s="424"/>
      <c r="K17" s="424"/>
      <c r="L17" s="424"/>
      <c r="M17" s="424"/>
      <c r="N17" s="424"/>
      <c r="O17" s="424"/>
      <c r="P17" s="422">
        <f>AVERAGEIF(D17:O17, "&gt;0")</f>
        <v>0.35277863708711593</v>
      </c>
    </row>
    <row r="18" spans="2:16" ht="15.75">
      <c r="B18" s="533"/>
      <c r="C18" s="413" t="s">
        <v>222</v>
      </c>
      <c r="D18" s="424">
        <v>6.9633574224369291E-2</v>
      </c>
      <c r="E18" s="424">
        <v>7.7793665132509071E-2</v>
      </c>
      <c r="F18" s="424">
        <v>8.4480826486750038E-2</v>
      </c>
      <c r="G18" s="424">
        <v>6.0267903798814304E-2</v>
      </c>
      <c r="H18" s="424">
        <v>4.1707027010475142E-2</v>
      </c>
      <c r="I18" s="424">
        <v>3.5290065487433755E-2</v>
      </c>
      <c r="J18" s="424"/>
      <c r="K18" s="424"/>
      <c r="L18" s="424"/>
      <c r="M18" s="424"/>
      <c r="N18" s="424"/>
      <c r="O18" s="424"/>
      <c r="P18" s="422">
        <f t="shared" ref="P18:P45" si="5">AVERAGEIF(D18:O18, "&gt;0")</f>
        <v>6.1528843690058593E-2</v>
      </c>
    </row>
    <row r="19" spans="2:16" ht="15.75">
      <c r="B19" s="533"/>
      <c r="C19" s="413" t="s">
        <v>235</v>
      </c>
      <c r="D19" s="424">
        <v>2.2453221877666876E-2</v>
      </c>
      <c r="E19" s="424">
        <v>2.1676449691951108E-2</v>
      </c>
      <c r="F19" s="424">
        <v>2.4365160296787799E-2</v>
      </c>
      <c r="G19" s="424">
        <v>1.8891117808144807E-2</v>
      </c>
      <c r="H19" s="424">
        <v>1.3969000103124941E-2</v>
      </c>
      <c r="I19" s="424">
        <v>1.0903808522397734E-2</v>
      </c>
      <c r="J19" s="424"/>
      <c r="K19" s="424"/>
      <c r="L19" s="424"/>
      <c r="M19" s="424"/>
      <c r="N19" s="424"/>
      <c r="O19" s="424"/>
      <c r="P19" s="422">
        <f t="shared" si="5"/>
        <v>1.8709793050012212E-2</v>
      </c>
    </row>
    <row r="20" spans="2:16" ht="15.75">
      <c r="B20" s="533"/>
      <c r="C20" s="413" t="s">
        <v>220</v>
      </c>
      <c r="D20" s="424">
        <v>8.5850389930237133E-3</v>
      </c>
      <c r="E20" s="424">
        <v>9.9523222144173289E-3</v>
      </c>
      <c r="F20" s="424">
        <v>1.4684918119400437E-2</v>
      </c>
      <c r="G20" s="424">
        <v>2.8316295795027466E-2</v>
      </c>
      <c r="H20" s="424">
        <v>3.4128077824737396E-2</v>
      </c>
      <c r="I20" s="424">
        <v>4.9548361396139648E-2</v>
      </c>
      <c r="J20" s="424"/>
      <c r="K20" s="424"/>
      <c r="L20" s="424"/>
      <c r="M20" s="424"/>
      <c r="N20" s="424"/>
      <c r="O20" s="424"/>
      <c r="P20" s="422">
        <f t="shared" si="5"/>
        <v>2.4202502390457663E-2</v>
      </c>
    </row>
    <row r="21" spans="2:16" ht="15.75">
      <c r="B21" s="533"/>
      <c r="C21" s="413" t="s">
        <v>224</v>
      </c>
      <c r="D21" s="424">
        <v>0.16215294044225204</v>
      </c>
      <c r="E21" s="424">
        <v>0.18214707911075978</v>
      </c>
      <c r="F21" s="424">
        <v>0.20289323995580696</v>
      </c>
      <c r="G21" s="424">
        <v>0.15628267987712793</v>
      </c>
      <c r="H21" s="424">
        <v>0.13415543936957161</v>
      </c>
      <c r="I21" s="424">
        <v>0.13432459995236101</v>
      </c>
      <c r="J21" s="424"/>
      <c r="K21" s="424"/>
      <c r="L21" s="424"/>
      <c r="M21" s="424"/>
      <c r="N21" s="424"/>
      <c r="O21" s="424"/>
      <c r="P21" s="422">
        <f t="shared" si="5"/>
        <v>0.16199266311797991</v>
      </c>
    </row>
    <row r="22" spans="2:16" ht="15.75">
      <c r="B22" s="533"/>
      <c r="C22" s="413" t="s">
        <v>226</v>
      </c>
      <c r="D22" s="424">
        <v>0.27057088032525339</v>
      </c>
      <c r="E22" s="424">
        <v>0.27529225824200032</v>
      </c>
      <c r="F22" s="424">
        <v>0.29293399487971084</v>
      </c>
      <c r="G22" s="424">
        <v>0.27842233710348685</v>
      </c>
      <c r="H22" s="424">
        <v>0.26474822074458115</v>
      </c>
      <c r="I22" s="424">
        <v>0.22905816354399502</v>
      </c>
      <c r="J22" s="424"/>
      <c r="K22" s="424"/>
      <c r="L22" s="424"/>
      <c r="M22" s="424"/>
      <c r="N22" s="424"/>
      <c r="O22" s="424"/>
      <c r="P22" s="422">
        <f t="shared" si="5"/>
        <v>0.26850430913983797</v>
      </c>
    </row>
    <row r="23" spans="2:16" ht="15.75">
      <c r="B23" s="533"/>
      <c r="C23" s="413" t="s">
        <v>236</v>
      </c>
      <c r="D23" s="424">
        <v>2.9234371078829206E-2</v>
      </c>
      <c r="E23" s="424">
        <v>8.9796818765835347E-3</v>
      </c>
      <c r="F23" s="424">
        <v>0</v>
      </c>
      <c r="G23" s="424">
        <v>0</v>
      </c>
      <c r="H23" s="424">
        <v>0</v>
      </c>
      <c r="I23" s="424">
        <v>0</v>
      </c>
      <c r="J23" s="424"/>
      <c r="K23" s="424"/>
      <c r="L23" s="424"/>
      <c r="M23" s="424"/>
      <c r="N23" s="424"/>
      <c r="O23" s="424"/>
      <c r="P23" s="422">
        <f t="shared" si="5"/>
        <v>1.910702647770637E-2</v>
      </c>
    </row>
    <row r="24" spans="2:16" ht="15.75">
      <c r="B24" s="533"/>
      <c r="C24" s="413" t="s">
        <v>237</v>
      </c>
      <c r="D24" s="424">
        <v>4.0564165966170615E-2</v>
      </c>
      <c r="E24" s="424">
        <v>4.0109498783470192E-2</v>
      </c>
      <c r="F24" s="424">
        <v>1.6541184549440737E-3</v>
      </c>
      <c r="G24" s="424">
        <v>6.4343547299571813E-2</v>
      </c>
      <c r="H24" s="424">
        <v>0.13502459319909141</v>
      </c>
      <c r="I24" s="424">
        <v>0.17184921115430482</v>
      </c>
      <c r="J24" s="424"/>
      <c r="K24" s="424"/>
      <c r="L24" s="424"/>
      <c r="M24" s="424"/>
      <c r="N24" s="424"/>
      <c r="O24" s="424"/>
      <c r="P24" s="422">
        <f t="shared" si="5"/>
        <v>7.559085580959217E-2</v>
      </c>
    </row>
    <row r="25" spans="2:16" ht="15.75">
      <c r="B25" s="534"/>
      <c r="C25" s="413" t="s">
        <v>232</v>
      </c>
      <c r="D25" s="424">
        <v>3.5410132862943831E-2</v>
      </c>
      <c r="E25" s="424">
        <v>3.6672477437397863E-2</v>
      </c>
      <c r="F25" s="424">
        <v>1.4844289921293864E-2</v>
      </c>
      <c r="G25" s="424">
        <v>1.2676558748316833E-2</v>
      </c>
      <c r="H25" s="424">
        <v>1.308454116121764E-2</v>
      </c>
      <c r="I25" s="424">
        <v>6.925232120309105E-2</v>
      </c>
      <c r="J25" s="424"/>
      <c r="K25" s="424"/>
      <c r="L25" s="424"/>
      <c r="M25" s="424"/>
      <c r="N25" s="424"/>
      <c r="O25" s="424"/>
      <c r="P25" s="422">
        <f t="shared" si="5"/>
        <v>3.0323386889043513E-2</v>
      </c>
    </row>
    <row r="26" spans="2:16" ht="15.75">
      <c r="B26" s="419"/>
      <c r="C26" s="413"/>
      <c r="D26" s="405"/>
      <c r="E26" s="405"/>
      <c r="F26" s="405"/>
      <c r="G26" s="405"/>
      <c r="H26" s="405"/>
      <c r="I26" s="405"/>
      <c r="J26" s="405"/>
      <c r="K26" s="405"/>
      <c r="L26" s="405"/>
      <c r="M26" s="405"/>
      <c r="N26" s="405"/>
      <c r="O26" s="405"/>
      <c r="P26" s="422"/>
    </row>
    <row r="27" spans="2:16" ht="15.75">
      <c r="B27" s="529" t="s">
        <v>517</v>
      </c>
      <c r="C27" s="413" t="s">
        <v>516</v>
      </c>
      <c r="D27" s="424">
        <v>0.58577126139802016</v>
      </c>
      <c r="E27" s="424">
        <v>0.57025346170928881</v>
      </c>
      <c r="F27" s="424">
        <v>0.57640851623137324</v>
      </c>
      <c r="G27" s="424">
        <v>0.58366911946203059</v>
      </c>
      <c r="H27" s="424">
        <v>0.56064800510147061</v>
      </c>
      <c r="I27" s="424">
        <v>0.49244058513440431</v>
      </c>
      <c r="J27" s="424"/>
      <c r="K27" s="424"/>
      <c r="L27" s="424"/>
      <c r="M27" s="424"/>
      <c r="N27" s="424"/>
      <c r="O27" s="424"/>
      <c r="P27" s="422">
        <f>AVERAGEIF(D27:O27, "&gt;0")</f>
        <v>0.56153182483943131</v>
      </c>
    </row>
    <row r="28" spans="2:16" ht="15.75">
      <c r="B28" s="533"/>
      <c r="C28" s="413" t="s">
        <v>222</v>
      </c>
      <c r="D28" s="424">
        <v>8.1693945583923164E-2</v>
      </c>
      <c r="E28" s="424">
        <v>9.1615478418020382E-2</v>
      </c>
      <c r="F28" s="424">
        <v>0.10179987010858439</v>
      </c>
      <c r="G28" s="424">
        <v>6.8907686982098079E-2</v>
      </c>
      <c r="H28" s="424">
        <v>4.4634580870799995E-2</v>
      </c>
      <c r="I28" s="424">
        <v>3.785093356542734E-2</v>
      </c>
      <c r="J28" s="424"/>
      <c r="K28" s="424"/>
      <c r="L28" s="424"/>
      <c r="M28" s="424"/>
      <c r="N28" s="424"/>
      <c r="O28" s="424"/>
      <c r="P28" s="422">
        <f t="shared" si="5"/>
        <v>7.1083749254808884E-2</v>
      </c>
    </row>
    <row r="29" spans="2:16" ht="15.75">
      <c r="B29" s="533"/>
      <c r="C29" s="413" t="s">
        <v>235</v>
      </c>
      <c r="D29" s="424">
        <v>2.4966128092325353E-2</v>
      </c>
      <c r="E29" s="424">
        <v>2.3825971045169769E-2</v>
      </c>
      <c r="F29" s="424">
        <v>2.6809080825002728E-2</v>
      </c>
      <c r="G29" s="424">
        <v>2.031339297428679E-2</v>
      </c>
      <c r="H29" s="424">
        <v>1.4309263508049936E-2</v>
      </c>
      <c r="I29" s="424">
        <v>1.1252756302247842E-2</v>
      </c>
      <c r="J29" s="424"/>
      <c r="K29" s="424"/>
      <c r="L29" s="424"/>
      <c r="M29" s="424"/>
      <c r="N29" s="424"/>
      <c r="O29" s="424"/>
      <c r="P29" s="422">
        <f t="shared" si="5"/>
        <v>2.0246098791180403E-2</v>
      </c>
    </row>
    <row r="30" spans="2:16" ht="15.75">
      <c r="B30" s="533"/>
      <c r="C30" s="413" t="s">
        <v>220</v>
      </c>
      <c r="D30" s="424">
        <v>9.7963785106258503E-3</v>
      </c>
      <c r="E30" s="424">
        <v>1.1706621755150907E-2</v>
      </c>
      <c r="F30" s="424">
        <v>1.640151628508173E-2</v>
      </c>
      <c r="G30" s="424">
        <v>3.1347821800599376E-2</v>
      </c>
      <c r="H30" s="424">
        <v>4.8132802587550046E-2</v>
      </c>
      <c r="I30" s="424">
        <v>6.2276894482742574E-2</v>
      </c>
      <c r="J30" s="424"/>
      <c r="K30" s="424"/>
      <c r="L30" s="424"/>
      <c r="M30" s="424"/>
      <c r="N30" s="424"/>
      <c r="O30" s="424"/>
      <c r="P30" s="422">
        <f t="shared" si="5"/>
        <v>2.9943672570291745E-2</v>
      </c>
    </row>
    <row r="31" spans="2:16" ht="15.75">
      <c r="B31" s="533"/>
      <c r="C31" s="413" t="s">
        <v>224</v>
      </c>
      <c r="D31" s="424">
        <v>8.9953008167213674E-2</v>
      </c>
      <c r="E31" s="424">
        <v>0.10114834901064219</v>
      </c>
      <c r="F31" s="424">
        <v>0.11343936177613133</v>
      </c>
      <c r="G31" s="424">
        <v>8.956298139537297E-2</v>
      </c>
      <c r="H31" s="424">
        <v>7.5610894532354242E-2</v>
      </c>
      <c r="I31" s="424">
        <v>7.6646793989054149E-2</v>
      </c>
      <c r="J31" s="424"/>
      <c r="K31" s="424"/>
      <c r="L31" s="424"/>
      <c r="M31" s="424"/>
      <c r="N31" s="424"/>
      <c r="O31" s="424"/>
      <c r="P31" s="422">
        <f t="shared" si="5"/>
        <v>9.1060231478461429E-2</v>
      </c>
    </row>
    <row r="32" spans="2:16" ht="15.75">
      <c r="B32" s="533"/>
      <c r="C32" s="413" t="s">
        <v>226</v>
      </c>
      <c r="D32" s="424">
        <v>0.13708177551916129</v>
      </c>
      <c r="E32" s="424">
        <v>0.14060779476747043</v>
      </c>
      <c r="F32" s="424">
        <v>0.14223546019791297</v>
      </c>
      <c r="G32" s="424">
        <v>0.13317793032697267</v>
      </c>
      <c r="H32" s="424">
        <v>0.12743437444531369</v>
      </c>
      <c r="I32" s="424">
        <v>0.11321896903221325</v>
      </c>
      <c r="J32" s="424"/>
      <c r="K32" s="424"/>
      <c r="L32" s="424"/>
      <c r="M32" s="424"/>
      <c r="N32" s="424"/>
      <c r="O32" s="424"/>
      <c r="P32" s="422">
        <f t="shared" si="5"/>
        <v>0.13229271738150739</v>
      </c>
    </row>
    <row r="33" spans="2:16" ht="15.75">
      <c r="B33" s="533"/>
      <c r="C33" s="413" t="s">
        <v>236</v>
      </c>
      <c r="D33" s="424">
        <v>1.5652480623129864E-2</v>
      </c>
      <c r="E33" s="424">
        <v>4.823868590510383E-3</v>
      </c>
      <c r="F33" s="424">
        <v>0</v>
      </c>
      <c r="G33" s="424">
        <v>0</v>
      </c>
      <c r="H33" s="424">
        <v>0</v>
      </c>
      <c r="I33" s="424">
        <v>0</v>
      </c>
      <c r="J33" s="424"/>
      <c r="K33" s="424"/>
      <c r="L33" s="424"/>
      <c r="M33" s="424"/>
      <c r="N33" s="424"/>
      <c r="O33" s="424"/>
      <c r="P33" s="422">
        <f t="shared" si="5"/>
        <v>1.0238174606820123E-2</v>
      </c>
    </row>
    <row r="34" spans="2:16" ht="15.75">
      <c r="B34" s="533"/>
      <c r="C34" s="413" t="s">
        <v>237</v>
      </c>
      <c r="D34" s="424">
        <v>2.2004734622699137E-2</v>
      </c>
      <c r="E34" s="424">
        <v>2.0902022232890293E-2</v>
      </c>
      <c r="F34" s="424">
        <v>6.7918504928798538E-4</v>
      </c>
      <c r="G34" s="424">
        <v>5.3864579603920618E-2</v>
      </c>
      <c r="H34" s="424">
        <v>0.11022479998422226</v>
      </c>
      <c r="I34" s="424">
        <v>0.14207987165566802</v>
      </c>
      <c r="J34" s="424"/>
      <c r="K34" s="424"/>
      <c r="L34" s="424"/>
      <c r="M34" s="424"/>
      <c r="N34" s="424"/>
      <c r="O34" s="424"/>
      <c r="P34" s="422">
        <f t="shared" si="5"/>
        <v>5.8292532191448053E-2</v>
      </c>
    </row>
    <row r="35" spans="2:16" ht="15.75">
      <c r="B35" s="534"/>
      <c r="C35" s="413" t="s">
        <v>232</v>
      </c>
      <c r="D35" s="424">
        <v>3.3080287482901531E-2</v>
      </c>
      <c r="E35" s="424">
        <v>3.5116432470856891E-2</v>
      </c>
      <c r="F35" s="424">
        <v>2.2227009526625659E-2</v>
      </c>
      <c r="G35" s="424">
        <v>1.9156487454718908E-2</v>
      </c>
      <c r="H35" s="424">
        <v>1.900527897023923E-2</v>
      </c>
      <c r="I35" s="424">
        <v>6.4233195838242538E-2</v>
      </c>
      <c r="J35" s="424"/>
      <c r="K35" s="424"/>
      <c r="L35" s="424"/>
      <c r="M35" s="424"/>
      <c r="N35" s="424"/>
      <c r="O35" s="424"/>
      <c r="P35" s="422">
        <f t="shared" si="5"/>
        <v>3.2136448623930787E-2</v>
      </c>
    </row>
    <row r="36" spans="2:16" ht="15.75">
      <c r="B36" s="419"/>
      <c r="C36" s="413"/>
      <c r="D36" s="405"/>
      <c r="E36" s="405"/>
      <c r="F36" s="405"/>
      <c r="G36" s="405"/>
      <c r="H36" s="405"/>
      <c r="I36" s="405"/>
      <c r="J36" s="405"/>
      <c r="K36" s="405"/>
      <c r="L36" s="405"/>
      <c r="M36" s="405"/>
      <c r="N36" s="405"/>
      <c r="O36" s="405"/>
      <c r="P36" s="422"/>
    </row>
    <row r="37" spans="2:16" ht="15.75">
      <c r="B37" s="528" t="s">
        <v>518</v>
      </c>
      <c r="C37" s="413" t="s">
        <v>516</v>
      </c>
      <c r="D37" s="406">
        <v>768.96508698264131</v>
      </c>
      <c r="E37" s="406">
        <v>774.12086448722914</v>
      </c>
      <c r="F37" s="406">
        <v>757.5904244152307</v>
      </c>
      <c r="G37" s="406">
        <v>740.76981301731939</v>
      </c>
      <c r="H37" s="406">
        <v>765.35781664687147</v>
      </c>
      <c r="I37" s="406">
        <v>783.42710865003369</v>
      </c>
      <c r="J37" s="406"/>
      <c r="K37" s="406"/>
      <c r="L37" s="406"/>
      <c r="M37" s="406"/>
      <c r="N37" s="406"/>
      <c r="O37" s="406"/>
      <c r="P37" s="425">
        <f>AVERAGEIF(D37:O37, "&gt;0")</f>
        <v>765.03851903322095</v>
      </c>
    </row>
    <row r="38" spans="2:16" ht="15.75">
      <c r="B38" s="529"/>
      <c r="C38" s="426" t="s">
        <v>222</v>
      </c>
      <c r="D38" s="427">
        <v>280.52357557404559</v>
      </c>
      <c r="E38" s="427">
        <v>304.46478382945497</v>
      </c>
      <c r="F38" s="427">
        <v>311.70581961708376</v>
      </c>
      <c r="G38" s="427">
        <v>320.67204374311393</v>
      </c>
      <c r="H38" s="427">
        <v>308.1159721716769</v>
      </c>
      <c r="I38" s="427">
        <v>298.23676867480344</v>
      </c>
      <c r="J38" s="427"/>
      <c r="K38" s="427"/>
      <c r="L38" s="427"/>
      <c r="M38" s="427"/>
      <c r="N38" s="427"/>
      <c r="O38" s="427"/>
      <c r="P38" s="425">
        <f t="shared" si="5"/>
        <v>303.95316060169642</v>
      </c>
    </row>
    <row r="39" spans="2:16" ht="15.75">
      <c r="B39" s="529"/>
      <c r="C39" s="426" t="s">
        <v>235</v>
      </c>
      <c r="D39" s="427">
        <v>258.56166578115295</v>
      </c>
      <c r="E39" s="427">
        <v>203.2437413385673</v>
      </c>
      <c r="F39" s="427">
        <v>331.13667122055222</v>
      </c>
      <c r="G39" s="427">
        <v>331.07659362533582</v>
      </c>
      <c r="H39" s="427">
        <v>209.58696420097431</v>
      </c>
      <c r="I39" s="427">
        <v>118.56652276295132</v>
      </c>
      <c r="J39" s="427"/>
      <c r="K39" s="427"/>
      <c r="L39" s="427"/>
      <c r="M39" s="427"/>
      <c r="N39" s="427"/>
      <c r="O39" s="427"/>
      <c r="P39" s="425">
        <f t="shared" si="5"/>
        <v>242.02869315492231</v>
      </c>
    </row>
    <row r="40" spans="2:16" ht="15.75">
      <c r="B40" s="529"/>
      <c r="C40" s="426" t="s">
        <v>220</v>
      </c>
      <c r="D40" s="427">
        <v>486.07170829520021</v>
      </c>
      <c r="E40" s="427">
        <v>490.19814173593841</v>
      </c>
      <c r="F40" s="427">
        <v>493.97618103140815</v>
      </c>
      <c r="G40" s="427">
        <v>416.80190173613738</v>
      </c>
      <c r="H40" s="427">
        <v>367.707567900654</v>
      </c>
      <c r="I40" s="427">
        <v>397.08854160526414</v>
      </c>
      <c r="J40" s="427"/>
      <c r="K40" s="427"/>
      <c r="L40" s="427"/>
      <c r="M40" s="427"/>
      <c r="N40" s="427"/>
      <c r="O40" s="427"/>
      <c r="P40" s="425">
        <f t="shared" si="5"/>
        <v>441.97400705076706</v>
      </c>
    </row>
    <row r="41" spans="2:16" ht="15.75">
      <c r="B41" s="529"/>
      <c r="C41" s="426" t="s">
        <v>224</v>
      </c>
      <c r="D41" s="427">
        <v>82.669482447974161</v>
      </c>
      <c r="E41" s="427">
        <v>81.452411562244222</v>
      </c>
      <c r="F41" s="427">
        <v>79.94999927589204</v>
      </c>
      <c r="G41" s="427">
        <v>82.282454157599574</v>
      </c>
      <c r="H41" s="427">
        <v>81.90398870846974</v>
      </c>
      <c r="I41" s="427">
        <v>84.227709910361142</v>
      </c>
      <c r="J41" s="427"/>
      <c r="K41" s="427"/>
      <c r="L41" s="427"/>
      <c r="M41" s="427"/>
      <c r="N41" s="427"/>
      <c r="O41" s="427"/>
      <c r="P41" s="425">
        <f t="shared" si="5"/>
        <v>82.081007677090156</v>
      </c>
    </row>
    <row r="42" spans="2:16" ht="15.75">
      <c r="B42" s="529"/>
      <c r="C42" s="426" t="s">
        <v>226</v>
      </c>
      <c r="D42" s="427">
        <v>78.306366965294018</v>
      </c>
      <c r="E42" s="427">
        <v>77.971322564328403</v>
      </c>
      <c r="F42" s="427">
        <v>77.906796798443906</v>
      </c>
      <c r="G42" s="427">
        <v>78.189351465199536</v>
      </c>
      <c r="H42" s="427">
        <v>79.190461701431943</v>
      </c>
      <c r="I42" s="427">
        <v>79.718377211575145</v>
      </c>
      <c r="J42" s="427"/>
      <c r="K42" s="427"/>
      <c r="L42" s="427"/>
      <c r="M42" s="427"/>
      <c r="N42" s="427"/>
      <c r="O42" s="427"/>
      <c r="P42" s="425">
        <f t="shared" si="5"/>
        <v>78.547112784378825</v>
      </c>
    </row>
    <row r="43" spans="2:16" ht="15.75">
      <c r="B43" s="529"/>
      <c r="C43" s="426" t="s">
        <v>236</v>
      </c>
      <c r="D43" s="427">
        <v>76.250132772766719</v>
      </c>
      <c r="E43" s="427">
        <v>72.949975663847383</v>
      </c>
      <c r="F43" s="427">
        <v>0</v>
      </c>
      <c r="G43" s="427">
        <v>0</v>
      </c>
      <c r="H43" s="427">
        <v>0</v>
      </c>
      <c r="I43" s="427">
        <v>0</v>
      </c>
      <c r="J43" s="427"/>
      <c r="K43" s="427"/>
      <c r="L43" s="427"/>
      <c r="M43" s="427"/>
      <c r="N43" s="427"/>
      <c r="O43" s="427"/>
      <c r="P43" s="425">
        <f t="shared" si="5"/>
        <v>74.600054218307051</v>
      </c>
    </row>
    <row r="44" spans="2:16" ht="15.75">
      <c r="B44" s="529"/>
      <c r="C44" s="426" t="s">
        <v>237</v>
      </c>
      <c r="D44" s="427">
        <v>110.80830487807768</v>
      </c>
      <c r="E44" s="427">
        <v>97.15750138812345</v>
      </c>
      <c r="F44" s="427">
        <v>84.60142398436416</v>
      </c>
      <c r="G44" s="427">
        <v>159.74228643292116</v>
      </c>
      <c r="H44" s="427">
        <v>161.80618458291255</v>
      </c>
      <c r="I44" s="427">
        <v>157.36335172582426</v>
      </c>
      <c r="J44" s="427"/>
      <c r="K44" s="427"/>
      <c r="L44" s="427"/>
      <c r="M44" s="427"/>
      <c r="N44" s="427"/>
      <c r="O44" s="427"/>
      <c r="P44" s="425">
        <f t="shared" si="5"/>
        <v>128.57984216537054</v>
      </c>
    </row>
    <row r="45" spans="2:16" ht="16.5" thickBot="1">
      <c r="B45" s="530"/>
      <c r="C45" s="428" t="s">
        <v>232</v>
      </c>
      <c r="D45" s="407">
        <v>76.123665150077642</v>
      </c>
      <c r="E45" s="407">
        <v>77.592138128204311</v>
      </c>
      <c r="F45" s="407">
        <v>83.044478559400275</v>
      </c>
      <c r="G45" s="407">
        <v>83.064526679068933</v>
      </c>
      <c r="H45" s="407">
        <v>89.419712752776604</v>
      </c>
      <c r="I45" s="407">
        <v>118.28436587813741</v>
      </c>
      <c r="J45" s="407"/>
      <c r="K45" s="407"/>
      <c r="L45" s="407"/>
      <c r="M45" s="407"/>
      <c r="N45" s="407"/>
      <c r="O45" s="407"/>
      <c r="P45" s="429">
        <f t="shared" si="5"/>
        <v>87.921481191277522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0000"/>
    <outlinePr summaryBelow="0" summaryRight="0"/>
  </sheetPr>
  <dimension ref="A1:P37"/>
  <sheetViews>
    <sheetView view="pageBreakPreview" zoomScale="115" zoomScaleNormal="100" zoomScaleSheetLayoutView="115" workbookViewId="0">
      <selection activeCell="B12" sqref="B12"/>
    </sheetView>
  </sheetViews>
  <sheetFormatPr defaultColWidth="12.5703125" defaultRowHeight="15.75" customHeight="1"/>
  <cols>
    <col min="1" max="1" width="27.42578125" style="98" bestFit="1" customWidth="1"/>
    <col min="2" max="2" width="12.5703125" style="98" customWidth="1"/>
    <col min="3" max="4" width="12.5703125" style="98"/>
    <col min="5" max="5" width="16.42578125" style="98" customWidth="1"/>
    <col min="6" max="6" width="2.42578125" style="98" customWidth="1"/>
    <col min="7" max="7" width="24.85546875" style="98" bestFit="1" customWidth="1"/>
    <col min="8" max="10" width="12.5703125" style="98"/>
    <col min="11" max="11" width="16.42578125" style="98" customWidth="1"/>
    <col min="12" max="12" width="12.5703125" style="99"/>
    <col min="13" max="16384" width="12.5703125" style="98"/>
  </cols>
  <sheetData>
    <row r="1" spans="1:12" ht="15.75" customHeight="1">
      <c r="A1" s="535" t="s">
        <v>334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98"/>
    </row>
    <row r="2" spans="1:12" s="99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</row>
    <row r="3" spans="1:12" ht="21.6" customHeight="1">
      <c r="A3" s="113" t="s">
        <v>73</v>
      </c>
      <c r="B3" s="114">
        <v>6</v>
      </c>
      <c r="C3" s="113" t="s">
        <v>20</v>
      </c>
      <c r="D3" s="537" t="s">
        <v>359</v>
      </c>
      <c r="E3" s="537"/>
      <c r="F3" s="99"/>
      <c r="G3" s="108"/>
      <c r="H3" s="99"/>
      <c r="I3" s="99"/>
      <c r="J3" s="99"/>
      <c r="K3" s="99"/>
    </row>
    <row r="4" spans="1:12" ht="15.75" customHeight="1">
      <c r="A4" s="109" t="s">
        <v>486</v>
      </c>
      <c r="E4" s="101" t="s">
        <v>23</v>
      </c>
      <c r="G4" s="110" t="s">
        <v>71</v>
      </c>
      <c r="L4" s="98"/>
    </row>
    <row r="5" spans="1:12" s="103" customFormat="1" ht="15.75" customHeight="1">
      <c r="A5" s="120" t="s">
        <v>197</v>
      </c>
      <c r="B5" s="115" t="s">
        <v>22</v>
      </c>
      <c r="C5" s="115" t="s">
        <v>1</v>
      </c>
      <c r="D5" s="115" t="s">
        <v>2</v>
      </c>
      <c r="E5" s="115" t="s">
        <v>3</v>
      </c>
      <c r="G5" s="120" t="s">
        <v>197</v>
      </c>
      <c r="H5" s="115" t="s">
        <v>69</v>
      </c>
      <c r="I5" s="115" t="s">
        <v>22</v>
      </c>
      <c r="J5" s="115" t="s">
        <v>67</v>
      </c>
      <c r="K5" s="115" t="s">
        <v>3</v>
      </c>
      <c r="L5" s="104" t="s">
        <v>60</v>
      </c>
    </row>
    <row r="6" spans="1:12" ht="18" customHeight="1">
      <c r="A6" s="106" t="s">
        <v>24</v>
      </c>
      <c r="B6" s="430" t="e">
        <f>'（１）收支狀況'!#REF!/1000</f>
        <v>#REF!</v>
      </c>
      <c r="C6" s="399">
        <v>181836.62618999998</v>
      </c>
      <c r="D6" s="116" t="e">
        <f t="shared" ref="D6:D11" si="0">B6-C6</f>
        <v>#REF!</v>
      </c>
      <c r="E6" s="399">
        <f>'數值累積總表(月)'!P2</f>
        <v>948291.59203000006</v>
      </c>
      <c r="G6" s="106" t="s">
        <v>198</v>
      </c>
      <c r="H6" s="118">
        <v>497.6</v>
      </c>
      <c r="I6" s="431" t="e">
        <f>'（２）ＫＰＩ達成進度'!#REF!</f>
        <v>#REF!</v>
      </c>
      <c r="J6" s="409">
        <v>419.38045550218868</v>
      </c>
      <c r="K6" s="409">
        <f>'數值累積總表(月)'!P10</f>
        <v>432.07314249611971</v>
      </c>
      <c r="L6" s="100" t="s">
        <v>195</v>
      </c>
    </row>
    <row r="7" spans="1:12" ht="18" customHeight="1">
      <c r="A7" s="106" t="s">
        <v>25</v>
      </c>
      <c r="B7" s="430" t="e">
        <f>'（１）收支狀況'!#REF!</f>
        <v>#REF!</v>
      </c>
      <c r="C7" s="399">
        <v>6084520</v>
      </c>
      <c r="D7" s="116" t="e">
        <f t="shared" si="0"/>
        <v>#REF!</v>
      </c>
      <c r="E7" s="399">
        <f>'數值累積總表(月)'!P3</f>
        <v>31357886</v>
      </c>
      <c r="G7" s="106" t="s">
        <v>199</v>
      </c>
      <c r="H7" s="117">
        <v>0.8</v>
      </c>
      <c r="I7" s="408" t="e">
        <f>'（２）ＫＰＩ達成進度'!#REF!</f>
        <v>#REF!</v>
      </c>
      <c r="J7" s="411">
        <v>0.94796667156914272</v>
      </c>
      <c r="K7" s="411">
        <f>'數值累積總表(月)'!P11</f>
        <v>0.90364228527676749</v>
      </c>
      <c r="L7" s="100" t="s">
        <v>4</v>
      </c>
    </row>
    <row r="8" spans="1:12" ht="18" customHeight="1">
      <c r="A8" s="106" t="s">
        <v>5</v>
      </c>
      <c r="B8" s="430" t="e">
        <f>'（１）收支狀況'!#REF!/1000</f>
        <v>#REF!</v>
      </c>
      <c r="C8" s="399">
        <v>122510.99774155837</v>
      </c>
      <c r="D8" s="116" t="e">
        <f>B8-C8</f>
        <v>#REF!</v>
      </c>
      <c r="E8" s="399">
        <f>'數值累積總表(月)'!P4</f>
        <v>609605</v>
      </c>
      <c r="G8" s="106" t="s">
        <v>200</v>
      </c>
      <c r="H8" s="117">
        <v>2.5000000000000001E-3</v>
      </c>
      <c r="I8" s="432" t="e">
        <f>'（２）ＫＰＩ達成進度'!#REF!</f>
        <v>#REF!</v>
      </c>
      <c r="J8" s="410">
        <v>2.0088240498114199E-3</v>
      </c>
      <c r="K8" s="410">
        <f>'數值累積總表(月)'!P12</f>
        <v>2.1381618433438426E-3</v>
      </c>
      <c r="L8" s="100" t="s">
        <v>55</v>
      </c>
    </row>
    <row r="9" spans="1:12" ht="18" customHeight="1">
      <c r="A9" s="106" t="s">
        <v>6</v>
      </c>
      <c r="B9" s="454" t="e">
        <f>'（１）收支狀況'!#REF!</f>
        <v>#REF!</v>
      </c>
      <c r="C9" s="433">
        <v>0.67374214045055691</v>
      </c>
      <c r="D9" s="117" t="e">
        <f t="shared" si="0"/>
        <v>#REF!</v>
      </c>
      <c r="E9" s="433">
        <f>'數值累積總表(月)'!P5</f>
        <v>0.66100000000000003</v>
      </c>
      <c r="G9" s="106" t="s">
        <v>201</v>
      </c>
      <c r="H9" s="117">
        <v>4.0000000000000001E-3</v>
      </c>
      <c r="I9" s="408" t="e">
        <f>'（２）ＫＰＩ達成進度'!#REF!</f>
        <v>#REF!</v>
      </c>
      <c r="J9" s="411">
        <v>6.1874817008048359E-3</v>
      </c>
      <c r="K9" s="411">
        <f>'數值累積總表(月)'!P13</f>
        <v>5.3820298007250279E-3</v>
      </c>
      <c r="L9" s="100" t="s">
        <v>98</v>
      </c>
    </row>
    <row r="10" spans="1:12" ht="18" customHeight="1">
      <c r="A10" s="106" t="s">
        <v>64</v>
      </c>
      <c r="B10" s="430" t="e">
        <f>'（１）收支狀況'!#REF!/1000</f>
        <v>#REF!</v>
      </c>
      <c r="C10" s="399">
        <v>25634.580419999998</v>
      </c>
      <c r="D10" s="116" t="e">
        <f>B10-C10</f>
        <v>#REF!</v>
      </c>
      <c r="E10" s="399">
        <f>'數值累積總表(月)'!P6</f>
        <v>142443</v>
      </c>
      <c r="G10" s="106" t="s">
        <v>202</v>
      </c>
      <c r="H10" s="117">
        <v>0.8</v>
      </c>
      <c r="I10" s="408" t="e">
        <f>'（２）ＫＰＩ達成進度'!#REF!</f>
        <v>#REF!</v>
      </c>
      <c r="J10" s="411">
        <v>0.89999999999999947</v>
      </c>
      <c r="K10" s="411">
        <f>'數值累積總表(月)'!P14</f>
        <v>0.89999999999999947</v>
      </c>
      <c r="L10" s="100" t="s">
        <v>7</v>
      </c>
    </row>
    <row r="11" spans="1:12" ht="18" customHeight="1">
      <c r="A11" s="106" t="s">
        <v>65</v>
      </c>
      <c r="B11" s="454" t="e">
        <f>'（１）收支狀況'!#REF!</f>
        <v>#REF!</v>
      </c>
      <c r="C11" s="433">
        <v>0.14097589114535475</v>
      </c>
      <c r="D11" s="117" t="e">
        <f t="shared" si="0"/>
        <v>#REF!</v>
      </c>
      <c r="E11" s="433">
        <f>'數值累積總表(月)'!P7</f>
        <v>0.15733333333333335</v>
      </c>
      <c r="G11" s="106" t="s">
        <v>203</v>
      </c>
      <c r="H11" s="117">
        <v>1</v>
      </c>
      <c r="I11" s="408" t="e">
        <f>'（２）ＫＰＩ達成進度'!#REF!</f>
        <v>#REF!</v>
      </c>
      <c r="J11" s="411">
        <v>0.38709677419354849</v>
      </c>
      <c r="K11" s="411">
        <f>'數值累積總表(月)'!P15</f>
        <v>0.47115384615384609</v>
      </c>
      <c r="L11" s="100" t="s">
        <v>62</v>
      </c>
    </row>
    <row r="12" spans="1:12" ht="9.6" customHeight="1">
      <c r="L12" s="98"/>
    </row>
    <row r="13" spans="1:12" ht="15.75" customHeight="1">
      <c r="A13" s="109" t="s">
        <v>32</v>
      </c>
      <c r="E13" s="309" t="s">
        <v>23</v>
      </c>
      <c r="G13" s="109" t="s">
        <v>33</v>
      </c>
      <c r="K13" s="309" t="s">
        <v>423</v>
      </c>
      <c r="L13" s="98"/>
    </row>
    <row r="14" spans="1:12" s="105" customFormat="1" ht="12">
      <c r="A14" s="119"/>
      <c r="B14" s="119" t="s">
        <v>22</v>
      </c>
      <c r="C14" s="119" t="s">
        <v>41</v>
      </c>
      <c r="D14" s="119" t="s">
        <v>67</v>
      </c>
      <c r="E14" s="119" t="s">
        <v>68</v>
      </c>
      <c r="G14" s="119"/>
      <c r="H14" s="119" t="s">
        <v>22</v>
      </c>
      <c r="I14" s="119" t="s">
        <v>41</v>
      </c>
      <c r="J14" s="119" t="s">
        <v>67</v>
      </c>
      <c r="K14" s="119" t="s">
        <v>68</v>
      </c>
    </row>
    <row r="15" spans="1:12" ht="18" customHeight="1">
      <c r="A15" s="106" t="s">
        <v>380</v>
      </c>
      <c r="B15" s="430">
        <f>SUM('（３）業績構成比'!M7:M7)/1000</f>
        <v>2166.4421200000002</v>
      </c>
      <c r="C15" s="117" t="str">
        <f>IFERROR(B15/$B$6,"")</f>
        <v/>
      </c>
      <c r="D15" s="434">
        <v>0.36318310058720077</v>
      </c>
      <c r="E15" s="117" t="str">
        <f>IFERROR(C15-D15,"")</f>
        <v/>
      </c>
      <c r="G15" s="106" t="s">
        <v>381</v>
      </c>
      <c r="H15" s="430">
        <f>SUM('（４）訂單數量構成比'!M7:M7)</f>
        <v>114912</v>
      </c>
      <c r="I15" s="117" t="str">
        <f t="shared" ref="I15:I23" si="1">IFERROR(H15/$B$7,"")</f>
        <v/>
      </c>
      <c r="J15" s="434">
        <v>0.56064800510147061</v>
      </c>
      <c r="K15" s="117" t="str">
        <f>IFERROR(I15-J15,"")</f>
        <v/>
      </c>
      <c r="L15" s="98"/>
    </row>
    <row r="16" spans="1:12" ht="18" customHeight="1">
      <c r="A16" s="106" t="s">
        <v>223</v>
      </c>
      <c r="B16" s="430">
        <f>SUM('（３）業績構成比'!S7:S7)/1000</f>
        <v>243.64035999999999</v>
      </c>
      <c r="C16" s="117" t="str">
        <f t="shared" ref="C16:C23" si="2">IFERROR(B16/$B$6,"")</f>
        <v/>
      </c>
      <c r="D16" s="434">
        <v>4.1707027010475142E-2</v>
      </c>
      <c r="E16" s="117" t="str">
        <f t="shared" ref="E16:E23" si="3">IFERROR(C16-D16,"")</f>
        <v/>
      </c>
      <c r="G16" s="106" t="s">
        <v>223</v>
      </c>
      <c r="H16" s="430">
        <f>SUM('（４）訂單數量構成比'!S7:S7)</f>
        <v>8454</v>
      </c>
      <c r="I16" s="117" t="str">
        <f t="shared" si="1"/>
        <v/>
      </c>
      <c r="J16" s="434">
        <v>4.4634580870799995E-2</v>
      </c>
      <c r="K16" s="117" t="str">
        <f t="shared" ref="K16:K23" si="4">IFERROR(I16-J16,"")</f>
        <v/>
      </c>
      <c r="L16" s="98"/>
    </row>
    <row r="17" spans="1:16" ht="18" customHeight="1">
      <c r="A17" s="106" t="s">
        <v>219</v>
      </c>
      <c r="B17" s="430">
        <f>SUM('（３）業績構成比'!U7:U7)/1000</f>
        <v>76.93298999999999</v>
      </c>
      <c r="C17" s="117" t="str">
        <f t="shared" si="2"/>
        <v/>
      </c>
      <c r="D17" s="434">
        <v>1.3969000103124941E-2</v>
      </c>
      <c r="E17" s="117" t="str">
        <f t="shared" si="3"/>
        <v/>
      </c>
      <c r="G17" s="106" t="s">
        <v>235</v>
      </c>
      <c r="H17" s="430">
        <f>SUM('（４）訂單數量構成比'!U7:U7)</f>
        <v>2567</v>
      </c>
      <c r="I17" s="117" t="str">
        <f t="shared" si="1"/>
        <v/>
      </c>
      <c r="J17" s="434">
        <v>1.4309263508049936E-2</v>
      </c>
      <c r="K17" s="117" t="str">
        <f t="shared" si="4"/>
        <v/>
      </c>
      <c r="L17" s="98"/>
    </row>
    <row r="18" spans="1:16" ht="18" customHeight="1">
      <c r="A18" s="106" t="s">
        <v>221</v>
      </c>
      <c r="B18" s="430">
        <f>SUM('（３）業績構成比'!W7:W7)/1000</f>
        <v>269.17606000000001</v>
      </c>
      <c r="C18" s="117" t="str">
        <f t="shared" si="2"/>
        <v/>
      </c>
      <c r="D18" s="434">
        <v>3.4128077824737396E-2</v>
      </c>
      <c r="E18" s="117" t="str">
        <f t="shared" si="3"/>
        <v/>
      </c>
      <c r="G18" s="106" t="s">
        <v>220</v>
      </c>
      <c r="H18" s="430">
        <f>SUM('（４）訂單數量構成比'!W7:W7)</f>
        <v>11068</v>
      </c>
      <c r="I18" s="117" t="str">
        <f t="shared" si="1"/>
        <v/>
      </c>
      <c r="J18" s="434">
        <v>4.8132802587550046E-2</v>
      </c>
      <c r="K18" s="117" t="str">
        <f t="shared" si="4"/>
        <v/>
      </c>
      <c r="L18" s="98"/>
    </row>
    <row r="19" spans="1:16" ht="18" customHeight="1">
      <c r="A19" s="106" t="s">
        <v>225</v>
      </c>
      <c r="B19" s="430">
        <f>SUM('（３）業績構成比'!AC7:AC7)/1000</f>
        <v>1058.9949299999998</v>
      </c>
      <c r="C19" s="117" t="str">
        <f t="shared" si="2"/>
        <v/>
      </c>
      <c r="D19" s="434">
        <v>0.13415543936957161</v>
      </c>
      <c r="E19" s="117" t="str">
        <f t="shared" si="3"/>
        <v/>
      </c>
      <c r="G19" s="106" t="s">
        <v>224</v>
      </c>
      <c r="H19" s="430">
        <f>SUM('（４）訂單數量構成比'!AC7:AC7)</f>
        <v>19314</v>
      </c>
      <c r="I19" s="117" t="str">
        <f t="shared" si="1"/>
        <v/>
      </c>
      <c r="J19" s="434">
        <v>7.5610894532354242E-2</v>
      </c>
      <c r="K19" s="117" t="str">
        <f t="shared" si="4"/>
        <v/>
      </c>
      <c r="L19" s="98"/>
    </row>
    <row r="20" spans="1:16" ht="18" customHeight="1">
      <c r="A20" s="106" t="s">
        <v>227</v>
      </c>
      <c r="B20" s="430">
        <f>SUM('（３）業績構成比'!AE7:AE7)/1000</f>
        <v>1964.19227</v>
      </c>
      <c r="C20" s="117" t="str">
        <f t="shared" si="2"/>
        <v/>
      </c>
      <c r="D20" s="434">
        <v>0.26474822074458115</v>
      </c>
      <c r="E20" s="117" t="str">
        <f t="shared" si="3"/>
        <v/>
      </c>
      <c r="G20" s="106" t="s">
        <v>226</v>
      </c>
      <c r="H20" s="430">
        <f>SUM('（４）訂單數量構成比'!AE7:AE7)</f>
        <v>31363</v>
      </c>
      <c r="I20" s="117" t="str">
        <f t="shared" si="1"/>
        <v/>
      </c>
      <c r="J20" s="434">
        <v>0.12743437444531369</v>
      </c>
      <c r="K20" s="117" t="str">
        <f t="shared" si="4"/>
        <v/>
      </c>
      <c r="L20" s="98"/>
    </row>
    <row r="21" spans="1:16" ht="18" customHeight="1">
      <c r="A21" s="106" t="s">
        <v>230</v>
      </c>
      <c r="B21" s="430">
        <f>SUM('（３）業績構成比'!AG7:AG7)/1000</f>
        <v>0</v>
      </c>
      <c r="C21" s="117" t="str">
        <f t="shared" si="2"/>
        <v/>
      </c>
      <c r="D21" s="434">
        <v>0</v>
      </c>
      <c r="E21" s="117" t="str">
        <f t="shared" si="3"/>
        <v/>
      </c>
      <c r="G21" s="106" t="s">
        <v>236</v>
      </c>
      <c r="H21" s="430">
        <f>SUM('（４）訂單數量構成比'!AG7:AG7)</f>
        <v>0</v>
      </c>
      <c r="I21" s="117" t="str">
        <f t="shared" si="1"/>
        <v/>
      </c>
      <c r="J21" s="434">
        <v>0</v>
      </c>
      <c r="K21" s="117" t="str">
        <f t="shared" si="4"/>
        <v/>
      </c>
      <c r="L21" s="98"/>
    </row>
    <row r="22" spans="1:16" ht="18" customHeight="1">
      <c r="A22" s="106" t="s">
        <v>231</v>
      </c>
      <c r="B22" s="430">
        <f>SUM('（３）業績構成比'!AI7:AI7)/1000</f>
        <v>1049.9090000000001</v>
      </c>
      <c r="C22" s="117" t="str">
        <f t="shared" si="2"/>
        <v/>
      </c>
      <c r="D22" s="434">
        <v>0.13502459319909141</v>
      </c>
      <c r="E22" s="117" t="str">
        <f t="shared" si="3"/>
        <v/>
      </c>
      <c r="G22" s="106" t="s">
        <v>237</v>
      </c>
      <c r="H22" s="430">
        <f>SUM('（４）訂單數量構成比'!AI7:AI7)</f>
        <v>28378</v>
      </c>
      <c r="I22" s="117" t="str">
        <f t="shared" si="1"/>
        <v/>
      </c>
      <c r="J22" s="434">
        <v>0.11022479998422226</v>
      </c>
      <c r="K22" s="117" t="str">
        <f t="shared" si="4"/>
        <v/>
      </c>
      <c r="L22" s="98"/>
    </row>
    <row r="23" spans="1:16" ht="18" customHeight="1">
      <c r="A23" s="106" t="s">
        <v>233</v>
      </c>
      <c r="B23" s="430">
        <f>SUM('（３）業績構成比'!AK7:AK7)/1000</f>
        <v>463.46358999999995</v>
      </c>
      <c r="C23" s="117" t="str">
        <f t="shared" si="2"/>
        <v/>
      </c>
      <c r="D23" s="434">
        <v>1.308454116121764E-2</v>
      </c>
      <c r="E23" s="117" t="str">
        <f t="shared" si="3"/>
        <v/>
      </c>
      <c r="G23" s="106" t="s">
        <v>232</v>
      </c>
      <c r="H23" s="430">
        <f>SUM('（４）訂單數量構成比'!AK7:AK7)</f>
        <v>13924</v>
      </c>
      <c r="I23" s="117" t="str">
        <f t="shared" si="1"/>
        <v/>
      </c>
      <c r="J23" s="434">
        <v>1.900527897023923E-2</v>
      </c>
      <c r="K23" s="117" t="str">
        <f t="shared" si="4"/>
        <v/>
      </c>
      <c r="L23" s="98"/>
    </row>
    <row r="24" spans="1:16" ht="15.75" customHeight="1">
      <c r="C24" s="111">
        <f>SUM(C15:C23)</f>
        <v>0</v>
      </c>
      <c r="D24" s="111">
        <f t="shared" ref="D24" si="5">SUM(D15:D23)</f>
        <v>1.0000000000000002</v>
      </c>
      <c r="I24" s="111">
        <f t="shared" ref="I24:J24" si="6">SUM(I15:I23)</f>
        <v>0</v>
      </c>
      <c r="J24" s="111">
        <f t="shared" si="6"/>
        <v>1</v>
      </c>
      <c r="L24" s="98"/>
    </row>
    <row r="25" spans="1:16" ht="9.6" customHeight="1">
      <c r="A25" s="112"/>
      <c r="L25" s="98"/>
    </row>
    <row r="26" spans="1:16" ht="15.75" customHeight="1">
      <c r="A26" s="109" t="s">
        <v>196</v>
      </c>
      <c r="L26" s="98"/>
    </row>
    <row r="27" spans="1:16" ht="15.75" customHeight="1">
      <c r="A27" s="106" t="s">
        <v>188</v>
      </c>
      <c r="B27" s="106" t="s">
        <v>22</v>
      </c>
      <c r="C27" s="106" t="s">
        <v>1</v>
      </c>
      <c r="D27" s="106" t="s">
        <v>2</v>
      </c>
      <c r="E27" s="106" t="s">
        <v>3</v>
      </c>
      <c r="L27" s="98"/>
    </row>
    <row r="28" spans="1:16" ht="18" customHeight="1">
      <c r="A28" s="106" t="s">
        <v>234</v>
      </c>
      <c r="B28" s="435">
        <f>'（５-1）品群別人時生產性(18℃-飯糰)'!C1</f>
        <v>768.7403180867941</v>
      </c>
      <c r="C28" s="436">
        <v>765.35781664687147</v>
      </c>
      <c r="D28" s="221">
        <f t="shared" ref="D28:D36" si="7">B28-C28</f>
        <v>3.3825014399226347</v>
      </c>
      <c r="E28" s="412">
        <f>'數值累積總表(月)'!P37</f>
        <v>765.03851903322095</v>
      </c>
      <c r="G28" s="121"/>
      <c r="H28" s="121"/>
      <c r="I28" s="121"/>
      <c r="J28" s="121"/>
      <c r="K28" s="121"/>
      <c r="L28" s="121"/>
      <c r="M28" s="121"/>
      <c r="N28" s="121"/>
      <c r="O28" s="122"/>
      <c r="P28" s="122"/>
    </row>
    <row r="29" spans="1:16" ht="18" customHeight="1">
      <c r="A29" s="106" t="s">
        <v>222</v>
      </c>
      <c r="B29" s="435">
        <f>'（５-2）品群別人時生產性(18℃-壽司手卷)'!C1</f>
        <v>298.86613162126952</v>
      </c>
      <c r="C29" s="436">
        <v>308.1159721716769</v>
      </c>
      <c r="D29" s="221">
        <f t="shared" si="7"/>
        <v>-9.2498405504073844</v>
      </c>
      <c r="E29" s="412">
        <f>'數值累積總表(月)'!P38</f>
        <v>303.95316060169642</v>
      </c>
      <c r="G29" s="123"/>
      <c r="H29" s="123"/>
      <c r="I29" s="124"/>
      <c r="J29" s="1"/>
      <c r="K29" s="125"/>
      <c r="L29" s="67"/>
      <c r="M29" s="67"/>
      <c r="N29" s="67"/>
      <c r="O29" s="67"/>
      <c r="P29" s="67"/>
    </row>
    <row r="30" spans="1:16" ht="18" customHeight="1">
      <c r="A30" s="106" t="s">
        <v>235</v>
      </c>
      <c r="B30" s="435">
        <f>'（５-3）品群別人時生產性(4℃-飯糰)'!C1</f>
        <v>116.2495653003774</v>
      </c>
      <c r="C30" s="436">
        <v>209.58696420097431</v>
      </c>
      <c r="D30" s="221">
        <f t="shared" si="7"/>
        <v>-93.337398900596909</v>
      </c>
      <c r="E30" s="412">
        <f>'數值累積總表(月)'!P39</f>
        <v>242.02869315492231</v>
      </c>
      <c r="L30" s="98"/>
    </row>
    <row r="31" spans="1:16" ht="18" customHeight="1">
      <c r="A31" s="106" t="s">
        <v>220</v>
      </c>
      <c r="B31" s="435">
        <f>'（５-4）品群別人時生產性(4℃-壽司手卷)'!C1</f>
        <v>432.41162804909641</v>
      </c>
      <c r="C31" s="436">
        <v>367.707567900654</v>
      </c>
      <c r="D31" s="221">
        <f t="shared" si="7"/>
        <v>64.704060148442409</v>
      </c>
      <c r="E31" s="412">
        <f>'數值累積總表(月)'!P40</f>
        <v>441.97400705076706</v>
      </c>
      <c r="L31" s="98"/>
    </row>
    <row r="32" spans="1:16" ht="18" customHeight="1">
      <c r="A32" s="106" t="s">
        <v>224</v>
      </c>
      <c r="B32" s="435">
        <f>'（５-5）品群別人時生產性(微波主食) '!C1</f>
        <v>85.267290527331454</v>
      </c>
      <c r="C32" s="436">
        <v>81.90398870846974</v>
      </c>
      <c r="D32" s="221">
        <f t="shared" si="7"/>
        <v>3.3633018188617143</v>
      </c>
      <c r="E32" s="412">
        <f>'數值累積總表(月)'!P41</f>
        <v>82.081007677090156</v>
      </c>
      <c r="L32" s="98"/>
    </row>
    <row r="33" spans="1:12" ht="18" customHeight="1">
      <c r="A33" s="106" t="s">
        <v>226</v>
      </c>
      <c r="B33" s="435">
        <f>'（５-6）品群別人時生產性(便當)'!C1</f>
        <v>79.347550492012189</v>
      </c>
      <c r="C33" s="436">
        <v>79.190461701431943</v>
      </c>
      <c r="D33" s="221">
        <f t="shared" si="7"/>
        <v>0.1570887905802465</v>
      </c>
      <c r="E33" s="412">
        <f>'數值累積總表(月)'!P42</f>
        <v>78.547112784378825</v>
      </c>
      <c r="L33" s="98"/>
    </row>
    <row r="34" spans="1:12" ht="18" customHeight="1">
      <c r="A34" s="106" t="s">
        <v>236</v>
      </c>
      <c r="B34" s="435">
        <f>'（５-7）品群別人時生產性(熱食義麵) '!C1</f>
        <v>0</v>
      </c>
      <c r="C34" s="436">
        <v>0</v>
      </c>
      <c r="D34" s="221">
        <f t="shared" si="7"/>
        <v>0</v>
      </c>
      <c r="E34" s="412">
        <f>'數值累積總表(月)'!P43</f>
        <v>74.600054218307051</v>
      </c>
      <c r="L34" s="98"/>
    </row>
    <row r="35" spans="1:12" ht="18" customHeight="1">
      <c r="A35" s="106" t="s">
        <v>237</v>
      </c>
      <c r="B35" s="435">
        <f>'（５-8）品群別人時生產性(季節調理麵) '!C1</f>
        <v>156.88743072050309</v>
      </c>
      <c r="C35" s="436">
        <v>161.80618458291255</v>
      </c>
      <c r="D35" s="221">
        <f t="shared" si="7"/>
        <v>-4.91875386240946</v>
      </c>
      <c r="E35" s="412">
        <f>'數值累積總表(月)'!P44</f>
        <v>128.57984216537054</v>
      </c>
      <c r="L35" s="98"/>
    </row>
    <row r="36" spans="1:12" ht="18" customHeight="1">
      <c r="A36" s="102" t="s">
        <v>232</v>
      </c>
      <c r="B36" s="435">
        <f>'（５-9）品群別人時生產性(微波小吃)'!C1</f>
        <v>117.50959695748536</v>
      </c>
      <c r="C36" s="436">
        <v>89.419712752776604</v>
      </c>
      <c r="D36" s="221">
        <f t="shared" si="7"/>
        <v>28.089884204708753</v>
      </c>
      <c r="E36" s="412">
        <f>'數值累積總表(月)'!P45</f>
        <v>87.921481191277522</v>
      </c>
      <c r="L36" s="98"/>
    </row>
    <row r="37" spans="1:12" ht="15.75" customHeight="1">
      <c r="L37" s="98"/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B36" sqref="B36"/>
    </sheetView>
  </sheetViews>
  <sheetFormatPr defaultColWidth="12.5703125" defaultRowHeight="15.75" customHeight="1"/>
  <cols>
    <col min="1" max="1" width="27.42578125" style="98" bestFit="1" customWidth="1"/>
    <col min="2" max="2" width="12.5703125" style="98" customWidth="1"/>
    <col min="3" max="4" width="12.5703125" style="98"/>
    <col min="5" max="5" width="16.42578125" style="98" customWidth="1"/>
    <col min="6" max="6" width="2.42578125" style="98" customWidth="1"/>
    <col min="7" max="7" width="24.85546875" style="98" bestFit="1" customWidth="1"/>
    <col min="8" max="10" width="12.5703125" style="98"/>
    <col min="11" max="11" width="16.42578125" style="98" customWidth="1"/>
    <col min="12" max="12" width="12.5703125" style="99"/>
    <col min="13" max="16384" width="12.5703125" style="98"/>
  </cols>
  <sheetData>
    <row r="1" spans="1:16" ht="15.75" customHeight="1">
      <c r="A1" s="535" t="s">
        <v>360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98"/>
    </row>
    <row r="2" spans="1:16" s="99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</row>
    <row r="3" spans="1:16" ht="21.6" customHeight="1">
      <c r="A3" s="113" t="s">
        <v>325</v>
      </c>
      <c r="B3" s="114">
        <v>7</v>
      </c>
      <c r="C3" s="156" t="s">
        <v>326</v>
      </c>
      <c r="D3" s="114" t="s">
        <v>821</v>
      </c>
      <c r="E3" s="113" t="s">
        <v>20</v>
      </c>
      <c r="F3" s="538" t="s">
        <v>359</v>
      </c>
      <c r="G3" s="539"/>
      <c r="H3" s="99"/>
      <c r="I3" s="108"/>
      <c r="J3" s="99"/>
      <c r="K3" s="99"/>
      <c r="M3" s="99"/>
      <c r="N3" s="99"/>
    </row>
    <row r="4" spans="1:16" ht="15.75" customHeight="1">
      <c r="A4" s="109" t="s">
        <v>402</v>
      </c>
      <c r="E4" s="101" t="s">
        <v>408</v>
      </c>
      <c r="G4" s="110" t="s">
        <v>71</v>
      </c>
      <c r="L4" s="98"/>
    </row>
    <row r="5" spans="1:16" s="103" customFormat="1" ht="15.75" customHeight="1">
      <c r="A5" s="120" t="s">
        <v>197</v>
      </c>
      <c r="B5" s="120" t="s">
        <v>328</v>
      </c>
      <c r="C5" s="120" t="s">
        <v>330</v>
      </c>
      <c r="D5" s="115" t="s">
        <v>2</v>
      </c>
      <c r="E5" s="115" t="s">
        <v>3</v>
      </c>
      <c r="G5" s="120" t="s">
        <v>197</v>
      </c>
      <c r="H5" s="115" t="s">
        <v>69</v>
      </c>
      <c r="I5" s="115" t="s">
        <v>327</v>
      </c>
      <c r="J5" s="115" t="s">
        <v>329</v>
      </c>
      <c r="K5" s="115" t="s">
        <v>3</v>
      </c>
      <c r="L5" s="104" t="s">
        <v>60</v>
      </c>
    </row>
    <row r="6" spans="1:16" ht="18" customHeight="1">
      <c r="A6" s="106" t="s">
        <v>24</v>
      </c>
      <c r="B6" s="116">
        <f>'（１）收支狀況'!G19/1000</f>
        <v>43787.408530000001</v>
      </c>
      <c r="C6" s="116">
        <v>48409.401949999999</v>
      </c>
      <c r="D6" s="116">
        <f>B6-C6</f>
        <v>-4621.9934199999989</v>
      </c>
      <c r="E6" s="215">
        <f>'（１）收支狀況'!H6:H6/1000</f>
        <v>131301.22599000001</v>
      </c>
      <c r="G6" s="216" t="s">
        <v>404</v>
      </c>
      <c r="H6" s="217">
        <v>442.4</v>
      </c>
      <c r="I6" s="217">
        <f>'（２）ＫＰＩ達成進度'!G19</f>
        <v>435.74576471933477</v>
      </c>
      <c r="J6" s="217">
        <v>427.48888392303405</v>
      </c>
      <c r="K6" s="217">
        <f>'（２）ＫＰＩ達成進度'!H6</f>
        <v>431.30083601009511</v>
      </c>
      <c r="L6" s="100" t="s">
        <v>195</v>
      </c>
    </row>
    <row r="7" spans="1:16" ht="18" customHeight="1">
      <c r="A7" s="106" t="s">
        <v>25</v>
      </c>
      <c r="B7" s="116">
        <f>'（１）收支狀況'!J19</f>
        <v>1380106</v>
      </c>
      <c r="C7" s="116">
        <v>1514096</v>
      </c>
      <c r="D7" s="116">
        <f t="shared" ref="D7:D11" si="0">B7-C7</f>
        <v>-133990</v>
      </c>
      <c r="E7" s="215">
        <f>'（１）收支狀況'!K6:K6</f>
        <v>4151257</v>
      </c>
      <c r="G7" s="216" t="s">
        <v>405</v>
      </c>
      <c r="H7" s="218">
        <v>0.8</v>
      </c>
      <c r="I7" s="117">
        <f>'（２）ＫＰＩ達成進度'!J19</f>
        <v>0.98495878101115453</v>
      </c>
      <c r="J7" s="117">
        <v>0.96629494557647833</v>
      </c>
      <c r="K7" s="218">
        <f>'（２）ＫＰＩ達成進度'!K6</f>
        <v>0.974911473802204</v>
      </c>
      <c r="L7" s="100" t="s">
        <v>4</v>
      </c>
    </row>
    <row r="8" spans="1:16" ht="18" customHeight="1">
      <c r="A8" s="106" t="s">
        <v>403</v>
      </c>
      <c r="B8" s="116">
        <f>'（１）收支狀況'!M19/1000</f>
        <v>29380.856101741447</v>
      </c>
      <c r="C8" s="116">
        <v>32519.175124987625</v>
      </c>
      <c r="D8" s="116">
        <f>B8-C8</f>
        <v>-3138.3190232461784</v>
      </c>
      <c r="E8" s="215">
        <f>'（１）收支狀況'!N6:N6/1000</f>
        <v>88351.545328078966</v>
      </c>
      <c r="G8" s="216" t="s">
        <v>200</v>
      </c>
      <c r="H8" s="117">
        <v>2.5000000000000001E-3</v>
      </c>
      <c r="I8" s="219">
        <f>'（２）ＫＰＩ達成進度'!M19</f>
        <v>2.0036678728904632E-3</v>
      </c>
      <c r="J8" s="219">
        <v>2.0128889834199601E-3</v>
      </c>
      <c r="K8" s="219">
        <f>'（２）ＫＰＩ達成進度'!N6</f>
        <v>2.0080486844356077E-3</v>
      </c>
      <c r="L8" s="100" t="s">
        <v>55</v>
      </c>
    </row>
    <row r="9" spans="1:16" ht="18" customHeight="1">
      <c r="A9" s="106" t="s">
        <v>6</v>
      </c>
      <c r="B9" s="218">
        <f>'（１）收支狀況'!P19</f>
        <v>0.67098869488044233</v>
      </c>
      <c r="C9" s="218">
        <v>0.67175329202734801</v>
      </c>
      <c r="D9" s="218">
        <f t="shared" si="0"/>
        <v>-7.6459714690568781E-4</v>
      </c>
      <c r="E9" s="218">
        <f>'（１）收支狀況'!Q6</f>
        <v>0.67289200585840603</v>
      </c>
      <c r="G9" s="216" t="s">
        <v>201</v>
      </c>
      <c r="H9" s="117">
        <v>4.0000000000000001E-3</v>
      </c>
      <c r="I9" s="117">
        <f>'（２）ＫＰＩ達成進度'!P19</f>
        <v>6.0137090526054928E-3</v>
      </c>
      <c r="J9" s="117">
        <v>6.0293903208747399E-3</v>
      </c>
      <c r="K9" s="117">
        <f>'（２）ＫＰＩ達成進度'!Q6</f>
        <v>6.0192687170481061E-3</v>
      </c>
      <c r="L9" s="100" t="s">
        <v>98</v>
      </c>
    </row>
    <row r="10" spans="1:16" ht="18" customHeight="1">
      <c r="A10" s="106" t="s">
        <v>64</v>
      </c>
      <c r="B10" s="116">
        <f>'（１）收支狀況'!S19/1000</f>
        <v>6117.7440419999994</v>
      </c>
      <c r="C10" s="116">
        <v>6474.2050580000005</v>
      </c>
      <c r="D10" s="116">
        <f t="shared" si="0"/>
        <v>-356.46101600000111</v>
      </c>
      <c r="E10" s="215">
        <f>'（１）收支狀況'!T6/1000</f>
        <v>17903.716664</v>
      </c>
      <c r="G10" s="216" t="s">
        <v>406</v>
      </c>
      <c r="H10" s="218">
        <v>0.8</v>
      </c>
      <c r="I10" s="218">
        <f>'（２）ＫＰＩ達成進度'!S19</f>
        <v>0.90000000000000013</v>
      </c>
      <c r="J10" s="218">
        <v>0.90000000000000013</v>
      </c>
      <c r="K10" s="218">
        <f>'（２）ＫＰＩ達成進度'!T6</f>
        <v>0.9</v>
      </c>
      <c r="L10" s="100" t="s">
        <v>7</v>
      </c>
      <c r="M10" s="310"/>
      <c r="N10" s="310"/>
      <c r="O10" s="310"/>
      <c r="P10" s="310"/>
    </row>
    <row r="11" spans="1:16" ht="18" customHeight="1">
      <c r="A11" s="106" t="s">
        <v>65</v>
      </c>
      <c r="B11" s="218">
        <f>'（１）收支狀況'!V19</f>
        <v>0.13971468619360194</v>
      </c>
      <c r="C11" s="218">
        <v>0.13373858790255103</v>
      </c>
      <c r="D11" s="218">
        <f t="shared" si="0"/>
        <v>5.9760982910509186E-3</v>
      </c>
      <c r="E11" s="218">
        <f>'（１）收支狀況'!W6</f>
        <v>0.13635605097368675</v>
      </c>
      <c r="G11" s="216" t="s">
        <v>407</v>
      </c>
      <c r="H11" s="218">
        <v>1</v>
      </c>
      <c r="I11" s="307">
        <f>29/52*100%</f>
        <v>0.55769230769230771</v>
      </c>
      <c r="J11" s="307">
        <v>0.53846153846153844</v>
      </c>
      <c r="K11" s="307">
        <f>'（２）ＫＰＩ達成進度'!W6</f>
        <v>0.53942307692307701</v>
      </c>
      <c r="L11" s="100" t="s">
        <v>62</v>
      </c>
      <c r="M11" s="311"/>
      <c r="N11" s="311"/>
      <c r="O11" s="311"/>
      <c r="P11" s="311"/>
    </row>
    <row r="12" spans="1:16" ht="9.6" customHeight="1">
      <c r="L12" s="98"/>
    </row>
    <row r="13" spans="1:16" ht="15.75" customHeight="1">
      <c r="A13" s="109" t="s">
        <v>32</v>
      </c>
      <c r="E13" s="309" t="s">
        <v>23</v>
      </c>
      <c r="G13" s="109" t="s">
        <v>33</v>
      </c>
      <c r="K13" s="309" t="s">
        <v>423</v>
      </c>
      <c r="L13" s="98"/>
    </row>
    <row r="14" spans="1:16" s="105" customFormat="1" ht="14.25">
      <c r="A14" s="119"/>
      <c r="B14" s="157" t="s">
        <v>328</v>
      </c>
      <c r="C14" s="119" t="s">
        <v>66</v>
      </c>
      <c r="D14" s="157" t="s">
        <v>331</v>
      </c>
      <c r="E14" s="119" t="s">
        <v>68</v>
      </c>
      <c r="G14" s="119"/>
      <c r="H14" s="157" t="s">
        <v>328</v>
      </c>
      <c r="I14" s="119" t="s">
        <v>66</v>
      </c>
      <c r="J14" s="157" t="s">
        <v>331</v>
      </c>
      <c r="K14" s="119" t="s">
        <v>68</v>
      </c>
    </row>
    <row r="15" spans="1:16" ht="18" customHeight="1">
      <c r="A15" s="106" t="s">
        <v>380</v>
      </c>
      <c r="B15" s="116">
        <f>SUM('（３）業績構成比'!M21:M27)/1000</f>
        <v>12614.878440000002</v>
      </c>
      <c r="C15" s="218">
        <f>IFERROR(B15/$B$6,"")</f>
        <v>0.28809374346410999</v>
      </c>
      <c r="D15" s="218">
        <v>0.26595563385182452</v>
      </c>
      <c r="E15" s="218">
        <f>IFERROR(C15-D15,"")</f>
        <v>2.2138109612285461E-2</v>
      </c>
      <c r="G15" s="106" t="s">
        <v>381</v>
      </c>
      <c r="H15" s="116">
        <f>SUM('（４）訂單數量構成比'!M21:M27)</f>
        <v>659652</v>
      </c>
      <c r="I15" s="218">
        <f>IFERROR(H15/$B$7,"")</f>
        <v>0.47797198186226275</v>
      </c>
      <c r="J15" s="218">
        <v>0.45248782111570202</v>
      </c>
      <c r="K15" s="218">
        <f t="shared" ref="K15:K23" si="1">IFERROR(I15-J15,"")</f>
        <v>2.5484160746560736E-2</v>
      </c>
      <c r="L15" s="98"/>
    </row>
    <row r="16" spans="1:16" ht="18" customHeight="1">
      <c r="A16" s="106" t="s">
        <v>223</v>
      </c>
      <c r="B16" s="116">
        <f>SUM('（３）業績構成比'!S21:S27)/1000</f>
        <v>1542.3036899999997</v>
      </c>
      <c r="C16" s="218">
        <f t="shared" ref="C16:C23" si="2">IFERROR(B16/$B$6,"")</f>
        <v>3.5222538665272314E-2</v>
      </c>
      <c r="D16" s="218">
        <v>3.2307378050556557E-2</v>
      </c>
      <c r="E16" s="218">
        <f t="shared" ref="E16:E23" si="3">IFERROR(C16-D16,"")</f>
        <v>2.9151606147157574E-3</v>
      </c>
      <c r="G16" s="106" t="s">
        <v>254</v>
      </c>
      <c r="H16" s="116">
        <f>SUM('（４）訂單數量構成比'!S21:S27)</f>
        <v>53620</v>
      </c>
      <c r="I16" s="218">
        <f>IFERROR(H16/$B$7,"")</f>
        <v>3.8852088172937442E-2</v>
      </c>
      <c r="J16" s="218">
        <v>3.5898648434445374E-2</v>
      </c>
      <c r="K16" s="218">
        <f t="shared" si="1"/>
        <v>2.9534397384920683E-3</v>
      </c>
      <c r="L16" s="98"/>
    </row>
    <row r="17" spans="1:17" ht="18" customHeight="1">
      <c r="A17" s="106" t="s">
        <v>219</v>
      </c>
      <c r="B17" s="116">
        <f>SUM('（３）業績構成比'!U21:U27)/1000</f>
        <v>1287.4038999999998</v>
      </c>
      <c r="C17" s="218">
        <f t="shared" si="2"/>
        <v>2.9401235268763683E-2</v>
      </c>
      <c r="D17" s="218">
        <v>3.4651894930092193E-2</v>
      </c>
      <c r="E17" s="218">
        <f t="shared" si="3"/>
        <v>-5.2506596613285106E-3</v>
      </c>
      <c r="G17" s="106" t="s">
        <v>235</v>
      </c>
      <c r="H17" s="116">
        <f>SUM('（４）訂單數量構成比'!U21:U27)</f>
        <v>43652</v>
      </c>
      <c r="I17" s="218">
        <f t="shared" ref="I17:I23" si="4">IFERROR(H17/$B$7,"")</f>
        <v>3.1629454549143329E-2</v>
      </c>
      <c r="J17" s="218">
        <v>3.7657453688537582E-2</v>
      </c>
      <c r="K17" s="218">
        <f t="shared" si="1"/>
        <v>-6.0279991393942522E-3</v>
      </c>
      <c r="L17" s="98"/>
    </row>
    <row r="18" spans="1:17" ht="18" customHeight="1">
      <c r="A18" s="106" t="s">
        <v>221</v>
      </c>
      <c r="B18" s="116">
        <f>SUM('（３）業績構成比'!W21:W27)/1000</f>
        <v>1533.5520800000002</v>
      </c>
      <c r="C18" s="218">
        <f t="shared" si="2"/>
        <v>3.5022672761036315E-2</v>
      </c>
      <c r="D18" s="218">
        <v>3.394905542723814E-2</v>
      </c>
      <c r="E18" s="218">
        <f t="shared" si="3"/>
        <v>1.0736173337981755E-3</v>
      </c>
      <c r="G18" s="106" t="s">
        <v>220</v>
      </c>
      <c r="H18" s="116">
        <f>SUM('（４）訂單數量構成比'!W21:W27)</f>
        <v>63826</v>
      </c>
      <c r="I18" s="218">
        <f t="shared" si="4"/>
        <v>4.6247172318647986E-2</v>
      </c>
      <c r="J18" s="218">
        <v>4.4975351628958798E-2</v>
      </c>
      <c r="K18" s="218">
        <f t="shared" si="1"/>
        <v>1.2718206896891876E-3</v>
      </c>
      <c r="L18" s="98"/>
    </row>
    <row r="19" spans="1:17" ht="18" customHeight="1">
      <c r="A19" s="106" t="s">
        <v>225</v>
      </c>
      <c r="B19" s="116">
        <f>SUM('（３）業績構成比'!AC21:AC27)/1000</f>
        <v>7180.1879200000012</v>
      </c>
      <c r="C19" s="218">
        <f t="shared" si="2"/>
        <v>0.1639783709757715</v>
      </c>
      <c r="D19" s="218">
        <v>0.17931256037754045</v>
      </c>
      <c r="E19" s="218">
        <f t="shared" si="3"/>
        <v>-1.533418940176895E-2</v>
      </c>
      <c r="G19" s="106" t="s">
        <v>224</v>
      </c>
      <c r="H19" s="116">
        <f>SUM('（４）訂單數量構成比'!AC21:AC27)</f>
        <v>134272</v>
      </c>
      <c r="I19" s="218">
        <f t="shared" si="4"/>
        <v>9.7291077641862289E-2</v>
      </c>
      <c r="J19" s="218">
        <v>0.10840461899377582</v>
      </c>
      <c r="K19" s="218">
        <f t="shared" si="1"/>
        <v>-1.1113541351913531E-2</v>
      </c>
      <c r="L19" s="98"/>
    </row>
    <row r="20" spans="1:17" ht="18" customHeight="1">
      <c r="A20" s="106" t="s">
        <v>227</v>
      </c>
      <c r="B20" s="116">
        <f>SUM('（３）業績構成比'!AE21:AE27)/1000</f>
        <v>10175.31826</v>
      </c>
      <c r="C20" s="218">
        <f t="shared" si="2"/>
        <v>0.23238000607020623</v>
      </c>
      <c r="D20" s="218">
        <v>0.21838140266469455</v>
      </c>
      <c r="E20" s="218">
        <f t="shared" si="3"/>
        <v>1.3998603405511678E-2</v>
      </c>
      <c r="G20" s="106" t="s">
        <v>226</v>
      </c>
      <c r="H20" s="116">
        <f>SUM('（４）訂單數量構成比'!AE21:AE27)</f>
        <v>163257</v>
      </c>
      <c r="I20" s="218">
        <f t="shared" si="4"/>
        <v>0.11829308763239925</v>
      </c>
      <c r="J20" s="218">
        <v>0.11181853726580085</v>
      </c>
      <c r="K20" s="218">
        <f t="shared" si="1"/>
        <v>6.4745503665984E-3</v>
      </c>
      <c r="L20" s="98"/>
    </row>
    <row r="21" spans="1:17" ht="18" customHeight="1">
      <c r="A21" s="106" t="s">
        <v>230</v>
      </c>
      <c r="B21" s="116">
        <f>SUM('（３）業績構成比'!AG21:AG27)/1000</f>
        <v>0</v>
      </c>
      <c r="C21" s="218">
        <f t="shared" si="2"/>
        <v>0</v>
      </c>
      <c r="D21" s="218">
        <v>0</v>
      </c>
      <c r="E21" s="218">
        <f t="shared" si="3"/>
        <v>0</v>
      </c>
      <c r="G21" s="106" t="s">
        <v>236</v>
      </c>
      <c r="H21" s="116">
        <f>SUM('（４）訂單數量構成比'!AG21:AG27)</f>
        <v>0</v>
      </c>
      <c r="I21" s="218">
        <f t="shared" si="4"/>
        <v>0</v>
      </c>
      <c r="J21" s="218">
        <v>0</v>
      </c>
      <c r="K21" s="218">
        <f t="shared" si="1"/>
        <v>0</v>
      </c>
      <c r="L21" s="98"/>
    </row>
    <row r="22" spans="1:17" ht="18" customHeight="1">
      <c r="A22" s="106" t="s">
        <v>231</v>
      </c>
      <c r="B22" s="116">
        <f>SUM('（３）業績構成比'!AI21:AI27)/1000</f>
        <v>6739.2105899999997</v>
      </c>
      <c r="C22" s="218">
        <f t="shared" si="2"/>
        <v>0.15390750026649269</v>
      </c>
      <c r="D22" s="218">
        <v>0.1742493373232015</v>
      </c>
      <c r="E22" s="218">
        <f t="shared" si="3"/>
        <v>-2.0341837056708806E-2</v>
      </c>
      <c r="G22" s="106" t="s">
        <v>237</v>
      </c>
      <c r="H22" s="116">
        <f>SUM('（４）訂單數量構成比'!AI21:AI27)</f>
        <v>178703</v>
      </c>
      <c r="I22" s="218">
        <f t="shared" si="4"/>
        <v>0.12948498158837074</v>
      </c>
      <c r="J22" s="218">
        <v>0.14917019792668365</v>
      </c>
      <c r="K22" s="218">
        <f t="shared" si="1"/>
        <v>-1.9685216338312911E-2</v>
      </c>
      <c r="L22" s="98"/>
    </row>
    <row r="23" spans="1:17" ht="18" customHeight="1">
      <c r="A23" s="106" t="s">
        <v>233</v>
      </c>
      <c r="B23" s="116">
        <f>SUM('（３）業績構成比'!AK21:AK27)/1000</f>
        <v>2714.5536499999998</v>
      </c>
      <c r="C23" s="218">
        <f t="shared" si="2"/>
        <v>6.1993932528347319E-2</v>
      </c>
      <c r="D23" s="218">
        <v>6.1192737374852035E-2</v>
      </c>
      <c r="E23" s="218">
        <f t="shared" si="3"/>
        <v>8.0119515349528353E-4</v>
      </c>
      <c r="G23" s="106" t="s">
        <v>232</v>
      </c>
      <c r="H23" s="116">
        <f>SUM('（４）訂單數量構成比'!AK21:AK27)</f>
        <v>83124</v>
      </c>
      <c r="I23" s="218">
        <f t="shared" si="4"/>
        <v>6.0230156234376199E-2</v>
      </c>
      <c r="J23" s="218">
        <v>5.958737094609589E-2</v>
      </c>
      <c r="K23" s="218">
        <f t="shared" si="1"/>
        <v>6.4278528828030923E-4</v>
      </c>
      <c r="L23" s="98"/>
    </row>
    <row r="24" spans="1:17" ht="15.75" customHeight="1">
      <c r="B24" s="101"/>
      <c r="C24" s="111">
        <f>SUM(C15:C23)</f>
        <v>1</v>
      </c>
      <c r="D24" s="111">
        <f>SUM(D15:D23)</f>
        <v>1</v>
      </c>
      <c r="I24" s="111">
        <f>SUM(I15:I23)</f>
        <v>0.99999999999999989</v>
      </c>
      <c r="J24" s="111">
        <f>SUM(J15:J23)</f>
        <v>1</v>
      </c>
      <c r="L24" s="98"/>
    </row>
    <row r="25" spans="1:17" ht="9.6" customHeight="1">
      <c r="A25" s="112"/>
      <c r="L25" s="98"/>
    </row>
    <row r="26" spans="1:17" ht="15.75" customHeight="1">
      <c r="A26" s="110" t="s">
        <v>823</v>
      </c>
      <c r="L26" s="98"/>
    </row>
    <row r="27" spans="1:17" ht="15.75" customHeight="1">
      <c r="A27" s="106" t="s">
        <v>188</v>
      </c>
      <c r="B27" s="158" t="s">
        <v>328</v>
      </c>
      <c r="C27" s="158" t="s">
        <v>330</v>
      </c>
      <c r="D27" s="106" t="s">
        <v>2</v>
      </c>
      <c r="E27" s="106" t="s">
        <v>3</v>
      </c>
      <c r="L27" s="98"/>
    </row>
    <row r="28" spans="1:17" ht="18" customHeight="1">
      <c r="A28" s="106" t="s">
        <v>381</v>
      </c>
      <c r="B28" s="209">
        <f>'（５-1）品群別人時生產性(18℃-飯糰)'!L91</f>
        <v>769.53148065846824</v>
      </c>
      <c r="C28" s="209">
        <v>765.61007204064788</v>
      </c>
      <c r="D28" s="220">
        <f>B28-C28</f>
        <v>3.9214086178203615</v>
      </c>
      <c r="E28" s="221">
        <f>'（５-1）品群別人時生產性(18℃-飯糰)'!C1</f>
        <v>768.7403180867941</v>
      </c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2"/>
    </row>
    <row r="29" spans="1:17" ht="18" customHeight="1">
      <c r="A29" s="106" t="s">
        <v>222</v>
      </c>
      <c r="B29" s="209">
        <f>'（５-2）品群別人時生產性(18℃-壽司手卷)'!L47</f>
        <v>298.89111946735642</v>
      </c>
      <c r="C29" s="209">
        <v>298.97235939929243</v>
      </c>
      <c r="D29" s="220">
        <f>B29-C29</f>
        <v>-8.1239931936011089E-2</v>
      </c>
      <c r="E29" s="221">
        <f>'（５-2）品群別人時生產性(18℃-壽司手卷)'!C1</f>
        <v>298.86613162126952</v>
      </c>
      <c r="G29" s="123"/>
      <c r="H29" s="123"/>
      <c r="I29" s="124"/>
      <c r="J29" s="1"/>
      <c r="K29" s="125"/>
      <c r="L29" s="67"/>
      <c r="M29" s="66"/>
      <c r="N29" s="67"/>
      <c r="O29" s="67"/>
      <c r="P29" s="67"/>
      <c r="Q29" s="67"/>
    </row>
    <row r="30" spans="1:17" ht="18" customHeight="1">
      <c r="A30" s="106" t="s">
        <v>235</v>
      </c>
      <c r="B30" s="209">
        <f>'（５-3）品群別人時生產性(4℃-飯糰)'!L47</f>
        <v>115.96780199614047</v>
      </c>
      <c r="C30" s="209">
        <v>113.38841138750922</v>
      </c>
      <c r="D30" s="220">
        <f>B30-C30</f>
        <v>2.5793906086312433</v>
      </c>
      <c r="E30" s="221">
        <f>'（５-3）品群別人時生產性(4℃-飯糰)'!C1</f>
        <v>116.2495653003774</v>
      </c>
      <c r="L30" s="98"/>
    </row>
    <row r="31" spans="1:17" ht="18" customHeight="1">
      <c r="A31" s="106" t="s">
        <v>220</v>
      </c>
      <c r="B31" s="209">
        <f>'（５-4）品群別人時生產性(4℃-壽司手卷)'!L47</f>
        <v>452.87919174259349</v>
      </c>
      <c r="C31" s="209">
        <v>451.13496901318541</v>
      </c>
      <c r="D31" s="220">
        <f>B31-C31</f>
        <v>1.7442227294080794</v>
      </c>
      <c r="E31" s="221">
        <f>'（５-4）品群別人時生產性(4℃-壽司手卷)'!C1</f>
        <v>432.41162804909641</v>
      </c>
      <c r="L31" s="98"/>
    </row>
    <row r="32" spans="1:17" ht="18" customHeight="1">
      <c r="A32" s="106" t="s">
        <v>225</v>
      </c>
      <c r="B32" s="209">
        <f>'（５-5）品群別人時生產性(微波主食) '!L47</f>
        <v>85.849102045717643</v>
      </c>
      <c r="C32" s="209">
        <v>84.20137513621313</v>
      </c>
      <c r="D32" s="220">
        <f t="shared" ref="D32:D36" si="5">B32-C32</f>
        <v>1.6477269095045131</v>
      </c>
      <c r="E32" s="221">
        <f>'（５-5）品群別人時生產性(微波主食) '!C1</f>
        <v>85.267290527331454</v>
      </c>
      <c r="L32" s="98"/>
    </row>
    <row r="33" spans="1:12" ht="18" customHeight="1">
      <c r="A33" s="106" t="s">
        <v>226</v>
      </c>
      <c r="B33" s="209">
        <f>'（５-6）品群別人時生產性(便當)'!L47</f>
        <v>79.518358448192245</v>
      </c>
      <c r="C33" s="209">
        <v>79.487088211303117</v>
      </c>
      <c r="D33" s="220">
        <f t="shared" si="5"/>
        <v>3.1270236889128E-2</v>
      </c>
      <c r="E33" s="221">
        <f>'（５-6）品群別人時生產性(便當)'!C1</f>
        <v>79.347550492012189</v>
      </c>
      <c r="L33" s="98"/>
    </row>
    <row r="34" spans="1:12" ht="18" customHeight="1">
      <c r="A34" s="106" t="s">
        <v>236</v>
      </c>
      <c r="B34" s="209">
        <f>'（５-7）品群別人時生產性(熱食義麵) '!L47</f>
        <v>0</v>
      </c>
      <c r="C34" s="209">
        <v>0</v>
      </c>
      <c r="D34" s="220">
        <f t="shared" si="5"/>
        <v>0</v>
      </c>
      <c r="E34" s="221">
        <f>'（５-7）品群別人時生產性(熱食義麵) '!C1</f>
        <v>0</v>
      </c>
      <c r="L34" s="98"/>
    </row>
    <row r="35" spans="1:12" ht="18" customHeight="1">
      <c r="A35" s="106" t="s">
        <v>237</v>
      </c>
      <c r="B35" s="209">
        <f>'（５-8）品群別人時生產性(季節調理麵) '!L47</f>
        <v>155.59252941356741</v>
      </c>
      <c r="C35" s="209">
        <v>157.47086317143416</v>
      </c>
      <c r="D35" s="220">
        <f t="shared" si="5"/>
        <v>-1.8783337578667556</v>
      </c>
      <c r="E35" s="221">
        <f>'（５-8）品群別人時生產性(季節調理麵) '!C1</f>
        <v>156.88743072050309</v>
      </c>
      <c r="L35" s="98"/>
    </row>
    <row r="36" spans="1:12" ht="18" customHeight="1">
      <c r="A36" s="102" t="s">
        <v>232</v>
      </c>
      <c r="B36" s="209">
        <f>'（５-9）品群別人時生產性(微波小吃)'!L47</f>
        <v>117.51708434954745</v>
      </c>
      <c r="C36" s="209">
        <v>117.52142077681158</v>
      </c>
      <c r="D36" s="220">
        <f t="shared" si="5"/>
        <v>-4.3364272641355228E-3</v>
      </c>
      <c r="E36" s="222">
        <f>'（５-9）品群別人時生產性(微波小吃)'!C1</f>
        <v>117.50959695748536</v>
      </c>
      <c r="L36" s="98"/>
    </row>
    <row r="37" spans="1:12" ht="15.75" customHeight="1">
      <c r="L37" s="98"/>
    </row>
    <row r="38" spans="1:12" ht="15.75" customHeight="1">
      <c r="L38" s="98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  <pageSetUpPr fitToPage="1"/>
  </sheetPr>
  <dimension ref="B2:W39"/>
  <sheetViews>
    <sheetView topLeftCell="A2" zoomScale="80" zoomScaleNormal="80" workbookViewId="0">
      <selection activeCell="G19" sqref="G19:G25"/>
    </sheetView>
  </sheetViews>
  <sheetFormatPr defaultColWidth="8.85546875" defaultRowHeight="12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541" t="s">
        <v>126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  <c r="T2" s="541"/>
      <c r="U2" s="541"/>
      <c r="V2" s="541"/>
      <c r="W2" s="541"/>
    </row>
    <row r="3" spans="2:23" s="77" customFormat="1" ht="23.45" customHeight="1">
      <c r="B3" s="545" t="s">
        <v>122</v>
      </c>
      <c r="C3" s="546" t="s">
        <v>119</v>
      </c>
      <c r="D3" s="547" t="s">
        <v>105</v>
      </c>
      <c r="E3" s="547"/>
      <c r="F3" s="544" t="s">
        <v>123</v>
      </c>
      <c r="G3" s="544"/>
      <c r="H3" s="544"/>
      <c r="I3" s="542" t="s">
        <v>124</v>
      </c>
      <c r="J3" s="542"/>
      <c r="K3" s="542"/>
      <c r="L3" s="543" t="s">
        <v>125</v>
      </c>
      <c r="M3" s="543"/>
      <c r="N3" s="543"/>
      <c r="O3" s="540" t="s">
        <v>127</v>
      </c>
      <c r="P3" s="540"/>
      <c r="Q3" s="540"/>
      <c r="R3" s="548" t="s">
        <v>128</v>
      </c>
      <c r="S3" s="548"/>
      <c r="T3" s="548"/>
      <c r="U3" s="540" t="s">
        <v>129</v>
      </c>
      <c r="V3" s="540"/>
      <c r="W3" s="540"/>
    </row>
    <row r="4" spans="2:23" s="77" customFormat="1" ht="23.45" customHeight="1">
      <c r="B4" s="545"/>
      <c r="C4" s="546"/>
      <c r="D4" s="547"/>
      <c r="E4" s="547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 ht="13.5">
      <c r="B5" s="549">
        <v>46211</v>
      </c>
      <c r="C5" s="465"/>
      <c r="D5" s="80">
        <v>46203</v>
      </c>
      <c r="E5" s="80" t="s">
        <v>118</v>
      </c>
      <c r="F5" s="163">
        <v>7292751.3200000003</v>
      </c>
      <c r="G5" s="550">
        <f>SUM(F5:F11)</f>
        <v>46397166.829999998</v>
      </c>
      <c r="H5" s="462"/>
      <c r="I5" s="213">
        <v>229980</v>
      </c>
      <c r="J5" s="551">
        <f t="shared" ref="J5" si="0">SUM(I5:I11)</f>
        <v>1487035</v>
      </c>
      <c r="K5" s="463"/>
      <c r="L5" s="163">
        <v>4832312.3540379386</v>
      </c>
      <c r="M5" s="550">
        <f t="shared" ref="M5" si="1">SUM(L5:L11)</f>
        <v>31283826.455387834</v>
      </c>
      <c r="N5" s="462"/>
      <c r="O5" s="153">
        <f t="shared" ref="O5:O11" si="2">L5/F5</f>
        <v>0.66261855670103098</v>
      </c>
      <c r="P5" s="552">
        <f>M5/G5</f>
        <v>0.6742615679533257</v>
      </c>
      <c r="Q5" s="464"/>
      <c r="R5" s="164">
        <v>983789.54599999997</v>
      </c>
      <c r="S5" s="554">
        <f t="shared" ref="S5" si="3">SUM(R5:R11)</f>
        <v>6295557.1100000003</v>
      </c>
      <c r="T5" s="462"/>
      <c r="U5" s="153">
        <f t="shared" ref="U5:U11" si="4">R5/F5</f>
        <v>0.13489964251242287</v>
      </c>
      <c r="V5" s="552">
        <f>S5/G5</f>
        <v>0.13568839522178214</v>
      </c>
      <c r="W5" s="464"/>
    </row>
    <row r="6" spans="2:23">
      <c r="B6" s="549"/>
      <c r="C6" s="555" t="s">
        <v>698</v>
      </c>
      <c r="D6" s="80">
        <f t="shared" ref="D6:D7" si="5">D5+1</f>
        <v>46204</v>
      </c>
      <c r="E6" s="80" t="s">
        <v>112</v>
      </c>
      <c r="F6" s="163">
        <v>6821172.7800000003</v>
      </c>
      <c r="G6" s="550"/>
      <c r="H6" s="550">
        <f>SUM(F6:F36)</f>
        <v>131301225.98999999</v>
      </c>
      <c r="I6" s="213">
        <v>219467</v>
      </c>
      <c r="J6" s="551"/>
      <c r="K6" s="551">
        <f>SUM(I6:I36)</f>
        <v>4151257</v>
      </c>
      <c r="L6" s="163">
        <v>4619692.0062816506</v>
      </c>
      <c r="M6" s="550"/>
      <c r="N6" s="550">
        <f>SUM(L6:L36)</f>
        <v>88351545.32807897</v>
      </c>
      <c r="O6" s="153">
        <f t="shared" si="2"/>
        <v>0.67725773195876304</v>
      </c>
      <c r="P6" s="552"/>
      <c r="Q6" s="553">
        <f>N6/H6</f>
        <v>0.67289200585840603</v>
      </c>
      <c r="R6" s="164">
        <v>891137.81200000003</v>
      </c>
      <c r="S6" s="554"/>
      <c r="T6" s="550">
        <f>SUM(R6:R36)</f>
        <v>17903716.664000001</v>
      </c>
      <c r="U6" s="153">
        <f t="shared" si="4"/>
        <v>0.13064290272969745</v>
      </c>
      <c r="V6" s="552"/>
      <c r="W6" s="553">
        <f>T6/H6</f>
        <v>0.13635605097368675</v>
      </c>
    </row>
    <row r="7" spans="2:23">
      <c r="B7" s="549"/>
      <c r="C7" s="555"/>
      <c r="D7" s="80">
        <f t="shared" si="5"/>
        <v>46205</v>
      </c>
      <c r="E7" s="80" t="s">
        <v>113</v>
      </c>
      <c r="F7" s="163">
        <v>6343385.2199999997</v>
      </c>
      <c r="G7" s="550"/>
      <c r="H7" s="550"/>
      <c r="I7" s="213">
        <v>206563</v>
      </c>
      <c r="J7" s="551"/>
      <c r="K7" s="551"/>
      <c r="L7" s="163">
        <v>4244444.0651430916</v>
      </c>
      <c r="M7" s="550"/>
      <c r="N7" s="550"/>
      <c r="O7" s="153">
        <f t="shared" si="2"/>
        <v>0.66911340206185554</v>
      </c>
      <c r="P7" s="552"/>
      <c r="Q7" s="553"/>
      <c r="R7" s="164">
        <v>886674.37</v>
      </c>
      <c r="S7" s="554"/>
      <c r="T7" s="550"/>
      <c r="U7" s="153">
        <f t="shared" si="4"/>
        <v>0.13977936689142142</v>
      </c>
      <c r="V7" s="552"/>
      <c r="W7" s="553"/>
    </row>
    <row r="8" spans="2:23">
      <c r="B8" s="549"/>
      <c r="C8" s="555"/>
      <c r="D8" s="80">
        <f t="shared" ref="D8:D39" si="6">D7+1</f>
        <v>46206</v>
      </c>
      <c r="E8" s="80" t="s">
        <v>114</v>
      </c>
      <c r="F8" s="163">
        <v>5464679.9400000004</v>
      </c>
      <c r="G8" s="550"/>
      <c r="H8" s="550"/>
      <c r="I8" s="213">
        <v>176725</v>
      </c>
      <c r="J8" s="551"/>
      <c r="K8" s="551"/>
      <c r="L8" s="163">
        <v>3679588.7175377328</v>
      </c>
      <c r="M8" s="550"/>
      <c r="N8" s="550"/>
      <c r="O8" s="153">
        <f t="shared" si="2"/>
        <v>0.67334020618556711</v>
      </c>
      <c r="P8" s="552"/>
      <c r="Q8" s="553"/>
      <c r="R8" s="164">
        <v>824958.18599999999</v>
      </c>
      <c r="S8" s="554"/>
      <c r="T8" s="550"/>
      <c r="U8" s="153">
        <f t="shared" si="4"/>
        <v>0.15096184864579643</v>
      </c>
      <c r="V8" s="552"/>
      <c r="W8" s="553"/>
    </row>
    <row r="9" spans="2:23">
      <c r="B9" s="549"/>
      <c r="C9" s="555"/>
      <c r="D9" s="80">
        <f t="shared" si="6"/>
        <v>46207</v>
      </c>
      <c r="E9" s="80" t="s">
        <v>115</v>
      </c>
      <c r="F9" s="163">
        <v>6007602.6200000001</v>
      </c>
      <c r="G9" s="550"/>
      <c r="H9" s="550"/>
      <c r="I9" s="213">
        <v>192415</v>
      </c>
      <c r="J9" s="551"/>
      <c r="K9" s="551"/>
      <c r="L9" s="163">
        <v>4079843.4535039188</v>
      </c>
      <c r="M9" s="550"/>
      <c r="N9" s="550"/>
      <c r="O9" s="153">
        <f t="shared" si="2"/>
        <v>0.67911340206185589</v>
      </c>
      <c r="P9" s="552"/>
      <c r="Q9" s="553"/>
      <c r="R9" s="164">
        <v>838341.32799999998</v>
      </c>
      <c r="S9" s="554"/>
      <c r="T9" s="550"/>
      <c r="U9" s="153">
        <f t="shared" si="4"/>
        <v>0.13954673453418262</v>
      </c>
      <c r="V9" s="552"/>
      <c r="W9" s="553"/>
    </row>
    <row r="10" spans="2:23">
      <c r="B10" s="549"/>
      <c r="C10" s="555"/>
      <c r="D10" s="80">
        <f t="shared" si="6"/>
        <v>46208</v>
      </c>
      <c r="E10" s="80" t="s">
        <v>116</v>
      </c>
      <c r="F10" s="163">
        <v>7429288.9299999997</v>
      </c>
      <c r="G10" s="550"/>
      <c r="H10" s="550"/>
      <c r="I10" s="213">
        <v>234759</v>
      </c>
      <c r="J10" s="551"/>
      <c r="K10" s="551"/>
      <c r="L10" s="163">
        <v>5016225.2492929893</v>
      </c>
      <c r="M10" s="550"/>
      <c r="N10" s="550"/>
      <c r="O10" s="153">
        <f t="shared" si="2"/>
        <v>0.67519587628865974</v>
      </c>
      <c r="P10" s="552"/>
      <c r="Q10" s="553"/>
      <c r="R10" s="164">
        <v>943212.37199999997</v>
      </c>
      <c r="S10" s="554"/>
      <c r="T10" s="550"/>
      <c r="U10" s="153">
        <f t="shared" si="4"/>
        <v>0.12695863371139612</v>
      </c>
      <c r="V10" s="552"/>
      <c r="W10" s="553"/>
    </row>
    <row r="11" spans="2:23">
      <c r="B11" s="549"/>
      <c r="C11" s="555"/>
      <c r="D11" s="80">
        <f t="shared" si="6"/>
        <v>46209</v>
      </c>
      <c r="E11" s="80" t="s">
        <v>117</v>
      </c>
      <c r="F11" s="163">
        <v>7038286.0199999996</v>
      </c>
      <c r="G11" s="550"/>
      <c r="H11" s="550"/>
      <c r="I11" s="213">
        <v>227126</v>
      </c>
      <c r="J11" s="551"/>
      <c r="K11" s="551"/>
      <c r="L11" s="163">
        <v>4811720.6095905164</v>
      </c>
      <c r="M11" s="550"/>
      <c r="N11" s="550"/>
      <c r="O11" s="153">
        <f t="shared" si="2"/>
        <v>0.68364948453608265</v>
      </c>
      <c r="P11" s="552"/>
      <c r="Q11" s="553"/>
      <c r="R11" s="164">
        <v>927443.49600000004</v>
      </c>
      <c r="S11" s="554"/>
      <c r="T11" s="550"/>
      <c r="U11" s="153">
        <f t="shared" si="4"/>
        <v>0.13177121437869616</v>
      </c>
      <c r="V11" s="552"/>
      <c r="W11" s="553"/>
    </row>
    <row r="12" spans="2:23">
      <c r="B12" s="549">
        <f>B5+7</f>
        <v>46218</v>
      </c>
      <c r="C12" s="555"/>
      <c r="D12" s="80">
        <f t="shared" si="6"/>
        <v>46210</v>
      </c>
      <c r="E12" s="80" t="s">
        <v>118</v>
      </c>
      <c r="F12" s="163">
        <v>7860603.3600000013</v>
      </c>
      <c r="G12" s="550">
        <f>SUM(F12:F18)</f>
        <v>48409401.950000003</v>
      </c>
      <c r="H12" s="550"/>
      <c r="I12" s="213">
        <v>249215</v>
      </c>
      <c r="J12" s="551">
        <f t="shared" ref="J12" si="7">SUM(I12:I18)</f>
        <v>1514096</v>
      </c>
      <c r="K12" s="551"/>
      <c r="L12" s="163">
        <v>5271790.6286746403</v>
      </c>
      <c r="M12" s="550">
        <f t="shared" ref="M12" si="8">SUM(L12:L18)</f>
        <v>32519175.124987625</v>
      </c>
      <c r="N12" s="550"/>
      <c r="O12" s="153">
        <f t="shared" ref="O12:O18" si="9">L12/F12</f>
        <v>0.67065979381443308</v>
      </c>
      <c r="P12" s="552">
        <f>M12/G12</f>
        <v>0.67175329202734801</v>
      </c>
      <c r="Q12" s="553"/>
      <c r="R12" s="164">
        <v>992155.29599999997</v>
      </c>
      <c r="S12" s="554">
        <f t="shared" ref="S12" si="10">SUM(R12:R18)</f>
        <v>6474205.0580000002</v>
      </c>
      <c r="T12" s="550"/>
      <c r="U12" s="153">
        <f t="shared" ref="U12:U18" si="11">R12/F12</f>
        <v>0.12621872018740299</v>
      </c>
      <c r="V12" s="552">
        <f>S12/G12</f>
        <v>0.13373858790255103</v>
      </c>
      <c r="W12" s="553"/>
    </row>
    <row r="13" spans="2:23">
      <c r="B13" s="549"/>
      <c r="C13" s="555"/>
      <c r="D13" s="80">
        <f t="shared" si="6"/>
        <v>46211</v>
      </c>
      <c r="E13" s="80" t="s">
        <v>112</v>
      </c>
      <c r="F13" s="163">
        <v>7229874.9699999988</v>
      </c>
      <c r="G13" s="550"/>
      <c r="H13" s="550"/>
      <c r="I13" s="213">
        <v>230160</v>
      </c>
      <c r="J13" s="551"/>
      <c r="K13" s="551"/>
      <c r="L13" s="163">
        <v>4820463.2351523703</v>
      </c>
      <c r="M13" s="550"/>
      <c r="N13" s="550"/>
      <c r="O13" s="153">
        <f t="shared" si="9"/>
        <v>0.66674226804123715</v>
      </c>
      <c r="P13" s="552"/>
      <c r="Q13" s="553"/>
      <c r="R13" s="164">
        <v>938245.09600000002</v>
      </c>
      <c r="S13" s="554"/>
      <c r="T13" s="550"/>
      <c r="U13" s="153">
        <f t="shared" si="11"/>
        <v>0.12977335014688368</v>
      </c>
      <c r="V13" s="552"/>
      <c r="W13" s="553"/>
    </row>
    <row r="14" spans="2:23">
      <c r="B14" s="549"/>
      <c r="C14" s="555"/>
      <c r="D14" s="80">
        <f t="shared" si="6"/>
        <v>46212</v>
      </c>
      <c r="E14" s="80" t="s">
        <v>113</v>
      </c>
      <c r="F14" s="163">
        <v>6763681.4199999999</v>
      </c>
      <c r="G14" s="550"/>
      <c r="H14" s="550"/>
      <c r="I14" s="213">
        <v>211372</v>
      </c>
      <c r="J14" s="551"/>
      <c r="K14" s="551"/>
      <c r="L14" s="163">
        <v>4492897.408415257</v>
      </c>
      <c r="M14" s="550"/>
      <c r="N14" s="550"/>
      <c r="O14" s="153">
        <f t="shared" si="9"/>
        <v>0.66426804123711325</v>
      </c>
      <c r="P14" s="552"/>
      <c r="Q14" s="553"/>
      <c r="R14" s="164">
        <v>923989.09400000004</v>
      </c>
      <c r="S14" s="554"/>
      <c r="T14" s="550"/>
      <c r="U14" s="153">
        <f t="shared" si="11"/>
        <v>0.13661038074143947</v>
      </c>
      <c r="V14" s="552"/>
      <c r="W14" s="553"/>
    </row>
    <row r="15" spans="2:23">
      <c r="B15" s="549"/>
      <c r="C15" s="555"/>
      <c r="D15" s="80">
        <f t="shared" si="6"/>
        <v>46213</v>
      </c>
      <c r="E15" s="80" t="s">
        <v>114</v>
      </c>
      <c r="F15" s="163">
        <v>5383246.2599999998</v>
      </c>
      <c r="G15" s="550"/>
      <c r="H15" s="550"/>
      <c r="I15" s="213">
        <v>168721</v>
      </c>
      <c r="J15" s="551"/>
      <c r="K15" s="551"/>
      <c r="L15" s="163">
        <v>3666934.1585901021</v>
      </c>
      <c r="M15" s="550"/>
      <c r="N15" s="550"/>
      <c r="O15" s="153">
        <f t="shared" si="9"/>
        <v>0.68117525773195864</v>
      </c>
      <c r="P15" s="552"/>
      <c r="Q15" s="553"/>
      <c r="R15" s="164">
        <v>808018.27399999998</v>
      </c>
      <c r="S15" s="554"/>
      <c r="T15" s="550"/>
      <c r="U15" s="153">
        <f t="shared" si="11"/>
        <v>0.15009870159646013</v>
      </c>
      <c r="V15" s="552"/>
      <c r="W15" s="553"/>
    </row>
    <row r="16" spans="2:23">
      <c r="B16" s="549"/>
      <c r="C16" s="555"/>
      <c r="D16" s="80">
        <f t="shared" si="6"/>
        <v>46214</v>
      </c>
      <c r="E16" s="80" t="s">
        <v>115</v>
      </c>
      <c r="F16" s="163">
        <v>6085802.3499999996</v>
      </c>
      <c r="G16" s="550"/>
      <c r="H16" s="550"/>
      <c r="I16" s="213">
        <v>191243</v>
      </c>
      <c r="J16" s="551"/>
      <c r="K16" s="551"/>
      <c r="L16" s="163">
        <v>4159928.237261855</v>
      </c>
      <c r="M16" s="550"/>
      <c r="N16" s="550"/>
      <c r="O16" s="153">
        <f t="shared" si="9"/>
        <v>0.68354639175257725</v>
      </c>
      <c r="P16" s="552"/>
      <c r="Q16" s="553"/>
      <c r="R16" s="164">
        <v>846564.04</v>
      </c>
      <c r="S16" s="554"/>
      <c r="T16" s="550"/>
      <c r="U16" s="153">
        <f t="shared" si="11"/>
        <v>0.13910475419892662</v>
      </c>
      <c r="V16" s="552"/>
      <c r="W16" s="553"/>
    </row>
    <row r="17" spans="2:23">
      <c r="B17" s="549"/>
      <c r="C17" s="555"/>
      <c r="D17" s="80">
        <f t="shared" si="6"/>
        <v>46215</v>
      </c>
      <c r="E17" s="80" t="s">
        <v>116</v>
      </c>
      <c r="F17" s="163">
        <v>7790002.0999999996</v>
      </c>
      <c r="G17" s="550"/>
      <c r="H17" s="550"/>
      <c r="I17" s="213">
        <v>237620</v>
      </c>
      <c r="J17" s="551"/>
      <c r="K17" s="551"/>
      <c r="L17" s="163">
        <v>5212394.8071999997</v>
      </c>
      <c r="M17" s="550"/>
      <c r="N17" s="550"/>
      <c r="O17" s="153">
        <f t="shared" si="9"/>
        <v>0.66911340206185566</v>
      </c>
      <c r="P17" s="552"/>
      <c r="Q17" s="553"/>
      <c r="R17" s="164">
        <v>1014302.392</v>
      </c>
      <c r="S17" s="554"/>
      <c r="T17" s="550"/>
      <c r="U17" s="153">
        <f t="shared" si="11"/>
        <v>0.13020566348756185</v>
      </c>
      <c r="V17" s="552"/>
      <c r="W17" s="553"/>
    </row>
    <row r="18" spans="2:23">
      <c r="B18" s="549"/>
      <c r="C18" s="555"/>
      <c r="D18" s="80">
        <f t="shared" si="6"/>
        <v>46216</v>
      </c>
      <c r="E18" s="80" t="s">
        <v>117</v>
      </c>
      <c r="F18" s="163">
        <v>7296191.4900000002</v>
      </c>
      <c r="G18" s="550"/>
      <c r="H18" s="550"/>
      <c r="I18" s="213">
        <v>225765</v>
      </c>
      <c r="J18" s="551"/>
      <c r="K18" s="551"/>
      <c r="L18" s="163">
        <v>4894766.6496934015</v>
      </c>
      <c r="M18" s="550"/>
      <c r="N18" s="550"/>
      <c r="O18" s="153">
        <f t="shared" si="9"/>
        <v>0.67086597938144321</v>
      </c>
      <c r="P18" s="552"/>
      <c r="Q18" s="553"/>
      <c r="R18" s="164">
        <v>950930.86600000004</v>
      </c>
      <c r="S18" s="554"/>
      <c r="T18" s="550"/>
      <c r="U18" s="153">
        <f t="shared" si="11"/>
        <v>0.1303324984415945</v>
      </c>
      <c r="V18" s="552"/>
      <c r="W18" s="553"/>
    </row>
    <row r="19" spans="2:23">
      <c r="B19" s="549">
        <f>B12+7</f>
        <v>46225</v>
      </c>
      <c r="C19" s="555"/>
      <c r="D19" s="80">
        <f t="shared" si="6"/>
        <v>46217</v>
      </c>
      <c r="E19" s="80" t="s">
        <v>118</v>
      </c>
      <c r="F19" s="163">
        <v>6870172.4199999999</v>
      </c>
      <c r="G19" s="550">
        <f>SUM(F19:F25)</f>
        <v>43787408.530000001</v>
      </c>
      <c r="H19" s="550"/>
      <c r="I19" s="213">
        <v>215096</v>
      </c>
      <c r="J19" s="551">
        <f t="shared" ref="J19" si="12">SUM(I19:I25)</f>
        <v>1380106</v>
      </c>
      <c r="K19" s="551"/>
      <c r="L19" s="163">
        <v>4655710.4521265989</v>
      </c>
      <c r="M19" s="550">
        <f t="shared" ref="M19" si="13">SUM(L19:L25)</f>
        <v>29380856.101741448</v>
      </c>
      <c r="N19" s="550"/>
      <c r="O19" s="153">
        <f t="shared" ref="O19:O32" si="14">L19/F19</f>
        <v>0.67767010309278364</v>
      </c>
      <c r="P19" s="552">
        <f>M19/G19</f>
        <v>0.67098869488044233</v>
      </c>
      <c r="Q19" s="553"/>
      <c r="R19" s="164">
        <v>917953.902</v>
      </c>
      <c r="S19" s="554">
        <f t="shared" ref="S19" si="15">SUM(R19:R25)</f>
        <v>6117744.0419999994</v>
      </c>
      <c r="T19" s="550"/>
      <c r="U19" s="153">
        <f t="shared" ref="U19:U32" si="16">R19/F19</f>
        <v>0.13361439071422898</v>
      </c>
      <c r="V19" s="552">
        <f>S19/G19</f>
        <v>0.13971468619360194</v>
      </c>
      <c r="W19" s="553"/>
    </row>
    <row r="20" spans="2:23">
      <c r="B20" s="549"/>
      <c r="C20" s="555"/>
      <c r="D20" s="80">
        <f t="shared" si="6"/>
        <v>46218</v>
      </c>
      <c r="E20" s="80" t="s">
        <v>112</v>
      </c>
      <c r="F20" s="163">
        <v>6423738.620000001</v>
      </c>
      <c r="G20" s="550"/>
      <c r="H20" s="550"/>
      <c r="I20" s="213">
        <v>202647</v>
      </c>
      <c r="J20" s="551"/>
      <c r="K20" s="551"/>
      <c r="L20" s="163">
        <v>4261786.3417678364</v>
      </c>
      <c r="M20" s="550"/>
      <c r="N20" s="550"/>
      <c r="O20" s="153">
        <f t="shared" si="14"/>
        <v>0.66344329896907228</v>
      </c>
      <c r="P20" s="552"/>
      <c r="Q20" s="553"/>
      <c r="R20" s="164">
        <v>880401.01199999999</v>
      </c>
      <c r="S20" s="554"/>
      <c r="T20" s="550"/>
      <c r="U20" s="153">
        <f t="shared" si="16"/>
        <v>0.13705430187631137</v>
      </c>
      <c r="V20" s="552"/>
      <c r="W20" s="553"/>
    </row>
    <row r="21" spans="2:23">
      <c r="B21" s="549"/>
      <c r="C21" s="555"/>
      <c r="D21" s="80">
        <f t="shared" si="6"/>
        <v>46219</v>
      </c>
      <c r="E21" s="80" t="s">
        <v>113</v>
      </c>
      <c r="F21" s="163">
        <v>5886839.0900000008</v>
      </c>
      <c r="G21" s="550"/>
      <c r="H21" s="550"/>
      <c r="I21" s="213">
        <v>187259</v>
      </c>
      <c r="J21" s="551"/>
      <c r="K21" s="551"/>
      <c r="L21" s="163">
        <v>3929252.6808552574</v>
      </c>
      <c r="M21" s="550"/>
      <c r="N21" s="550"/>
      <c r="O21" s="153">
        <f t="shared" si="14"/>
        <v>0.66746391752577305</v>
      </c>
      <c r="P21" s="552"/>
      <c r="Q21" s="553"/>
      <c r="R21" s="164">
        <v>849047.79</v>
      </c>
      <c r="S21" s="554"/>
      <c r="T21" s="550"/>
      <c r="U21" s="153">
        <f t="shared" si="16"/>
        <v>0.14422812939498911</v>
      </c>
      <c r="V21" s="552"/>
      <c r="W21" s="553"/>
    </row>
    <row r="22" spans="2:23">
      <c r="B22" s="549"/>
      <c r="C22" s="555"/>
      <c r="D22" s="80">
        <f t="shared" si="6"/>
        <v>46220</v>
      </c>
      <c r="E22" s="80" t="s">
        <v>114</v>
      </c>
      <c r="F22" s="163">
        <v>5200104.47</v>
      </c>
      <c r="G22" s="550"/>
      <c r="H22" s="550"/>
      <c r="I22" s="213">
        <v>164894</v>
      </c>
      <c r="J22" s="551"/>
      <c r="K22" s="551"/>
      <c r="L22" s="163">
        <v>3489109.2713967003</v>
      </c>
      <c r="M22" s="550"/>
      <c r="N22" s="550"/>
      <c r="O22" s="153">
        <f t="shared" si="14"/>
        <v>0.67096907216494839</v>
      </c>
      <c r="P22" s="552"/>
      <c r="Q22" s="553"/>
      <c r="R22" s="164">
        <v>799003.17799999996</v>
      </c>
      <c r="S22" s="554"/>
      <c r="T22" s="550"/>
      <c r="U22" s="153">
        <f t="shared" si="16"/>
        <v>0.15365137039256443</v>
      </c>
      <c r="V22" s="552"/>
      <c r="W22" s="553"/>
    </row>
    <row r="23" spans="2:23">
      <c r="B23" s="549"/>
      <c r="C23" s="555"/>
      <c r="D23" s="80">
        <f t="shared" si="6"/>
        <v>46221</v>
      </c>
      <c r="E23" s="80" t="s">
        <v>115</v>
      </c>
      <c r="F23" s="163">
        <v>5391308.3200000003</v>
      </c>
      <c r="G23" s="550"/>
      <c r="H23" s="550"/>
      <c r="I23" s="213">
        <v>172065</v>
      </c>
      <c r="J23" s="551"/>
      <c r="K23" s="551"/>
      <c r="L23" s="163">
        <v>3661865.5397410318</v>
      </c>
      <c r="M23" s="550"/>
      <c r="N23" s="550"/>
      <c r="O23" s="153">
        <f t="shared" si="14"/>
        <v>0.67921649484536095</v>
      </c>
      <c r="P23" s="552"/>
      <c r="Q23" s="553"/>
      <c r="R23" s="164">
        <v>802686.22400000005</v>
      </c>
      <c r="S23" s="554"/>
      <c r="T23" s="550"/>
      <c r="U23" s="153">
        <f t="shared" si="16"/>
        <v>0.14888523830519862</v>
      </c>
      <c r="V23" s="552"/>
      <c r="W23" s="553"/>
    </row>
    <row r="24" spans="2:23">
      <c r="B24" s="549"/>
      <c r="C24" s="555"/>
      <c r="D24" s="80">
        <f t="shared" si="6"/>
        <v>46222</v>
      </c>
      <c r="E24" s="80" t="s">
        <v>116</v>
      </c>
      <c r="F24" s="163">
        <v>7176291.25</v>
      </c>
      <c r="G24" s="550"/>
      <c r="H24" s="550"/>
      <c r="I24" s="213">
        <v>222011</v>
      </c>
      <c r="J24" s="551"/>
      <c r="K24" s="551"/>
      <c r="L24" s="163">
        <v>4825427.0153608248</v>
      </c>
      <c r="M24" s="550"/>
      <c r="N24" s="550"/>
      <c r="O24" s="153">
        <f t="shared" si="14"/>
        <v>0.67241237113402064</v>
      </c>
      <c r="P24" s="552"/>
      <c r="Q24" s="553"/>
      <c r="R24" s="164">
        <v>944834.79599999997</v>
      </c>
      <c r="S24" s="554"/>
      <c r="T24" s="550"/>
      <c r="U24" s="153">
        <f t="shared" si="16"/>
        <v>0.13166059780530787</v>
      </c>
      <c r="V24" s="552"/>
      <c r="W24" s="553"/>
    </row>
    <row r="25" spans="2:23">
      <c r="B25" s="549"/>
      <c r="C25" s="555"/>
      <c r="D25" s="80">
        <f t="shared" si="6"/>
        <v>46223</v>
      </c>
      <c r="E25" s="80" t="s">
        <v>117</v>
      </c>
      <c r="F25" s="163">
        <v>6838954.3600000003</v>
      </c>
      <c r="G25" s="550"/>
      <c r="H25" s="550"/>
      <c r="I25" s="213">
        <v>216134</v>
      </c>
      <c r="J25" s="551"/>
      <c r="K25" s="551"/>
      <c r="L25" s="163">
        <v>4557704.8004931966</v>
      </c>
      <c r="M25" s="550"/>
      <c r="N25" s="550"/>
      <c r="O25" s="153">
        <f t="shared" si="14"/>
        <v>0.66643298969072173</v>
      </c>
      <c r="P25" s="552"/>
      <c r="Q25" s="553"/>
      <c r="R25" s="164">
        <v>923817.14</v>
      </c>
      <c r="S25" s="554"/>
      <c r="T25" s="550"/>
      <c r="U25" s="153">
        <f t="shared" si="16"/>
        <v>0.13508163549142327</v>
      </c>
      <c r="V25" s="552"/>
      <c r="W25" s="553"/>
    </row>
    <row r="26" spans="2:23">
      <c r="B26" s="549">
        <f>B19+7</f>
        <v>46232</v>
      </c>
      <c r="C26" s="555"/>
      <c r="D26" s="80">
        <f t="shared" si="6"/>
        <v>46224</v>
      </c>
      <c r="E26" s="80" t="s">
        <v>118</v>
      </c>
      <c r="F26" s="163"/>
      <c r="G26" s="550">
        <f>SUM(F26:F32)</f>
        <v>0</v>
      </c>
      <c r="H26" s="550"/>
      <c r="I26" s="213"/>
      <c r="J26" s="551">
        <f t="shared" ref="J26" si="17">SUM(I26:I32)</f>
        <v>0</v>
      </c>
      <c r="K26" s="551"/>
      <c r="L26" s="163"/>
      <c r="M26" s="550">
        <f t="shared" ref="M26" si="18">SUM(L26:L32)</f>
        <v>0</v>
      </c>
      <c r="N26" s="550"/>
      <c r="O26" s="153" t="e">
        <f t="shared" si="14"/>
        <v>#DIV/0!</v>
      </c>
      <c r="P26" s="552" t="e">
        <f>M26/G26</f>
        <v>#DIV/0!</v>
      </c>
      <c r="Q26" s="553"/>
      <c r="R26" s="164"/>
      <c r="S26" s="554">
        <f t="shared" ref="S26" si="19">SUM(R26:R32)</f>
        <v>0</v>
      </c>
      <c r="T26" s="550"/>
      <c r="U26" s="153" t="e">
        <f t="shared" si="16"/>
        <v>#DIV/0!</v>
      </c>
      <c r="V26" s="552" t="e">
        <f>S26/G26</f>
        <v>#DIV/0!</v>
      </c>
      <c r="W26" s="553"/>
    </row>
    <row r="27" spans="2:23">
      <c r="B27" s="549"/>
      <c r="C27" s="555"/>
      <c r="D27" s="80">
        <f t="shared" si="6"/>
        <v>46225</v>
      </c>
      <c r="E27" s="80" t="s">
        <v>112</v>
      </c>
      <c r="F27" s="163"/>
      <c r="G27" s="550"/>
      <c r="H27" s="550"/>
      <c r="I27" s="213"/>
      <c r="J27" s="551"/>
      <c r="K27" s="551"/>
      <c r="L27" s="163"/>
      <c r="M27" s="550"/>
      <c r="N27" s="550"/>
      <c r="O27" s="153" t="e">
        <f t="shared" si="14"/>
        <v>#DIV/0!</v>
      </c>
      <c r="P27" s="552"/>
      <c r="Q27" s="553"/>
      <c r="R27" s="164"/>
      <c r="S27" s="554"/>
      <c r="T27" s="550"/>
      <c r="U27" s="153" t="e">
        <f t="shared" si="16"/>
        <v>#DIV/0!</v>
      </c>
      <c r="V27" s="552"/>
      <c r="W27" s="553"/>
    </row>
    <row r="28" spans="2:23">
      <c r="B28" s="549"/>
      <c r="C28" s="555"/>
      <c r="D28" s="80">
        <f t="shared" si="6"/>
        <v>46226</v>
      </c>
      <c r="E28" s="80" t="s">
        <v>113</v>
      </c>
      <c r="F28" s="163"/>
      <c r="G28" s="550"/>
      <c r="H28" s="550"/>
      <c r="I28" s="213"/>
      <c r="J28" s="551"/>
      <c r="K28" s="551"/>
      <c r="L28" s="163"/>
      <c r="M28" s="550"/>
      <c r="N28" s="550"/>
      <c r="O28" s="153" t="e">
        <f t="shared" si="14"/>
        <v>#DIV/0!</v>
      </c>
      <c r="P28" s="552"/>
      <c r="Q28" s="553"/>
      <c r="R28" s="164"/>
      <c r="S28" s="554"/>
      <c r="T28" s="550"/>
      <c r="U28" s="153" t="e">
        <f t="shared" si="16"/>
        <v>#DIV/0!</v>
      </c>
      <c r="V28" s="552"/>
      <c r="W28" s="553"/>
    </row>
    <row r="29" spans="2:23">
      <c r="B29" s="549"/>
      <c r="C29" s="555"/>
      <c r="D29" s="80">
        <f t="shared" si="6"/>
        <v>46227</v>
      </c>
      <c r="E29" s="80" t="s">
        <v>114</v>
      </c>
      <c r="F29" s="163"/>
      <c r="G29" s="550"/>
      <c r="H29" s="550"/>
      <c r="I29" s="213"/>
      <c r="J29" s="551"/>
      <c r="K29" s="551"/>
      <c r="L29" s="163"/>
      <c r="M29" s="550"/>
      <c r="N29" s="550"/>
      <c r="O29" s="153" t="e">
        <f t="shared" si="14"/>
        <v>#DIV/0!</v>
      </c>
      <c r="P29" s="552"/>
      <c r="Q29" s="553"/>
      <c r="R29" s="164"/>
      <c r="S29" s="554"/>
      <c r="T29" s="550"/>
      <c r="U29" s="153" t="e">
        <f t="shared" si="16"/>
        <v>#DIV/0!</v>
      </c>
      <c r="V29" s="552"/>
      <c r="W29" s="553"/>
    </row>
    <row r="30" spans="2:23">
      <c r="B30" s="549"/>
      <c r="C30" s="555"/>
      <c r="D30" s="80">
        <f t="shared" si="6"/>
        <v>46228</v>
      </c>
      <c r="E30" s="80" t="s">
        <v>115</v>
      </c>
      <c r="F30" s="163"/>
      <c r="G30" s="550"/>
      <c r="H30" s="550"/>
      <c r="I30" s="213"/>
      <c r="J30" s="551"/>
      <c r="K30" s="551"/>
      <c r="L30" s="163"/>
      <c r="M30" s="550"/>
      <c r="N30" s="550"/>
      <c r="O30" s="153" t="e">
        <f t="shared" si="14"/>
        <v>#DIV/0!</v>
      </c>
      <c r="P30" s="552"/>
      <c r="Q30" s="553"/>
      <c r="R30" s="164"/>
      <c r="S30" s="554"/>
      <c r="T30" s="550"/>
      <c r="U30" s="153" t="e">
        <f t="shared" si="16"/>
        <v>#DIV/0!</v>
      </c>
      <c r="V30" s="552"/>
      <c r="W30" s="553"/>
    </row>
    <row r="31" spans="2:23">
      <c r="B31" s="549"/>
      <c r="C31" s="555"/>
      <c r="D31" s="80">
        <f t="shared" si="6"/>
        <v>46229</v>
      </c>
      <c r="E31" s="80" t="s">
        <v>116</v>
      </c>
      <c r="F31" s="163"/>
      <c r="G31" s="550"/>
      <c r="H31" s="550"/>
      <c r="I31" s="213"/>
      <c r="J31" s="551"/>
      <c r="K31" s="551"/>
      <c r="L31" s="163"/>
      <c r="M31" s="550"/>
      <c r="N31" s="550"/>
      <c r="O31" s="153" t="e">
        <f t="shared" si="14"/>
        <v>#DIV/0!</v>
      </c>
      <c r="P31" s="552"/>
      <c r="Q31" s="553"/>
      <c r="R31" s="164"/>
      <c r="S31" s="554"/>
      <c r="T31" s="550"/>
      <c r="U31" s="153" t="e">
        <f t="shared" si="16"/>
        <v>#DIV/0!</v>
      </c>
      <c r="V31" s="552"/>
      <c r="W31" s="553"/>
    </row>
    <row r="32" spans="2:23">
      <c r="B32" s="549"/>
      <c r="C32" s="555"/>
      <c r="D32" s="80">
        <f t="shared" si="6"/>
        <v>46230</v>
      </c>
      <c r="E32" s="80" t="s">
        <v>117</v>
      </c>
      <c r="F32" s="163"/>
      <c r="G32" s="550"/>
      <c r="H32" s="550"/>
      <c r="I32" s="213"/>
      <c r="J32" s="551"/>
      <c r="K32" s="551"/>
      <c r="L32" s="163"/>
      <c r="M32" s="550"/>
      <c r="N32" s="550"/>
      <c r="O32" s="153" t="e">
        <f t="shared" si="14"/>
        <v>#DIV/0!</v>
      </c>
      <c r="P32" s="552"/>
      <c r="Q32" s="553"/>
      <c r="R32" s="164"/>
      <c r="S32" s="554"/>
      <c r="T32" s="550"/>
      <c r="U32" s="153" t="e">
        <f t="shared" si="16"/>
        <v>#DIV/0!</v>
      </c>
      <c r="V32" s="552"/>
      <c r="W32" s="553"/>
    </row>
    <row r="33" spans="2:23">
      <c r="B33" s="549">
        <f>B26+7</f>
        <v>46239</v>
      </c>
      <c r="C33" s="555"/>
      <c r="D33" s="80">
        <f t="shared" si="6"/>
        <v>46231</v>
      </c>
      <c r="E33" s="80" t="s">
        <v>118</v>
      </c>
      <c r="F33" s="163"/>
      <c r="G33" s="550">
        <f>SUM(F33:F39)</f>
        <v>0</v>
      </c>
      <c r="H33" s="550"/>
      <c r="I33" s="213"/>
      <c r="J33" s="551">
        <f t="shared" ref="J33" si="20">SUM(I33:I39)</f>
        <v>0</v>
      </c>
      <c r="K33" s="551"/>
      <c r="L33" s="163"/>
      <c r="M33" s="550">
        <f t="shared" ref="M33" si="21">SUM(L33:L39)</f>
        <v>0</v>
      </c>
      <c r="N33" s="550"/>
      <c r="O33" s="153" t="e">
        <f t="shared" ref="O33:O39" si="22">L33/F33</f>
        <v>#DIV/0!</v>
      </c>
      <c r="P33" s="552" t="e">
        <f>M33/G33</f>
        <v>#DIV/0!</v>
      </c>
      <c r="Q33" s="553"/>
      <c r="R33" s="164"/>
      <c r="S33" s="554">
        <f t="shared" ref="S33" si="23">SUM(R33:R39)</f>
        <v>0</v>
      </c>
      <c r="T33" s="550"/>
      <c r="U33" s="153" t="e">
        <f t="shared" ref="U33:U39" si="24">R33/F33</f>
        <v>#DIV/0!</v>
      </c>
      <c r="V33" s="552" t="e">
        <f>S33/G33</f>
        <v>#DIV/0!</v>
      </c>
      <c r="W33" s="553"/>
    </row>
    <row r="34" spans="2:23">
      <c r="B34" s="549"/>
      <c r="C34" s="555"/>
      <c r="D34" s="80">
        <f t="shared" si="6"/>
        <v>46232</v>
      </c>
      <c r="E34" s="80" t="s">
        <v>112</v>
      </c>
      <c r="F34" s="163"/>
      <c r="G34" s="550"/>
      <c r="H34" s="550"/>
      <c r="I34" s="213"/>
      <c r="J34" s="551"/>
      <c r="K34" s="551"/>
      <c r="L34" s="163"/>
      <c r="M34" s="550"/>
      <c r="N34" s="550"/>
      <c r="O34" s="153" t="e">
        <f t="shared" si="22"/>
        <v>#DIV/0!</v>
      </c>
      <c r="P34" s="552"/>
      <c r="Q34" s="553"/>
      <c r="R34" s="164"/>
      <c r="S34" s="554"/>
      <c r="T34" s="550"/>
      <c r="U34" s="153" t="e">
        <f t="shared" si="24"/>
        <v>#DIV/0!</v>
      </c>
      <c r="V34" s="552"/>
      <c r="W34" s="553"/>
    </row>
    <row r="35" spans="2:23">
      <c r="B35" s="549"/>
      <c r="C35" s="555"/>
      <c r="D35" s="80">
        <f t="shared" si="6"/>
        <v>46233</v>
      </c>
      <c r="E35" s="80" t="s">
        <v>113</v>
      </c>
      <c r="F35" s="163"/>
      <c r="G35" s="550"/>
      <c r="H35" s="550"/>
      <c r="I35" s="213"/>
      <c r="J35" s="551"/>
      <c r="K35" s="551"/>
      <c r="L35" s="163"/>
      <c r="M35" s="550"/>
      <c r="N35" s="550"/>
      <c r="O35" s="153" t="e">
        <f t="shared" si="22"/>
        <v>#DIV/0!</v>
      </c>
      <c r="P35" s="552"/>
      <c r="Q35" s="553"/>
      <c r="R35" s="164"/>
      <c r="S35" s="554"/>
      <c r="T35" s="550"/>
      <c r="U35" s="153" t="e">
        <f t="shared" si="24"/>
        <v>#DIV/0!</v>
      </c>
      <c r="V35" s="552"/>
      <c r="W35" s="553"/>
    </row>
    <row r="36" spans="2:23">
      <c r="B36" s="549"/>
      <c r="C36" s="555"/>
      <c r="D36" s="80">
        <f t="shared" si="6"/>
        <v>46234</v>
      </c>
      <c r="E36" s="80" t="s">
        <v>114</v>
      </c>
      <c r="F36" s="163"/>
      <c r="G36" s="550"/>
      <c r="H36" s="550"/>
      <c r="I36" s="213"/>
      <c r="J36" s="551"/>
      <c r="K36" s="551"/>
      <c r="L36" s="163"/>
      <c r="M36" s="550"/>
      <c r="N36" s="550"/>
      <c r="O36" s="153" t="e">
        <f t="shared" si="22"/>
        <v>#DIV/0!</v>
      </c>
      <c r="P36" s="552"/>
      <c r="Q36" s="553"/>
      <c r="R36" s="164"/>
      <c r="S36" s="554"/>
      <c r="T36" s="550"/>
      <c r="U36" s="153" t="e">
        <f t="shared" si="24"/>
        <v>#DIV/0!</v>
      </c>
      <c r="V36" s="552"/>
      <c r="W36" s="553"/>
    </row>
    <row r="37" spans="2:23">
      <c r="B37" s="549"/>
      <c r="D37" s="80">
        <f t="shared" si="6"/>
        <v>46235</v>
      </c>
      <c r="E37" s="80" t="s">
        <v>115</v>
      </c>
      <c r="F37" s="163"/>
      <c r="G37" s="550"/>
      <c r="I37" s="213"/>
      <c r="J37" s="551"/>
      <c r="L37" s="163"/>
      <c r="M37" s="550"/>
      <c r="O37" s="153" t="e">
        <f t="shared" si="22"/>
        <v>#DIV/0!</v>
      </c>
      <c r="P37" s="552"/>
      <c r="R37" s="164"/>
      <c r="S37" s="554"/>
      <c r="U37" s="153" t="e">
        <f t="shared" si="24"/>
        <v>#DIV/0!</v>
      </c>
      <c r="V37" s="552"/>
    </row>
    <row r="38" spans="2:23">
      <c r="B38" s="549"/>
      <c r="D38" s="80">
        <f t="shared" si="6"/>
        <v>46236</v>
      </c>
      <c r="E38" s="80" t="s">
        <v>116</v>
      </c>
      <c r="F38" s="163"/>
      <c r="G38" s="550"/>
      <c r="I38" s="213"/>
      <c r="J38" s="551"/>
      <c r="L38" s="163"/>
      <c r="M38" s="550"/>
      <c r="O38" s="153" t="e">
        <f t="shared" si="22"/>
        <v>#DIV/0!</v>
      </c>
      <c r="P38" s="552"/>
      <c r="R38" s="164"/>
      <c r="S38" s="554"/>
      <c r="U38" s="153" t="e">
        <f t="shared" si="24"/>
        <v>#DIV/0!</v>
      </c>
      <c r="V38" s="552"/>
    </row>
    <row r="39" spans="2:23">
      <c r="B39" s="549"/>
      <c r="D39" s="80">
        <f t="shared" si="6"/>
        <v>46237</v>
      </c>
      <c r="E39" s="80" t="s">
        <v>117</v>
      </c>
      <c r="F39" s="163"/>
      <c r="G39" s="550"/>
      <c r="I39" s="213"/>
      <c r="J39" s="551"/>
      <c r="L39" s="163"/>
      <c r="M39" s="550"/>
      <c r="O39" s="153" t="e">
        <f t="shared" si="22"/>
        <v>#DIV/0!</v>
      </c>
      <c r="P39" s="552"/>
      <c r="R39" s="164"/>
      <c r="S39" s="554"/>
      <c r="U39" s="153" t="e">
        <f t="shared" si="24"/>
        <v>#DIV/0!</v>
      </c>
      <c r="V39" s="552"/>
    </row>
  </sheetData>
  <mergeCells count="52">
    <mergeCell ref="T6:T36"/>
    <mergeCell ref="M26:M32"/>
    <mergeCell ref="S26:S32"/>
    <mergeCell ref="S5:S11"/>
    <mergeCell ref="V26:V32"/>
    <mergeCell ref="B33:B39"/>
    <mergeCell ref="G33:G39"/>
    <mergeCell ref="J33:J39"/>
    <mergeCell ref="M33:M39"/>
    <mergeCell ref="S33:S39"/>
    <mergeCell ref="V33:V39"/>
    <mergeCell ref="C6:C36"/>
    <mergeCell ref="V12:V18"/>
    <mergeCell ref="B19:B25"/>
    <mergeCell ref="G19:G25"/>
    <mergeCell ref="J19:J25"/>
    <mergeCell ref="S19:S25"/>
    <mergeCell ref="V19:V25"/>
    <mergeCell ref="G12:G18"/>
    <mergeCell ref="J12:J18"/>
    <mergeCell ref="M12:M18"/>
    <mergeCell ref="P12:P18"/>
    <mergeCell ref="Q6:Q36"/>
    <mergeCell ref="P26:P32"/>
    <mergeCell ref="N6:N36"/>
    <mergeCell ref="P33:P39"/>
    <mergeCell ref="B26:B32"/>
    <mergeCell ref="G26:G32"/>
    <mergeCell ref="J26:J32"/>
    <mergeCell ref="V5:V11"/>
    <mergeCell ref="W6:W36"/>
    <mergeCell ref="S12:S18"/>
    <mergeCell ref="B5:B11"/>
    <mergeCell ref="M19:M25"/>
    <mergeCell ref="P19:P25"/>
    <mergeCell ref="G5:G11"/>
    <mergeCell ref="J5:J11"/>
    <mergeCell ref="M5:M11"/>
    <mergeCell ref="P5:P11"/>
    <mergeCell ref="H6:H36"/>
    <mergeCell ref="K6:K36"/>
    <mergeCell ref="B12:B18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B1:W39"/>
  <sheetViews>
    <sheetView zoomScale="80" zoomScaleNormal="80" workbookViewId="0">
      <selection activeCell="P33" sqref="P33:P39"/>
    </sheetView>
  </sheetViews>
  <sheetFormatPr defaultColWidth="8.85546875" defaultRowHeight="12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7" customWidth="1"/>
    <col min="9" max="11" width="15" style="72" customWidth="1"/>
    <col min="12" max="12" width="14.5703125" style="167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 ht="14.25">
      <c r="B1" s="162" t="s">
        <v>356</v>
      </c>
      <c r="C1" s="165">
        <v>442.4</v>
      </c>
    </row>
    <row r="2" spans="2:23" ht="38.1" customHeight="1">
      <c r="B2" s="541" t="s">
        <v>130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</row>
    <row r="3" spans="2:23" s="71" customFormat="1" ht="23.45" customHeight="1">
      <c r="B3" s="545" t="s">
        <v>122</v>
      </c>
      <c r="C3" s="546" t="s">
        <v>119</v>
      </c>
      <c r="D3" s="547" t="s">
        <v>105</v>
      </c>
      <c r="E3" s="547"/>
      <c r="F3" s="561" t="s">
        <v>107</v>
      </c>
      <c r="G3" s="561"/>
      <c r="H3" s="561"/>
      <c r="I3" s="563" t="s">
        <v>108</v>
      </c>
      <c r="J3" s="563"/>
      <c r="K3" s="563"/>
      <c r="L3" s="562" t="s">
        <v>324</v>
      </c>
      <c r="M3" s="562"/>
      <c r="N3" s="562"/>
      <c r="O3" s="562" t="s">
        <v>106</v>
      </c>
      <c r="P3" s="562"/>
      <c r="Q3" s="562"/>
      <c r="R3" s="562" t="s">
        <v>355</v>
      </c>
      <c r="S3" s="562"/>
      <c r="T3" s="562"/>
      <c r="U3" s="562" t="s">
        <v>424</v>
      </c>
      <c r="V3" s="562"/>
      <c r="W3" s="562"/>
    </row>
    <row r="4" spans="2:23" ht="15.75">
      <c r="B4" s="545"/>
      <c r="C4" s="546"/>
      <c r="D4" s="547"/>
      <c r="E4" s="547"/>
      <c r="F4" s="79" t="s">
        <v>116</v>
      </c>
      <c r="G4" s="89" t="s">
        <v>131</v>
      </c>
      <c r="H4" s="89" t="s">
        <v>132</v>
      </c>
      <c r="I4" s="79" t="s">
        <v>116</v>
      </c>
      <c r="J4" s="88" t="s">
        <v>131</v>
      </c>
      <c r="K4" s="88" t="s">
        <v>132</v>
      </c>
      <c r="L4" s="168" t="s">
        <v>116</v>
      </c>
      <c r="M4" s="88" t="s">
        <v>131</v>
      </c>
      <c r="N4" s="88" t="s">
        <v>132</v>
      </c>
      <c r="O4" s="166" t="s">
        <v>116</v>
      </c>
      <c r="P4" s="88" t="s">
        <v>131</v>
      </c>
      <c r="Q4" s="88" t="s">
        <v>132</v>
      </c>
      <c r="R4" s="79" t="s">
        <v>116</v>
      </c>
      <c r="S4" s="88" t="s">
        <v>131</v>
      </c>
      <c r="T4" s="88" t="s">
        <v>132</v>
      </c>
      <c r="U4" s="79" t="s">
        <v>116</v>
      </c>
      <c r="V4" s="88" t="s">
        <v>131</v>
      </c>
      <c r="W4" s="88" t="s">
        <v>132</v>
      </c>
    </row>
    <row r="5" spans="2:23" ht="13.5">
      <c r="B5" s="549">
        <v>46211</v>
      </c>
      <c r="C5" s="465"/>
      <c r="D5" s="80">
        <v>46203</v>
      </c>
      <c r="E5" s="437" t="s">
        <v>118</v>
      </c>
      <c r="F5" s="87">
        <v>414.46181534434942</v>
      </c>
      <c r="G5" s="556">
        <f t="shared" ref="G5" si="0">AVERAGE(F5:F11)</f>
        <v>428.26228500709522</v>
      </c>
      <c r="H5" s="467"/>
      <c r="I5" s="153">
        <f t="shared" ref="I5:I11" si="1">F5/$C$1</f>
        <v>0.93684858802972293</v>
      </c>
      <c r="J5" s="557">
        <f t="shared" ref="J5" si="2">AVERAGE(I5:I11)</f>
        <v>0.9680431397086241</v>
      </c>
      <c r="K5" s="466"/>
      <c r="L5" s="161">
        <v>2.0100000000000001E-3</v>
      </c>
      <c r="M5" s="558">
        <f>AVERAGE(L5:L11)</f>
        <v>2.0078679563627412E-3</v>
      </c>
      <c r="N5" s="468"/>
      <c r="O5" s="84">
        <v>6.0000000000000001E-3</v>
      </c>
      <c r="P5" s="559">
        <f t="shared" ref="P5" si="3">AVERAGE(O5:O11)</f>
        <v>6.0119541038000657E-3</v>
      </c>
      <c r="Q5" s="468"/>
      <c r="R5" s="153">
        <v>0.9</v>
      </c>
      <c r="S5" s="557">
        <f t="shared" ref="S5" si="4">AVERAGE(R5:R11)</f>
        <v>0.90000000000000013</v>
      </c>
      <c r="T5" s="466"/>
      <c r="U5" s="153">
        <f>27/52*100%</f>
        <v>0.51923076923076927</v>
      </c>
      <c r="V5" s="552">
        <f t="shared" ref="V5" si="5">AVERAGE(U5:U11)</f>
        <v>0.51923076923076927</v>
      </c>
      <c r="W5" s="466"/>
    </row>
    <row r="6" spans="2:23">
      <c r="B6" s="549"/>
      <c r="C6" s="555" t="s">
        <v>698</v>
      </c>
      <c r="D6" s="80">
        <f t="shared" ref="D6:D7" si="6">D5+1</f>
        <v>46204</v>
      </c>
      <c r="E6" s="437" t="s">
        <v>112</v>
      </c>
      <c r="F6" s="87">
        <v>435.9796886499139</v>
      </c>
      <c r="G6" s="556"/>
      <c r="H6" s="564">
        <f>AVERAGEIF(F6:F36,"&lt;&gt;0")</f>
        <v>431.30083601009511</v>
      </c>
      <c r="I6" s="153">
        <f t="shared" si="1"/>
        <v>0.98548754215622492</v>
      </c>
      <c r="J6" s="557"/>
      <c r="K6" s="559">
        <f>AVERAGEIF(I6:I36,"&lt;&gt;0")</f>
        <v>0.974911473802204</v>
      </c>
      <c r="L6" s="161">
        <v>2.0079059630564006E-3</v>
      </c>
      <c r="M6" s="558"/>
      <c r="N6" s="558">
        <f>AVERAGEIF(L6:L36,"&lt;&gt;0")</f>
        <v>2.0080486844356077E-3</v>
      </c>
      <c r="O6" s="84">
        <v>6.0181155680973713E-3</v>
      </c>
      <c r="P6" s="559"/>
      <c r="Q6" s="558">
        <f>AVERAGEIF(O6:O36,"&lt;&gt;0")</f>
        <v>6.0192687170481061E-3</v>
      </c>
      <c r="R6" s="153">
        <v>0.9</v>
      </c>
      <c r="S6" s="557"/>
      <c r="T6" s="559">
        <f>AVERAGEIF(R6:R36,"&lt;&gt;0")</f>
        <v>0.9</v>
      </c>
      <c r="U6" s="153">
        <f t="shared" ref="U6:U11" si="7">27/52*100%</f>
        <v>0.51923076923076927</v>
      </c>
      <c r="V6" s="552"/>
      <c r="W6" s="559">
        <f>AVERAGEIF(U6:U36,"&lt;&gt;0")</f>
        <v>0.53942307692307701</v>
      </c>
    </row>
    <row r="7" spans="2:23">
      <c r="B7" s="549"/>
      <c r="C7" s="555"/>
      <c r="D7" s="80">
        <f t="shared" si="6"/>
        <v>46205</v>
      </c>
      <c r="E7" s="437" t="s">
        <v>113</v>
      </c>
      <c r="F7" s="87">
        <v>436.43136818362393</v>
      </c>
      <c r="G7" s="556"/>
      <c r="H7" s="564"/>
      <c r="I7" s="153">
        <f t="shared" si="1"/>
        <v>0.98650851759408664</v>
      </c>
      <c r="J7" s="557"/>
      <c r="K7" s="559"/>
      <c r="L7" s="161">
        <v>2.0058934872632561E-3</v>
      </c>
      <c r="M7" s="558"/>
      <c r="N7" s="558"/>
      <c r="O7" s="84">
        <v>6.0118097793846505E-3</v>
      </c>
      <c r="P7" s="559"/>
      <c r="Q7" s="558"/>
      <c r="R7" s="153">
        <v>0.9</v>
      </c>
      <c r="S7" s="557"/>
      <c r="T7" s="559"/>
      <c r="U7" s="153">
        <f t="shared" si="7"/>
        <v>0.51923076923076927</v>
      </c>
      <c r="V7" s="552"/>
      <c r="W7" s="559"/>
    </row>
    <row r="8" spans="2:23">
      <c r="B8" s="549"/>
      <c r="C8" s="555"/>
      <c r="D8" s="80">
        <f t="shared" ref="D8:D39" si="8">D7+1</f>
        <v>46206</v>
      </c>
      <c r="E8" s="437" t="s">
        <v>114</v>
      </c>
      <c r="F8" s="87">
        <v>437.68597176719646</v>
      </c>
      <c r="G8" s="556"/>
      <c r="H8" s="564"/>
      <c r="I8" s="153">
        <f t="shared" si="1"/>
        <v>0.98934442081192697</v>
      </c>
      <c r="J8" s="557"/>
      <c r="K8" s="559"/>
      <c r="L8" s="161">
        <v>2.0024104467497869E-3</v>
      </c>
      <c r="M8" s="558"/>
      <c r="N8" s="558"/>
      <c r="O8" s="84">
        <v>6.0083486609464661E-3</v>
      </c>
      <c r="P8" s="559"/>
      <c r="Q8" s="558"/>
      <c r="R8" s="153">
        <v>0.9</v>
      </c>
      <c r="S8" s="557"/>
      <c r="T8" s="559"/>
      <c r="U8" s="153">
        <f t="shared" si="7"/>
        <v>0.51923076923076927</v>
      </c>
      <c r="V8" s="552"/>
      <c r="W8" s="559"/>
    </row>
    <row r="9" spans="2:23">
      <c r="B9" s="549"/>
      <c r="C9" s="555"/>
      <c r="D9" s="80">
        <f t="shared" si="8"/>
        <v>46207</v>
      </c>
      <c r="E9" s="437" t="s">
        <v>115</v>
      </c>
      <c r="F9" s="87">
        <v>437.88829044195768</v>
      </c>
      <c r="G9" s="556"/>
      <c r="H9" s="564"/>
      <c r="I9" s="153">
        <f t="shared" si="1"/>
        <v>0.98980174150532929</v>
      </c>
      <c r="J9" s="557"/>
      <c r="K9" s="559"/>
      <c r="L9" s="161">
        <v>2.0044784852963531E-3</v>
      </c>
      <c r="M9" s="558"/>
      <c r="N9" s="558"/>
      <c r="O9" s="84">
        <v>6.0121683980489367E-3</v>
      </c>
      <c r="P9" s="559"/>
      <c r="Q9" s="558"/>
      <c r="R9" s="153">
        <v>0.9</v>
      </c>
      <c r="S9" s="557"/>
      <c r="T9" s="559"/>
      <c r="U9" s="153">
        <f t="shared" si="7"/>
        <v>0.51923076923076927</v>
      </c>
      <c r="V9" s="552"/>
      <c r="W9" s="559"/>
    </row>
    <row r="10" spans="2:23">
      <c r="B10" s="549"/>
      <c r="C10" s="555"/>
      <c r="D10" s="80">
        <f t="shared" si="8"/>
        <v>46208</v>
      </c>
      <c r="E10" s="437" t="s">
        <v>116</v>
      </c>
      <c r="F10" s="87">
        <v>417.67210073056992</v>
      </c>
      <c r="G10" s="556"/>
      <c r="H10" s="564"/>
      <c r="I10" s="153">
        <f t="shared" si="1"/>
        <v>0.9441051101504746</v>
      </c>
      <c r="J10" s="557"/>
      <c r="K10" s="559"/>
      <c r="L10" s="161">
        <v>2.0142457294361816E-3</v>
      </c>
      <c r="M10" s="558"/>
      <c r="N10" s="558"/>
      <c r="O10" s="84">
        <v>6.023704357396689E-3</v>
      </c>
      <c r="P10" s="559"/>
      <c r="Q10" s="558"/>
      <c r="R10" s="153">
        <v>0.9</v>
      </c>
      <c r="S10" s="557"/>
      <c r="T10" s="559"/>
      <c r="U10" s="153">
        <f t="shared" si="7"/>
        <v>0.51923076923076927</v>
      </c>
      <c r="V10" s="552"/>
      <c r="W10" s="559"/>
    </row>
    <row r="11" spans="2:23">
      <c r="B11" s="549"/>
      <c r="C11" s="555"/>
      <c r="D11" s="80">
        <f t="shared" si="8"/>
        <v>46209</v>
      </c>
      <c r="E11" s="437" t="s">
        <v>117</v>
      </c>
      <c r="F11" s="87">
        <v>417.71675993205571</v>
      </c>
      <c r="G11" s="556"/>
      <c r="H11" s="564"/>
      <c r="I11" s="153">
        <f t="shared" si="1"/>
        <v>0.94420605771260335</v>
      </c>
      <c r="J11" s="557"/>
      <c r="K11" s="559"/>
      <c r="L11" s="161">
        <v>2.0101415827372131E-3</v>
      </c>
      <c r="M11" s="558"/>
      <c r="N11" s="558"/>
      <c r="O11" s="84">
        <v>6.0095319627263477E-3</v>
      </c>
      <c r="P11" s="559"/>
      <c r="Q11" s="558"/>
      <c r="R11" s="153">
        <v>0.9</v>
      </c>
      <c r="S11" s="557"/>
      <c r="T11" s="559"/>
      <c r="U11" s="153">
        <f t="shared" si="7"/>
        <v>0.51923076923076927</v>
      </c>
      <c r="V11" s="552"/>
      <c r="W11" s="559"/>
    </row>
    <row r="12" spans="2:23">
      <c r="B12" s="549">
        <f t="shared" ref="B12:B26" si="9">B5+7</f>
        <v>46218</v>
      </c>
      <c r="C12" s="555"/>
      <c r="D12" s="80">
        <f t="shared" si="8"/>
        <v>46210</v>
      </c>
      <c r="E12" s="437" t="s">
        <v>118</v>
      </c>
      <c r="F12" s="87">
        <v>423.14212650917972</v>
      </c>
      <c r="G12" s="556">
        <f t="shared" ref="G12" si="10">AVERAGE(F12:F18)</f>
        <v>427.48888392303405</v>
      </c>
      <c r="H12" s="564"/>
      <c r="I12" s="153">
        <f t="shared" ref="I12:I32" si="11">F12/$C$1</f>
        <v>0.95646954455058708</v>
      </c>
      <c r="J12" s="557">
        <f t="shared" ref="J12" si="12">AVERAGE(I12:I18)</f>
        <v>0.96629494557647833</v>
      </c>
      <c r="K12" s="559"/>
      <c r="L12" s="161">
        <v>2.01997397309206E-3</v>
      </c>
      <c r="M12" s="558">
        <f t="shared" ref="M12" si="13">AVERAGE(L12:L18)</f>
        <v>2.0128889834199601E-3</v>
      </c>
      <c r="N12" s="558"/>
      <c r="O12" s="84">
        <v>6.0496513463566964E-3</v>
      </c>
      <c r="P12" s="559">
        <f t="shared" ref="P12" si="14">AVERAGE(O12:O18)</f>
        <v>6.0293903208747399E-3</v>
      </c>
      <c r="Q12" s="558"/>
      <c r="R12" s="153">
        <v>0.9</v>
      </c>
      <c r="S12" s="557">
        <f t="shared" ref="S12" si="15">AVERAGE(R12:R18)</f>
        <v>0.90000000000000013</v>
      </c>
      <c r="T12" s="559"/>
      <c r="U12" s="153">
        <f>28/52*100%</f>
        <v>0.53846153846153844</v>
      </c>
      <c r="V12" s="552">
        <f t="shared" ref="V12" si="16">AVERAGE(U12:U18)</f>
        <v>0.53846153846153844</v>
      </c>
      <c r="W12" s="559"/>
    </row>
    <row r="13" spans="2:23">
      <c r="B13" s="549"/>
      <c r="C13" s="555"/>
      <c r="D13" s="80">
        <f t="shared" si="8"/>
        <v>46211</v>
      </c>
      <c r="E13" s="437" t="s">
        <v>112</v>
      </c>
      <c r="F13" s="87">
        <v>423.43805459690589</v>
      </c>
      <c r="G13" s="556"/>
      <c r="H13" s="564"/>
      <c r="I13" s="153">
        <f t="shared" si="11"/>
        <v>0.95713845975792478</v>
      </c>
      <c r="J13" s="557"/>
      <c r="K13" s="559"/>
      <c r="L13" s="161">
        <v>2.0159882377606322E-3</v>
      </c>
      <c r="M13" s="558"/>
      <c r="N13" s="558"/>
      <c r="O13" s="84">
        <v>6.0363254110326649E-3</v>
      </c>
      <c r="P13" s="559"/>
      <c r="Q13" s="558"/>
      <c r="R13" s="153">
        <v>0.9</v>
      </c>
      <c r="S13" s="557"/>
      <c r="T13" s="559"/>
      <c r="U13" s="153">
        <f t="shared" ref="U13:U18" si="17">28/52*100%</f>
        <v>0.53846153846153844</v>
      </c>
      <c r="V13" s="552"/>
      <c r="W13" s="559"/>
    </row>
    <row r="14" spans="2:23">
      <c r="B14" s="549"/>
      <c r="C14" s="555"/>
      <c r="D14" s="80">
        <f t="shared" si="8"/>
        <v>46212</v>
      </c>
      <c r="E14" s="437" t="s">
        <v>113</v>
      </c>
      <c r="F14" s="87">
        <v>422.02496212665733</v>
      </c>
      <c r="G14" s="556"/>
      <c r="H14" s="564"/>
      <c r="I14" s="153">
        <f t="shared" si="11"/>
        <v>0.95394430860456003</v>
      </c>
      <c r="J14" s="557"/>
      <c r="K14" s="559"/>
      <c r="L14" s="161">
        <v>2.0104574943152777E-3</v>
      </c>
      <c r="M14" s="558"/>
      <c r="N14" s="558"/>
      <c r="O14" s="84">
        <v>5.9852622094669862E-3</v>
      </c>
      <c r="P14" s="559"/>
      <c r="Q14" s="558"/>
      <c r="R14" s="153">
        <v>0.9</v>
      </c>
      <c r="S14" s="557"/>
      <c r="T14" s="559"/>
      <c r="U14" s="153">
        <f t="shared" si="17"/>
        <v>0.53846153846153844</v>
      </c>
      <c r="V14" s="552"/>
      <c r="W14" s="559"/>
    </row>
    <row r="15" spans="2:23">
      <c r="B15" s="549"/>
      <c r="C15" s="555"/>
      <c r="D15" s="80">
        <f t="shared" si="8"/>
        <v>46213</v>
      </c>
      <c r="E15" s="437" t="s">
        <v>114</v>
      </c>
      <c r="F15" s="87">
        <v>443.36312463499223</v>
      </c>
      <c r="G15" s="556"/>
      <c r="H15" s="564"/>
      <c r="I15" s="153">
        <f t="shared" si="11"/>
        <v>1.0021770448349734</v>
      </c>
      <c r="J15" s="557"/>
      <c r="K15" s="559"/>
      <c r="L15" s="161">
        <v>2.0041492770200707E-3</v>
      </c>
      <c r="M15" s="558"/>
      <c r="N15" s="558"/>
      <c r="O15" s="84">
        <v>5.9880401793099454E-3</v>
      </c>
      <c r="P15" s="559"/>
      <c r="Q15" s="558"/>
      <c r="R15" s="153">
        <v>0.9</v>
      </c>
      <c r="S15" s="557"/>
      <c r="T15" s="559"/>
      <c r="U15" s="153">
        <f t="shared" si="17"/>
        <v>0.53846153846153844</v>
      </c>
      <c r="V15" s="552"/>
      <c r="W15" s="559"/>
    </row>
    <row r="16" spans="2:23">
      <c r="B16" s="549"/>
      <c r="C16" s="555"/>
      <c r="D16" s="80">
        <f t="shared" si="8"/>
        <v>46214</v>
      </c>
      <c r="E16" s="437" t="s">
        <v>115</v>
      </c>
      <c r="F16" s="87">
        <v>440.60112152835706</v>
      </c>
      <c r="G16" s="556"/>
      <c r="H16" s="564"/>
      <c r="I16" s="153">
        <f t="shared" si="11"/>
        <v>0.99593381900623212</v>
      </c>
      <c r="J16" s="557"/>
      <c r="K16" s="559"/>
      <c r="L16" s="161">
        <v>2.0097746684132772E-3</v>
      </c>
      <c r="M16" s="558"/>
      <c r="N16" s="558"/>
      <c r="O16" s="84">
        <v>6.0040976519718861E-3</v>
      </c>
      <c r="P16" s="559"/>
      <c r="Q16" s="558"/>
      <c r="R16" s="153">
        <v>0.9</v>
      </c>
      <c r="S16" s="557"/>
      <c r="T16" s="559"/>
      <c r="U16" s="153">
        <f t="shared" si="17"/>
        <v>0.53846153846153844</v>
      </c>
      <c r="V16" s="552"/>
      <c r="W16" s="559"/>
    </row>
    <row r="17" spans="2:23">
      <c r="B17" s="549"/>
      <c r="C17" s="555"/>
      <c r="D17" s="80">
        <f t="shared" si="8"/>
        <v>46215</v>
      </c>
      <c r="E17" s="437" t="s">
        <v>116</v>
      </c>
      <c r="F17" s="87">
        <v>420.01861021098057</v>
      </c>
      <c r="G17" s="556"/>
      <c r="H17" s="564"/>
      <c r="I17" s="153">
        <f t="shared" si="11"/>
        <v>0.94940915508811163</v>
      </c>
      <c r="J17" s="557"/>
      <c r="K17" s="559"/>
      <c r="L17" s="161">
        <v>2.0195443593012644E-3</v>
      </c>
      <c r="M17" s="558"/>
      <c r="N17" s="558"/>
      <c r="O17" s="84">
        <v>6.1082606383379553E-3</v>
      </c>
      <c r="P17" s="559"/>
      <c r="Q17" s="558"/>
      <c r="R17" s="153">
        <v>0.9</v>
      </c>
      <c r="S17" s="557"/>
      <c r="T17" s="559"/>
      <c r="U17" s="153">
        <f t="shared" si="17"/>
        <v>0.53846153846153844</v>
      </c>
      <c r="V17" s="552"/>
      <c r="W17" s="559"/>
    </row>
    <row r="18" spans="2:23">
      <c r="B18" s="549"/>
      <c r="C18" s="555"/>
      <c r="D18" s="80">
        <f t="shared" si="8"/>
        <v>46216</v>
      </c>
      <c r="E18" s="437" t="s">
        <v>117</v>
      </c>
      <c r="F18" s="87">
        <v>419.8341878541658</v>
      </c>
      <c r="G18" s="556"/>
      <c r="H18" s="564"/>
      <c r="I18" s="153">
        <f t="shared" si="11"/>
        <v>0.94899228719296069</v>
      </c>
      <c r="J18" s="557"/>
      <c r="K18" s="559"/>
      <c r="L18" s="161">
        <v>2.0103348740371399E-3</v>
      </c>
      <c r="M18" s="558"/>
      <c r="N18" s="558"/>
      <c r="O18" s="84">
        <v>6.0340948096470485E-3</v>
      </c>
      <c r="P18" s="559"/>
      <c r="Q18" s="558"/>
      <c r="R18" s="153">
        <v>0.9</v>
      </c>
      <c r="S18" s="557"/>
      <c r="T18" s="559"/>
      <c r="U18" s="153">
        <f t="shared" si="17"/>
        <v>0.53846153846153844</v>
      </c>
      <c r="V18" s="552"/>
      <c r="W18" s="559"/>
    </row>
    <row r="19" spans="2:23">
      <c r="B19" s="549">
        <f t="shared" si="9"/>
        <v>46225</v>
      </c>
      <c r="C19" s="555"/>
      <c r="D19" s="80">
        <f t="shared" si="8"/>
        <v>46217</v>
      </c>
      <c r="E19" s="437" t="s">
        <v>118</v>
      </c>
      <c r="F19" s="87">
        <v>418.55908210182844</v>
      </c>
      <c r="G19" s="556">
        <f t="shared" ref="G19" si="18">AVERAGE(F19:F25)</f>
        <v>435.74576471933477</v>
      </c>
      <c r="H19" s="564"/>
      <c r="I19" s="153">
        <f t="shared" si="11"/>
        <v>0.94611004091733375</v>
      </c>
      <c r="J19" s="557">
        <f t="shared" ref="J19" si="19">AVERAGE(I19:I25)</f>
        <v>0.98495878101115453</v>
      </c>
      <c r="K19" s="559"/>
      <c r="L19" s="161">
        <v>2.0063636481484409E-3</v>
      </c>
      <c r="M19" s="558">
        <f t="shared" ref="M19" si="20">AVERAGE(L19:L25)</f>
        <v>2.0036678728904632E-3</v>
      </c>
      <c r="N19" s="558"/>
      <c r="O19" s="84">
        <v>6.0199613156142577E-3</v>
      </c>
      <c r="P19" s="559">
        <f t="shared" ref="P19" si="21">AVERAGE(O19:O25)</f>
        <v>6.0137090526054928E-3</v>
      </c>
      <c r="Q19" s="558"/>
      <c r="R19" s="153">
        <v>0.9</v>
      </c>
      <c r="S19" s="557">
        <f t="shared" ref="S19" si="22">AVERAGE(R19:R25)</f>
        <v>0.90000000000000013</v>
      </c>
      <c r="T19" s="559"/>
      <c r="U19" s="153">
        <f>29/52*100%</f>
        <v>0.55769230769230771</v>
      </c>
      <c r="V19" s="552">
        <f t="shared" ref="V19" si="23">AVERAGE(U19:U25)</f>
        <v>0.5576923076923076</v>
      </c>
      <c r="W19" s="559"/>
    </row>
    <row r="20" spans="2:23">
      <c r="B20" s="549"/>
      <c r="C20" s="555"/>
      <c r="D20" s="80">
        <f t="shared" si="8"/>
        <v>46218</v>
      </c>
      <c r="E20" s="437" t="s">
        <v>112</v>
      </c>
      <c r="F20" s="87">
        <v>437.52615109568922</v>
      </c>
      <c r="G20" s="556"/>
      <c r="H20" s="564"/>
      <c r="I20" s="153">
        <f t="shared" si="11"/>
        <v>0.98898316251285989</v>
      </c>
      <c r="J20" s="557"/>
      <c r="K20" s="559"/>
      <c r="L20" s="161">
        <v>2.0015267682233304E-3</v>
      </c>
      <c r="M20" s="558"/>
      <c r="N20" s="558"/>
      <c r="O20" s="84">
        <v>6.0137341173448914E-3</v>
      </c>
      <c r="P20" s="559"/>
      <c r="Q20" s="558"/>
      <c r="R20" s="153">
        <v>0.9</v>
      </c>
      <c r="S20" s="557"/>
      <c r="T20" s="559"/>
      <c r="U20" s="153">
        <f t="shared" ref="U20:U25" si="24">29/52*100%</f>
        <v>0.55769230769230771</v>
      </c>
      <c r="V20" s="552"/>
      <c r="W20" s="559"/>
    </row>
    <row r="21" spans="2:23">
      <c r="B21" s="549"/>
      <c r="C21" s="555"/>
      <c r="D21" s="80">
        <f t="shared" si="8"/>
        <v>46219</v>
      </c>
      <c r="E21" s="437" t="s">
        <v>113</v>
      </c>
      <c r="F21" s="87">
        <v>437.96387606815648</v>
      </c>
      <c r="G21" s="556"/>
      <c r="H21" s="564"/>
      <c r="I21" s="153">
        <f t="shared" si="11"/>
        <v>0.98997259509076962</v>
      </c>
      <c r="J21" s="557"/>
      <c r="K21" s="559"/>
      <c r="L21" s="161">
        <v>2.0004877354308655E-3</v>
      </c>
      <c r="M21" s="558"/>
      <c r="N21" s="558"/>
      <c r="O21" s="84">
        <v>6.0104612100073561E-3</v>
      </c>
      <c r="P21" s="559"/>
      <c r="Q21" s="558"/>
      <c r="R21" s="153">
        <v>0.9</v>
      </c>
      <c r="S21" s="557"/>
      <c r="T21" s="559"/>
      <c r="U21" s="153">
        <f t="shared" si="24"/>
        <v>0.55769230769230771</v>
      </c>
      <c r="V21" s="552"/>
      <c r="W21" s="559"/>
    </row>
    <row r="22" spans="2:23">
      <c r="B22" s="549"/>
      <c r="C22" s="555"/>
      <c r="D22" s="80">
        <f t="shared" si="8"/>
        <v>46220</v>
      </c>
      <c r="E22" s="437" t="s">
        <v>114</v>
      </c>
      <c r="F22" s="87">
        <v>440.66020911090556</v>
      </c>
      <c r="G22" s="556"/>
      <c r="H22" s="564"/>
      <c r="I22" s="153">
        <f t="shared" si="11"/>
        <v>0.99606738044960574</v>
      </c>
      <c r="J22" s="557"/>
      <c r="K22" s="559"/>
      <c r="L22" s="161">
        <v>1.9975764063832357E-3</v>
      </c>
      <c r="M22" s="558"/>
      <c r="N22" s="558"/>
      <c r="O22" s="84">
        <v>6.0076929050619657E-3</v>
      </c>
      <c r="P22" s="559"/>
      <c r="Q22" s="558"/>
      <c r="R22" s="153">
        <v>0.9</v>
      </c>
      <c r="S22" s="557"/>
      <c r="T22" s="559"/>
      <c r="U22" s="153">
        <f t="shared" si="24"/>
        <v>0.55769230769230771</v>
      </c>
      <c r="V22" s="552"/>
      <c r="W22" s="559"/>
    </row>
    <row r="23" spans="2:23">
      <c r="B23" s="549"/>
      <c r="C23" s="555"/>
      <c r="D23" s="80">
        <f t="shared" si="8"/>
        <v>46221</v>
      </c>
      <c r="E23" s="437" t="s">
        <v>115</v>
      </c>
      <c r="F23" s="87">
        <v>438.37297460865057</v>
      </c>
      <c r="G23" s="556"/>
      <c r="H23" s="564"/>
      <c r="I23" s="153">
        <f t="shared" si="11"/>
        <v>0.99089732054396606</v>
      </c>
      <c r="J23" s="557"/>
      <c r="K23" s="559"/>
      <c r="L23" s="161">
        <v>1.9995970662646141E-3</v>
      </c>
      <c r="M23" s="558"/>
      <c r="N23" s="558"/>
      <c r="O23" s="84">
        <v>6.0103891813777718E-3</v>
      </c>
      <c r="P23" s="559"/>
      <c r="Q23" s="558"/>
      <c r="R23" s="153">
        <v>0.9</v>
      </c>
      <c r="S23" s="557"/>
      <c r="T23" s="559"/>
      <c r="U23" s="153">
        <f t="shared" si="24"/>
        <v>0.55769230769230771</v>
      </c>
      <c r="V23" s="552"/>
      <c r="W23" s="559"/>
    </row>
    <row r="24" spans="2:23">
      <c r="B24" s="549"/>
      <c r="C24" s="555"/>
      <c r="D24" s="80">
        <f t="shared" si="8"/>
        <v>46222</v>
      </c>
      <c r="E24" s="437" t="s">
        <v>116</v>
      </c>
      <c r="F24" s="87">
        <v>438.70799237233746</v>
      </c>
      <c r="G24" s="556"/>
      <c r="H24" s="564"/>
      <c r="I24" s="153">
        <f t="shared" si="11"/>
        <v>0.99165459397002143</v>
      </c>
      <c r="J24" s="557"/>
      <c r="K24" s="559"/>
      <c r="L24" s="161">
        <v>2.0142841749908077E-3</v>
      </c>
      <c r="M24" s="558"/>
      <c r="N24" s="558"/>
      <c r="O24" s="84">
        <v>6.0178085302766927E-3</v>
      </c>
      <c r="P24" s="559"/>
      <c r="Q24" s="558"/>
      <c r="R24" s="153">
        <v>0.9</v>
      </c>
      <c r="S24" s="557"/>
      <c r="T24" s="559"/>
      <c r="U24" s="153">
        <f t="shared" si="24"/>
        <v>0.55769230769230771</v>
      </c>
      <c r="V24" s="552"/>
      <c r="W24" s="559"/>
    </row>
    <row r="25" spans="2:23">
      <c r="B25" s="549"/>
      <c r="C25" s="555"/>
      <c r="D25" s="80">
        <f t="shared" si="8"/>
        <v>46223</v>
      </c>
      <c r="E25" s="437" t="s">
        <v>117</v>
      </c>
      <c r="F25" s="87">
        <v>438.43006767777587</v>
      </c>
      <c r="G25" s="556"/>
      <c r="H25" s="564"/>
      <c r="I25" s="153">
        <f t="shared" si="11"/>
        <v>0.99102637359352597</v>
      </c>
      <c r="J25" s="557"/>
      <c r="K25" s="559"/>
      <c r="L25" s="161">
        <v>2.0058393107919496E-3</v>
      </c>
      <c r="M25" s="558"/>
      <c r="N25" s="558"/>
      <c r="O25" s="84">
        <v>6.0159161085555166E-3</v>
      </c>
      <c r="P25" s="559"/>
      <c r="Q25" s="558"/>
      <c r="R25" s="153">
        <v>0.9</v>
      </c>
      <c r="S25" s="557"/>
      <c r="T25" s="559"/>
      <c r="U25" s="153">
        <f t="shared" si="24"/>
        <v>0.55769230769230771</v>
      </c>
      <c r="V25" s="552"/>
      <c r="W25" s="559"/>
    </row>
    <row r="26" spans="2:23">
      <c r="B26" s="549">
        <f t="shared" si="9"/>
        <v>46232</v>
      </c>
      <c r="C26" s="555"/>
      <c r="D26" s="80">
        <f t="shared" si="8"/>
        <v>46224</v>
      </c>
      <c r="E26" s="437" t="s">
        <v>118</v>
      </c>
      <c r="G26" s="556" t="e">
        <f t="shared" ref="G26" si="25">AVERAGE(F26:F32)</f>
        <v>#DIV/0!</v>
      </c>
      <c r="H26" s="564"/>
      <c r="I26" s="153">
        <f t="shared" si="11"/>
        <v>0</v>
      </c>
      <c r="J26" s="557">
        <f t="shared" ref="J26" si="26">AVERAGE(I26:I32)</f>
        <v>0</v>
      </c>
      <c r="K26" s="559"/>
      <c r="L26" s="161"/>
      <c r="M26" s="558" t="e">
        <f t="shared" ref="M26" si="27">AVERAGE(L26:L32)</f>
        <v>#DIV/0!</v>
      </c>
      <c r="N26" s="558"/>
      <c r="O26" s="84"/>
      <c r="P26" s="559" t="e">
        <f t="shared" ref="P26" si="28">AVERAGE(O26:O32)</f>
        <v>#DIV/0!</v>
      </c>
      <c r="Q26" s="558"/>
      <c r="R26" s="153"/>
      <c r="S26" s="557" t="e">
        <f t="shared" ref="S26" si="29">AVERAGE(R26:R32)</f>
        <v>#DIV/0!</v>
      </c>
      <c r="T26" s="559"/>
      <c r="U26" s="153"/>
      <c r="V26" s="552" t="e">
        <f t="shared" ref="V26" si="30">AVERAGE(U26:U32)</f>
        <v>#DIV/0!</v>
      </c>
      <c r="W26" s="559"/>
    </row>
    <row r="27" spans="2:23">
      <c r="B27" s="549"/>
      <c r="C27" s="555"/>
      <c r="D27" s="80">
        <f t="shared" si="8"/>
        <v>46225</v>
      </c>
      <c r="E27" s="437" t="s">
        <v>112</v>
      </c>
      <c r="G27" s="556"/>
      <c r="H27" s="564"/>
      <c r="I27" s="153">
        <f t="shared" si="11"/>
        <v>0</v>
      </c>
      <c r="J27" s="557"/>
      <c r="K27" s="559"/>
      <c r="L27" s="161"/>
      <c r="M27" s="558"/>
      <c r="N27" s="558"/>
      <c r="O27" s="84"/>
      <c r="P27" s="559"/>
      <c r="Q27" s="558"/>
      <c r="R27" s="153"/>
      <c r="S27" s="557"/>
      <c r="T27" s="559"/>
      <c r="U27" s="153"/>
      <c r="V27" s="552"/>
      <c r="W27" s="559"/>
    </row>
    <row r="28" spans="2:23">
      <c r="B28" s="549"/>
      <c r="C28" s="555"/>
      <c r="D28" s="80">
        <f t="shared" si="8"/>
        <v>46226</v>
      </c>
      <c r="E28" s="437" t="s">
        <v>113</v>
      </c>
      <c r="G28" s="556"/>
      <c r="H28" s="564"/>
      <c r="I28" s="153">
        <f t="shared" si="11"/>
        <v>0</v>
      </c>
      <c r="J28" s="557"/>
      <c r="K28" s="559"/>
      <c r="L28" s="161"/>
      <c r="M28" s="558"/>
      <c r="N28" s="558"/>
      <c r="O28" s="84"/>
      <c r="P28" s="559"/>
      <c r="Q28" s="558"/>
      <c r="R28" s="153"/>
      <c r="S28" s="557"/>
      <c r="T28" s="559"/>
      <c r="U28" s="153"/>
      <c r="V28" s="552"/>
      <c r="W28" s="559"/>
    </row>
    <row r="29" spans="2:23">
      <c r="B29" s="549"/>
      <c r="C29" s="555"/>
      <c r="D29" s="80">
        <f t="shared" si="8"/>
        <v>46227</v>
      </c>
      <c r="E29" s="437" t="s">
        <v>114</v>
      </c>
      <c r="G29" s="556"/>
      <c r="H29" s="564"/>
      <c r="I29" s="153">
        <f t="shared" si="11"/>
        <v>0</v>
      </c>
      <c r="J29" s="557"/>
      <c r="K29" s="559"/>
      <c r="L29" s="161"/>
      <c r="M29" s="558"/>
      <c r="N29" s="558"/>
      <c r="O29" s="84"/>
      <c r="P29" s="559"/>
      <c r="Q29" s="558"/>
      <c r="R29" s="153"/>
      <c r="S29" s="557"/>
      <c r="T29" s="559"/>
      <c r="U29" s="153"/>
      <c r="V29" s="552"/>
      <c r="W29" s="559"/>
    </row>
    <row r="30" spans="2:23">
      <c r="B30" s="549"/>
      <c r="C30" s="555"/>
      <c r="D30" s="80">
        <f t="shared" si="8"/>
        <v>46228</v>
      </c>
      <c r="E30" s="437" t="s">
        <v>115</v>
      </c>
      <c r="G30" s="556"/>
      <c r="H30" s="564"/>
      <c r="I30" s="153">
        <f t="shared" si="11"/>
        <v>0</v>
      </c>
      <c r="J30" s="557"/>
      <c r="K30" s="559"/>
      <c r="L30" s="161"/>
      <c r="M30" s="558"/>
      <c r="N30" s="558"/>
      <c r="O30" s="84"/>
      <c r="P30" s="559"/>
      <c r="Q30" s="558"/>
      <c r="R30" s="153"/>
      <c r="S30" s="557"/>
      <c r="T30" s="559"/>
      <c r="U30" s="153"/>
      <c r="V30" s="552"/>
      <c r="W30" s="559"/>
    </row>
    <row r="31" spans="2:23">
      <c r="B31" s="549"/>
      <c r="C31" s="555"/>
      <c r="D31" s="80">
        <f t="shared" si="8"/>
        <v>46229</v>
      </c>
      <c r="E31" s="437" t="s">
        <v>116</v>
      </c>
      <c r="G31" s="556"/>
      <c r="H31" s="564"/>
      <c r="I31" s="153">
        <f t="shared" si="11"/>
        <v>0</v>
      </c>
      <c r="J31" s="557"/>
      <c r="K31" s="559"/>
      <c r="L31" s="161"/>
      <c r="M31" s="558"/>
      <c r="N31" s="558"/>
      <c r="O31" s="84"/>
      <c r="P31" s="559"/>
      <c r="Q31" s="558"/>
      <c r="R31" s="153"/>
      <c r="S31" s="557"/>
      <c r="T31" s="559"/>
      <c r="U31" s="153"/>
      <c r="V31" s="552"/>
      <c r="W31" s="559"/>
    </row>
    <row r="32" spans="2:23">
      <c r="B32" s="549"/>
      <c r="C32" s="555"/>
      <c r="D32" s="80">
        <f t="shared" si="8"/>
        <v>46230</v>
      </c>
      <c r="E32" s="437" t="s">
        <v>117</v>
      </c>
      <c r="G32" s="556"/>
      <c r="H32" s="564"/>
      <c r="I32" s="153">
        <f t="shared" si="11"/>
        <v>0</v>
      </c>
      <c r="J32" s="557"/>
      <c r="K32" s="559"/>
      <c r="L32" s="161"/>
      <c r="M32" s="558"/>
      <c r="N32" s="558"/>
      <c r="O32" s="84"/>
      <c r="P32" s="559"/>
      <c r="Q32" s="558"/>
      <c r="R32" s="153"/>
      <c r="S32" s="557"/>
      <c r="T32" s="559"/>
      <c r="U32" s="153"/>
      <c r="V32" s="552"/>
      <c r="W32" s="559"/>
    </row>
    <row r="33" spans="2:23">
      <c r="B33" s="549">
        <f t="shared" ref="B33" si="31">B26+7</f>
        <v>46239</v>
      </c>
      <c r="C33" s="555"/>
      <c r="D33" s="80">
        <f t="shared" si="8"/>
        <v>46231</v>
      </c>
      <c r="E33" s="437" t="s">
        <v>118</v>
      </c>
      <c r="G33" s="556" t="e">
        <f t="shared" ref="G33" si="32">AVERAGE(F33:F39)</f>
        <v>#DIV/0!</v>
      </c>
      <c r="H33" s="564"/>
      <c r="I33" s="153">
        <f t="shared" ref="I33:I39" si="33">F33/$C$1</f>
        <v>0</v>
      </c>
      <c r="J33" s="557">
        <f t="shared" ref="J33" si="34">AVERAGE(I33:I39)</f>
        <v>0</v>
      </c>
      <c r="K33" s="559"/>
      <c r="L33" s="161"/>
      <c r="M33" s="558" t="e">
        <f t="shared" ref="M33" si="35">AVERAGE(L33:L39)</f>
        <v>#DIV/0!</v>
      </c>
      <c r="N33" s="558"/>
      <c r="O33" s="84"/>
      <c r="P33" s="559" t="e">
        <f t="shared" ref="P33" si="36">AVERAGE(O33:O39)</f>
        <v>#DIV/0!</v>
      </c>
      <c r="Q33" s="558"/>
      <c r="R33" s="153"/>
      <c r="S33" s="557" t="e">
        <f t="shared" ref="S33" si="37">AVERAGE(R33:R39)</f>
        <v>#DIV/0!</v>
      </c>
      <c r="T33" s="559"/>
      <c r="U33" s="153"/>
      <c r="V33" s="552" t="e">
        <f t="shared" ref="V33" si="38">AVERAGE(U33:U39)</f>
        <v>#DIV/0!</v>
      </c>
      <c r="W33" s="559"/>
    </row>
    <row r="34" spans="2:23">
      <c r="B34" s="549"/>
      <c r="C34" s="555"/>
      <c r="D34" s="80">
        <f t="shared" si="8"/>
        <v>46232</v>
      </c>
      <c r="E34" s="437" t="s">
        <v>112</v>
      </c>
      <c r="G34" s="556"/>
      <c r="H34" s="564"/>
      <c r="I34" s="153">
        <f t="shared" si="33"/>
        <v>0</v>
      </c>
      <c r="J34" s="557"/>
      <c r="K34" s="559"/>
      <c r="L34" s="161"/>
      <c r="M34" s="558"/>
      <c r="N34" s="558"/>
      <c r="O34" s="84"/>
      <c r="P34" s="559"/>
      <c r="Q34" s="558"/>
      <c r="R34" s="153"/>
      <c r="S34" s="557"/>
      <c r="T34" s="559"/>
      <c r="U34" s="153"/>
      <c r="V34" s="552"/>
      <c r="W34" s="559"/>
    </row>
    <row r="35" spans="2:23">
      <c r="B35" s="549"/>
      <c r="C35" s="555"/>
      <c r="D35" s="80">
        <f t="shared" si="8"/>
        <v>46233</v>
      </c>
      <c r="E35" s="437" t="s">
        <v>113</v>
      </c>
      <c r="G35" s="556"/>
      <c r="H35" s="564"/>
      <c r="I35" s="153">
        <f t="shared" si="33"/>
        <v>0</v>
      </c>
      <c r="J35" s="557"/>
      <c r="K35" s="559"/>
      <c r="L35" s="161"/>
      <c r="M35" s="558"/>
      <c r="N35" s="558"/>
      <c r="O35" s="84"/>
      <c r="P35" s="559"/>
      <c r="Q35" s="558"/>
      <c r="R35" s="153"/>
      <c r="S35" s="557"/>
      <c r="T35" s="559"/>
      <c r="U35" s="153"/>
      <c r="V35" s="552"/>
      <c r="W35" s="559"/>
    </row>
    <row r="36" spans="2:23">
      <c r="B36" s="549"/>
      <c r="C36" s="555"/>
      <c r="D36" s="80">
        <f t="shared" si="8"/>
        <v>46234</v>
      </c>
      <c r="E36" s="437" t="s">
        <v>114</v>
      </c>
      <c r="G36" s="556"/>
      <c r="H36" s="564"/>
      <c r="I36" s="153">
        <f t="shared" si="33"/>
        <v>0</v>
      </c>
      <c r="J36" s="557"/>
      <c r="K36" s="559"/>
      <c r="L36" s="161"/>
      <c r="M36" s="558"/>
      <c r="N36" s="558"/>
      <c r="O36" s="84"/>
      <c r="P36" s="559"/>
      <c r="Q36" s="558"/>
      <c r="R36" s="153"/>
      <c r="S36" s="557"/>
      <c r="T36" s="559"/>
      <c r="U36" s="153"/>
      <c r="V36" s="552"/>
      <c r="W36" s="559"/>
    </row>
    <row r="37" spans="2:23">
      <c r="B37" s="549"/>
      <c r="C37" s="73"/>
      <c r="D37" s="80">
        <f t="shared" si="8"/>
        <v>46235</v>
      </c>
      <c r="E37" s="437" t="s">
        <v>115</v>
      </c>
      <c r="G37" s="556"/>
      <c r="I37" s="153">
        <f t="shared" si="33"/>
        <v>0</v>
      </c>
      <c r="J37" s="557"/>
      <c r="L37" s="161"/>
      <c r="M37" s="558"/>
      <c r="O37" s="84"/>
      <c r="P37" s="559"/>
      <c r="R37" s="153"/>
      <c r="S37" s="557"/>
      <c r="U37" s="153"/>
      <c r="V37" s="552"/>
    </row>
    <row r="38" spans="2:23">
      <c r="B38" s="549"/>
      <c r="C38" s="73"/>
      <c r="D38" s="80">
        <f t="shared" si="8"/>
        <v>46236</v>
      </c>
      <c r="E38" s="437" t="s">
        <v>116</v>
      </c>
      <c r="G38" s="556"/>
      <c r="I38" s="153">
        <f t="shared" si="33"/>
        <v>0</v>
      </c>
      <c r="J38" s="557"/>
      <c r="L38" s="161"/>
      <c r="M38" s="558"/>
      <c r="O38" s="84"/>
      <c r="P38" s="559"/>
      <c r="R38" s="153"/>
      <c r="S38" s="557"/>
      <c r="U38" s="153"/>
      <c r="V38" s="552"/>
    </row>
    <row r="39" spans="2:23">
      <c r="B39" s="549"/>
      <c r="C39" s="73"/>
      <c r="D39" s="80">
        <f t="shared" si="8"/>
        <v>46237</v>
      </c>
      <c r="E39" s="437" t="s">
        <v>117</v>
      </c>
      <c r="G39" s="556"/>
      <c r="I39" s="153">
        <f t="shared" si="33"/>
        <v>0</v>
      </c>
      <c r="J39" s="557"/>
      <c r="L39" s="161"/>
      <c r="M39" s="558"/>
      <c r="O39" s="84"/>
      <c r="P39" s="559"/>
      <c r="R39" s="153"/>
      <c r="S39" s="557"/>
      <c r="U39" s="153"/>
      <c r="V39" s="552"/>
    </row>
  </sheetData>
  <mergeCells count="52">
    <mergeCell ref="W6:W36"/>
    <mergeCell ref="H6:H36"/>
    <mergeCell ref="K6:K36"/>
    <mergeCell ref="N6:N36"/>
    <mergeCell ref="Q6:Q36"/>
    <mergeCell ref="T6:T36"/>
    <mergeCell ref="S26:S32"/>
    <mergeCell ref="V26:V32"/>
    <mergeCell ref="S33:S39"/>
    <mergeCell ref="V33:V39"/>
    <mergeCell ref="S12:S18"/>
    <mergeCell ref="V12:V18"/>
    <mergeCell ref="S19:S25"/>
    <mergeCell ref="V19:V25"/>
    <mergeCell ref="S5:S11"/>
    <mergeCell ref="V5:V11"/>
    <mergeCell ref="B33:B39"/>
    <mergeCell ref="G33:G39"/>
    <mergeCell ref="J33:J39"/>
    <mergeCell ref="M33:M39"/>
    <mergeCell ref="P33:P39"/>
    <mergeCell ref="C6:C36"/>
    <mergeCell ref="B26:B32"/>
    <mergeCell ref="G26:G32"/>
    <mergeCell ref="J26:J32"/>
    <mergeCell ref="M26:M32"/>
    <mergeCell ref="P26:P32"/>
    <mergeCell ref="B19:B25"/>
    <mergeCell ref="G19:G25"/>
    <mergeCell ref="J19:J25"/>
    <mergeCell ref="M19:M25"/>
    <mergeCell ref="P19:P25"/>
    <mergeCell ref="B12:B18"/>
    <mergeCell ref="G12:G18"/>
    <mergeCell ref="J12:J18"/>
    <mergeCell ref="M12:M18"/>
    <mergeCell ref="P12:P18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U3:W3"/>
    <mergeCell ref="B5:B11"/>
    <mergeCell ref="G5:G11"/>
    <mergeCell ref="J5:J11"/>
    <mergeCell ref="M5:M11"/>
    <mergeCell ref="P5:P11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N41"/>
  <sheetViews>
    <sheetView topLeftCell="A4" zoomScale="85" zoomScaleNormal="85" workbookViewId="0">
      <selection activeCell="A21" sqref="A21:XFD27"/>
    </sheetView>
  </sheetViews>
  <sheetFormatPr defaultColWidth="8.85546875" defaultRowHeight="14.25"/>
  <cols>
    <col min="1" max="1" width="8.85546875" style="75"/>
    <col min="2" max="2" width="13.140625" style="75" customWidth="1"/>
    <col min="3" max="3" width="8.85546875" style="94"/>
    <col min="4" max="4" width="17" style="94" customWidth="1"/>
    <col min="5" max="5" width="8.5703125" style="77" customWidth="1"/>
    <col min="6" max="6" width="20.28515625" style="319" bestFit="1" customWidth="1"/>
    <col min="7" max="8" width="20.28515625" style="93" bestFit="1" customWidth="1"/>
    <col min="9" max="9" width="18.28515625" style="90" bestFit="1" customWidth="1"/>
    <col min="10" max="10" width="10.5703125" style="84" customWidth="1"/>
    <col min="11" max="11" width="18.28515625" style="90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0" bestFit="1" customWidth="1"/>
    <col min="16" max="16" width="10.5703125" style="84" customWidth="1"/>
    <col min="17" max="17" width="18.28515625" style="90" bestFit="1" customWidth="1"/>
    <col min="18" max="18" width="10.5703125" style="84" customWidth="1"/>
    <col min="19" max="19" width="18.28515625" style="90" bestFit="1" customWidth="1"/>
    <col min="20" max="20" width="10.5703125" style="84" customWidth="1"/>
    <col min="21" max="21" width="18.28515625" style="90" bestFit="1" customWidth="1"/>
    <col min="22" max="22" width="10.5703125" style="84" customWidth="1"/>
    <col min="23" max="23" width="17" style="90" bestFit="1" customWidth="1"/>
    <col min="24" max="24" width="10.5703125" style="84" customWidth="1"/>
    <col min="25" max="25" width="18.28515625" style="90" bestFit="1" customWidth="1"/>
    <col min="26" max="26" width="10.5703125" style="84" customWidth="1"/>
    <col min="27" max="27" width="18.28515625" style="90" bestFit="1" customWidth="1"/>
    <col min="28" max="28" width="10.5703125" style="84" customWidth="1"/>
    <col min="29" max="29" width="18.28515625" style="90" bestFit="1" customWidth="1"/>
    <col min="30" max="30" width="10.5703125" style="84" customWidth="1"/>
    <col min="31" max="31" width="20.28515625" style="90" bestFit="1" customWidth="1"/>
    <col min="32" max="32" width="10.5703125" style="84" customWidth="1"/>
    <col min="33" max="33" width="18.28515625" style="90" bestFit="1" customWidth="1"/>
    <col min="34" max="34" width="10.42578125" style="84" customWidth="1"/>
    <col min="35" max="35" width="20.28515625" style="90" bestFit="1" customWidth="1"/>
    <col min="36" max="36" width="10.42578125" style="84" customWidth="1"/>
    <col min="37" max="37" width="18.28515625" style="90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541" t="s">
        <v>322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  <c r="T2" s="541"/>
      <c r="U2" s="541"/>
      <c r="V2" s="541"/>
      <c r="W2" s="541"/>
      <c r="X2" s="541"/>
      <c r="Y2" s="541"/>
      <c r="Z2" s="541"/>
      <c r="AA2" s="541"/>
      <c r="AB2" s="541"/>
      <c r="AC2" s="541"/>
      <c r="AD2" s="541"/>
      <c r="AE2" s="541"/>
      <c r="AF2" s="541"/>
      <c r="AG2" s="541"/>
      <c r="AH2" s="541"/>
      <c r="AI2" s="541"/>
      <c r="AJ2" s="541"/>
      <c r="AK2" s="541"/>
      <c r="AL2" s="541"/>
    </row>
    <row r="3" spans="1:40" ht="25.35" customHeight="1">
      <c r="B3" s="567" t="s">
        <v>151</v>
      </c>
      <c r="C3" s="568" t="s">
        <v>144</v>
      </c>
      <c r="D3" s="569" t="s">
        <v>105</v>
      </c>
      <c r="E3" s="569"/>
      <c r="F3" s="571" t="s">
        <v>135</v>
      </c>
      <c r="G3" s="571"/>
      <c r="H3" s="571"/>
      <c r="I3" s="572" t="s">
        <v>109</v>
      </c>
      <c r="J3" s="572"/>
      <c r="K3" s="572"/>
      <c r="L3" s="572"/>
      <c r="M3" s="572"/>
      <c r="N3" s="572"/>
      <c r="O3" s="572"/>
      <c r="P3" s="572"/>
      <c r="Q3" s="572"/>
      <c r="R3" s="572"/>
      <c r="S3" s="572"/>
      <c r="T3" s="572"/>
      <c r="U3" s="572"/>
      <c r="V3" s="572"/>
      <c r="W3" s="572"/>
      <c r="X3" s="572"/>
      <c r="Y3" s="572"/>
      <c r="Z3" s="572"/>
      <c r="AA3" s="572"/>
      <c r="AB3" s="572"/>
      <c r="AC3" s="572"/>
      <c r="AD3" s="572"/>
      <c r="AE3" s="572"/>
      <c r="AF3" s="572"/>
      <c r="AG3" s="572"/>
      <c r="AH3" s="572"/>
      <c r="AI3" s="572"/>
      <c r="AJ3" s="572"/>
      <c r="AK3" s="572"/>
      <c r="AL3" s="572"/>
    </row>
    <row r="4" spans="1:40" ht="25.35" customHeight="1">
      <c r="B4" s="567"/>
      <c r="C4" s="568"/>
      <c r="D4" s="569"/>
      <c r="E4" s="569"/>
      <c r="F4" s="571"/>
      <c r="G4" s="571"/>
      <c r="H4" s="571"/>
      <c r="I4" s="565" t="s">
        <v>145</v>
      </c>
      <c r="J4" s="565"/>
      <c r="K4" s="565"/>
      <c r="L4" s="565"/>
      <c r="M4" s="565"/>
      <c r="N4" s="565"/>
      <c r="O4" s="565" t="s">
        <v>146</v>
      </c>
      <c r="P4" s="565"/>
      <c r="Q4" s="565"/>
      <c r="R4" s="565"/>
      <c r="S4" s="565"/>
      <c r="T4" s="565"/>
      <c r="U4" s="565" t="s">
        <v>147</v>
      </c>
      <c r="V4" s="565"/>
      <c r="W4" s="565" t="s">
        <v>148</v>
      </c>
      <c r="X4" s="565"/>
      <c r="Y4" s="565" t="s">
        <v>139</v>
      </c>
      <c r="Z4" s="565"/>
      <c r="AA4" s="565"/>
      <c r="AB4" s="565"/>
      <c r="AC4" s="565"/>
      <c r="AD4" s="565"/>
      <c r="AE4" s="565" t="s">
        <v>137</v>
      </c>
      <c r="AF4" s="565"/>
      <c r="AG4" s="565" t="s">
        <v>149</v>
      </c>
      <c r="AH4" s="565"/>
      <c r="AI4" s="565" t="s">
        <v>150</v>
      </c>
      <c r="AJ4" s="565"/>
      <c r="AK4" s="565" t="s">
        <v>143</v>
      </c>
      <c r="AL4" s="565"/>
    </row>
    <row r="5" spans="1:40" ht="25.35" customHeight="1">
      <c r="B5" s="567"/>
      <c r="C5" s="568"/>
      <c r="D5" s="569"/>
      <c r="E5" s="569"/>
      <c r="F5" s="574" t="s">
        <v>116</v>
      </c>
      <c r="G5" s="566" t="s">
        <v>120</v>
      </c>
      <c r="H5" s="566" t="s">
        <v>121</v>
      </c>
      <c r="I5" s="565" t="s">
        <v>133</v>
      </c>
      <c r="J5" s="565"/>
      <c r="K5" s="565" t="s">
        <v>134</v>
      </c>
      <c r="L5" s="565"/>
      <c r="M5" s="573" t="s">
        <v>152</v>
      </c>
      <c r="N5" s="565"/>
      <c r="O5" s="565" t="s">
        <v>133</v>
      </c>
      <c r="P5" s="565"/>
      <c r="Q5" s="565" t="s">
        <v>134</v>
      </c>
      <c r="R5" s="565"/>
      <c r="S5" s="573" t="s">
        <v>152</v>
      </c>
      <c r="T5" s="565"/>
      <c r="U5" s="565" t="s">
        <v>133</v>
      </c>
      <c r="V5" s="565"/>
      <c r="W5" s="565" t="s">
        <v>133</v>
      </c>
      <c r="X5" s="565"/>
      <c r="Y5" s="565" t="s">
        <v>133</v>
      </c>
      <c r="Z5" s="565"/>
      <c r="AA5" s="565" t="s">
        <v>134</v>
      </c>
      <c r="AB5" s="565"/>
      <c r="AC5" s="573" t="s">
        <v>152</v>
      </c>
      <c r="AD5" s="565"/>
      <c r="AE5" s="565" t="s">
        <v>133</v>
      </c>
      <c r="AF5" s="565"/>
      <c r="AG5" s="565" t="s">
        <v>133</v>
      </c>
      <c r="AH5" s="565"/>
      <c r="AI5" s="565" t="s">
        <v>133</v>
      </c>
      <c r="AJ5" s="565"/>
      <c r="AK5" s="565" t="s">
        <v>133</v>
      </c>
      <c r="AL5" s="565"/>
    </row>
    <row r="6" spans="1:40" s="77" customFormat="1" ht="23.45" customHeight="1">
      <c r="B6" s="567"/>
      <c r="C6" s="568"/>
      <c r="D6" s="570"/>
      <c r="E6" s="570"/>
      <c r="F6" s="575"/>
      <c r="G6" s="566"/>
      <c r="H6" s="566"/>
      <c r="I6" s="91" t="s">
        <v>110</v>
      </c>
      <c r="J6" s="92" t="s">
        <v>111</v>
      </c>
      <c r="K6" s="91" t="s">
        <v>110</v>
      </c>
      <c r="L6" s="92" t="s">
        <v>111</v>
      </c>
      <c r="M6" s="91" t="s">
        <v>110</v>
      </c>
      <c r="N6" s="92" t="s">
        <v>111</v>
      </c>
      <c r="O6" s="91" t="s">
        <v>110</v>
      </c>
      <c r="P6" s="92" t="s">
        <v>111</v>
      </c>
      <c r="Q6" s="91" t="s">
        <v>110</v>
      </c>
      <c r="R6" s="92" t="s">
        <v>111</v>
      </c>
      <c r="S6" s="91" t="s">
        <v>110</v>
      </c>
      <c r="T6" s="92" t="s">
        <v>111</v>
      </c>
      <c r="U6" s="91" t="s">
        <v>110</v>
      </c>
      <c r="V6" s="92" t="s">
        <v>111</v>
      </c>
      <c r="W6" s="91" t="s">
        <v>110</v>
      </c>
      <c r="X6" s="92" t="s">
        <v>111</v>
      </c>
      <c r="Y6" s="91" t="s">
        <v>110</v>
      </c>
      <c r="Z6" s="92" t="s">
        <v>111</v>
      </c>
      <c r="AA6" s="91" t="s">
        <v>110</v>
      </c>
      <c r="AB6" s="92" t="s">
        <v>111</v>
      </c>
      <c r="AC6" s="91" t="s">
        <v>110</v>
      </c>
      <c r="AD6" s="92" t="s">
        <v>111</v>
      </c>
      <c r="AE6" s="91" t="s">
        <v>110</v>
      </c>
      <c r="AF6" s="92" t="s">
        <v>111</v>
      </c>
      <c r="AG6" s="91" t="s">
        <v>110</v>
      </c>
      <c r="AH6" s="92" t="s">
        <v>111</v>
      </c>
      <c r="AI6" s="91" t="s">
        <v>110</v>
      </c>
      <c r="AJ6" s="92" t="s">
        <v>111</v>
      </c>
      <c r="AK6" s="91" t="s">
        <v>110</v>
      </c>
      <c r="AL6" s="92" t="s">
        <v>111</v>
      </c>
    </row>
    <row r="7" spans="1:40" s="73" customFormat="1" ht="14.25" customHeight="1">
      <c r="B7" s="579">
        <f>D8+7</f>
        <v>46211</v>
      </c>
      <c r="C7" s="470"/>
      <c r="D7" s="170">
        <v>46203</v>
      </c>
      <c r="E7" s="170" t="s">
        <v>118</v>
      </c>
      <c r="F7" s="320">
        <f t="shared" ref="F7:F27" si="0">SUM(M7,S7,U7,W7,AC7,AE7,AG7,AI7,AK7)</f>
        <v>7292751.3200000003</v>
      </c>
      <c r="G7" s="582">
        <f t="shared" ref="G7" si="1">SUM(F7:F13)</f>
        <v>46397166.829999998</v>
      </c>
      <c r="H7" s="469"/>
      <c r="I7" s="171">
        <v>870247.34</v>
      </c>
      <c r="J7" s="172">
        <f t="shared" ref="J7:J27" si="2">I7/$F7</f>
        <v>0.11933045593003985</v>
      </c>
      <c r="K7" s="171">
        <v>1296194.78</v>
      </c>
      <c r="L7" s="172">
        <f t="shared" ref="L7:L27" si="3">K7/$F7</f>
        <v>0.17773741666540194</v>
      </c>
      <c r="M7" s="171">
        <f t="shared" ref="M7:M27" si="4">I7+K7</f>
        <v>2166442.12</v>
      </c>
      <c r="N7" s="172">
        <f t="shared" ref="N7" si="5">M7/$F7</f>
        <v>0.29706787259544182</v>
      </c>
      <c r="O7" s="171">
        <v>243640.36</v>
      </c>
      <c r="P7" s="172">
        <f t="shared" ref="P7:P27" si="6">O7/$F7</f>
        <v>3.3408565479509586E-2</v>
      </c>
      <c r="Q7" s="171">
        <v>0</v>
      </c>
      <c r="R7" s="172">
        <f t="shared" ref="R7:R27" si="7">Q7/$F7</f>
        <v>0</v>
      </c>
      <c r="S7" s="171">
        <f t="shared" ref="S7:S27" si="8">O7+Q7</f>
        <v>243640.36</v>
      </c>
      <c r="T7" s="172">
        <f t="shared" ref="T7" si="9">S7/$F7</f>
        <v>3.3408565479509586E-2</v>
      </c>
      <c r="U7" s="171">
        <v>76932.989999999991</v>
      </c>
      <c r="V7" s="172">
        <f t="shared" ref="V7" si="10">U7/$F7</f>
        <v>1.0549240831648156E-2</v>
      </c>
      <c r="W7" s="171">
        <v>269176.06</v>
      </c>
      <c r="X7" s="172">
        <f t="shared" ref="X7:X27" si="11">W7/$F7</f>
        <v>3.6910083477246551E-2</v>
      </c>
      <c r="Y7" s="171">
        <v>267703.92</v>
      </c>
      <c r="Z7" s="172">
        <f t="shared" ref="Z7:Z27" si="12">Y7/$F7</f>
        <v>3.6708220019217655E-2</v>
      </c>
      <c r="AA7" s="171">
        <v>791291.01</v>
      </c>
      <c r="AB7" s="172">
        <f t="shared" ref="AB7:AB27" si="13">AA7/$F7</f>
        <v>0.10850376974049898</v>
      </c>
      <c r="AC7" s="171">
        <f t="shared" ref="AC7:AC27" si="14">Y7+AA7</f>
        <v>1058994.93</v>
      </c>
      <c r="AD7" s="172">
        <f t="shared" ref="AD7:AD27" si="15">AC7/$F7</f>
        <v>0.14521198975971664</v>
      </c>
      <c r="AE7" s="171">
        <v>1964192.27</v>
      </c>
      <c r="AF7" s="172">
        <f t="shared" ref="AF7:AF27" si="16">AE7/F7</f>
        <v>0.26933487566116543</v>
      </c>
      <c r="AG7" s="171">
        <v>0</v>
      </c>
      <c r="AH7" s="172">
        <f t="shared" ref="AH7:AH27" si="17">AG7/$F7</f>
        <v>0</v>
      </c>
      <c r="AI7" s="171">
        <v>1049909</v>
      </c>
      <c r="AJ7" s="172">
        <f t="shared" ref="AJ7:AJ27" si="18">AI7/$F7</f>
        <v>0.14396610468818233</v>
      </c>
      <c r="AK7" s="171">
        <v>463463.58999999997</v>
      </c>
      <c r="AL7" s="172">
        <f t="shared" ref="AL7:AL27" si="19">AK7/$F7</f>
        <v>6.355126750708949E-2</v>
      </c>
      <c r="AN7" s="72"/>
    </row>
    <row r="8" spans="1:40" s="73" customFormat="1" ht="14.25" customHeight="1">
      <c r="B8" s="580"/>
      <c r="C8" s="583" t="s">
        <v>698</v>
      </c>
      <c r="D8" s="170">
        <v>46204</v>
      </c>
      <c r="E8" s="170" t="s">
        <v>112</v>
      </c>
      <c r="F8" s="320">
        <f t="shared" si="0"/>
        <v>6821172.7800000003</v>
      </c>
      <c r="G8" s="582"/>
      <c r="H8" s="576">
        <f>SUM(F8:F38)</f>
        <v>131301225.98999999</v>
      </c>
      <c r="I8" s="457">
        <v>852518.15</v>
      </c>
      <c r="J8" s="172">
        <f t="shared" si="2"/>
        <v>0.12498116929388205</v>
      </c>
      <c r="K8" s="171">
        <v>1247636.73</v>
      </c>
      <c r="L8" s="172">
        <f t="shared" si="3"/>
        <v>0.18290648400787174</v>
      </c>
      <c r="M8" s="171">
        <f t="shared" si="4"/>
        <v>2100154.88</v>
      </c>
      <c r="N8" s="172">
        <f t="shared" ref="N8" si="20">M8/F8</f>
        <v>0.30788765330175377</v>
      </c>
      <c r="O8" s="171">
        <v>241584.82</v>
      </c>
      <c r="P8" s="172">
        <f t="shared" si="6"/>
        <v>3.5416903777652144E-2</v>
      </c>
      <c r="Q8" s="171">
        <v>0</v>
      </c>
      <c r="R8" s="172">
        <f t="shared" si="7"/>
        <v>0</v>
      </c>
      <c r="S8" s="171">
        <f t="shared" si="8"/>
        <v>241584.82</v>
      </c>
      <c r="T8" s="172">
        <f t="shared" ref="T8" si="21">S8/F8</f>
        <v>3.5416903777652144E-2</v>
      </c>
      <c r="U8" s="171">
        <v>69560.37</v>
      </c>
      <c r="V8" s="172">
        <f t="shared" ref="V8" si="22">U8/F8</f>
        <v>1.0197714123875337E-2</v>
      </c>
      <c r="W8" s="171">
        <v>266298.69</v>
      </c>
      <c r="X8" s="172">
        <f t="shared" si="11"/>
        <v>3.9040015344692675E-2</v>
      </c>
      <c r="Y8" s="171">
        <v>228710.79</v>
      </c>
      <c r="Z8" s="172">
        <f t="shared" si="12"/>
        <v>3.3529540648873576E-2</v>
      </c>
      <c r="AA8" s="171">
        <v>715486.28</v>
      </c>
      <c r="AB8" s="172">
        <f t="shared" si="13"/>
        <v>0.10489197430943832</v>
      </c>
      <c r="AC8" s="171">
        <f t="shared" si="14"/>
        <v>944197.07000000007</v>
      </c>
      <c r="AD8" s="172">
        <f t="shared" si="15"/>
        <v>0.1384215149583119</v>
      </c>
      <c r="AE8" s="171">
        <v>1635986.01</v>
      </c>
      <c r="AF8" s="172">
        <f t="shared" si="16"/>
        <v>0.23983940339361995</v>
      </c>
      <c r="AG8" s="171">
        <v>0</v>
      </c>
      <c r="AH8" s="172">
        <f t="shared" si="17"/>
        <v>0</v>
      </c>
      <c r="AI8" s="171">
        <v>1137140.79</v>
      </c>
      <c r="AJ8" s="172">
        <f t="shared" si="18"/>
        <v>0.1667075188791802</v>
      </c>
      <c r="AK8" s="171">
        <v>426250.15</v>
      </c>
      <c r="AL8" s="172">
        <f t="shared" si="19"/>
        <v>6.2489276220914027E-2</v>
      </c>
      <c r="AN8" s="72"/>
    </row>
    <row r="9" spans="1:40" s="73" customFormat="1" ht="14.25" customHeight="1">
      <c r="B9" s="580"/>
      <c r="C9" s="584"/>
      <c r="D9" s="170">
        <v>46205</v>
      </c>
      <c r="E9" s="170" t="s">
        <v>113</v>
      </c>
      <c r="F9" s="320">
        <f t="shared" si="0"/>
        <v>6343385.2199999997</v>
      </c>
      <c r="G9" s="582"/>
      <c r="H9" s="577"/>
      <c r="I9" s="457">
        <v>841060.58</v>
      </c>
      <c r="J9" s="172">
        <f t="shared" si="2"/>
        <v>0.13258860227315661</v>
      </c>
      <c r="K9" s="171">
        <v>1132330.29</v>
      </c>
      <c r="L9" s="172">
        <f t="shared" si="3"/>
        <v>0.17850567965348951</v>
      </c>
      <c r="M9" s="171">
        <f t="shared" si="4"/>
        <v>1973390.87</v>
      </c>
      <c r="N9" s="172">
        <f t="shared" ref="N9" si="23">M9/$F9</f>
        <v>0.31109428192664612</v>
      </c>
      <c r="O9" s="171">
        <v>241052.02000000002</v>
      </c>
      <c r="P9" s="172">
        <f t="shared" si="6"/>
        <v>3.8000533097058233E-2</v>
      </c>
      <c r="Q9" s="171">
        <v>0</v>
      </c>
      <c r="R9" s="172">
        <f t="shared" si="7"/>
        <v>0</v>
      </c>
      <c r="S9" s="171">
        <f t="shared" si="8"/>
        <v>241052.02000000002</v>
      </c>
      <c r="T9" s="172">
        <f t="shared" ref="T9" si="24">S9/$F9</f>
        <v>3.8000533097058233E-2</v>
      </c>
      <c r="U9" s="171">
        <v>68391.539999999994</v>
      </c>
      <c r="V9" s="172">
        <f t="shared" ref="V9" si="25">U9/$F9</f>
        <v>1.0781552377485912E-2</v>
      </c>
      <c r="W9" s="171">
        <v>263487.44</v>
      </c>
      <c r="X9" s="172">
        <f t="shared" si="11"/>
        <v>4.1537354403332297E-2</v>
      </c>
      <c r="Y9" s="171">
        <v>238868.19</v>
      </c>
      <c r="Z9" s="172">
        <f t="shared" si="12"/>
        <v>3.7656264236779237E-2</v>
      </c>
      <c r="AA9" s="171">
        <v>571313.38</v>
      </c>
      <c r="AB9" s="172">
        <f t="shared" si="13"/>
        <v>9.0064430928569722E-2</v>
      </c>
      <c r="AC9" s="171">
        <f t="shared" si="14"/>
        <v>810181.57000000007</v>
      </c>
      <c r="AD9" s="172">
        <f t="shared" si="15"/>
        <v>0.12772069516534898</v>
      </c>
      <c r="AE9" s="171">
        <v>1417335.47</v>
      </c>
      <c r="AF9" s="172">
        <f t="shared" si="16"/>
        <v>0.22343518812814589</v>
      </c>
      <c r="AG9" s="171">
        <v>0</v>
      </c>
      <c r="AH9" s="172">
        <f t="shared" si="17"/>
        <v>0</v>
      </c>
      <c r="AI9" s="171">
        <v>1172740.2799999998</v>
      </c>
      <c r="AJ9" s="172">
        <f t="shared" si="18"/>
        <v>0.18487609365145885</v>
      </c>
      <c r="AK9" s="171">
        <v>396806.02999999997</v>
      </c>
      <c r="AL9" s="172">
        <f t="shared" si="19"/>
        <v>6.2554301250523761E-2</v>
      </c>
      <c r="AN9" s="72"/>
    </row>
    <row r="10" spans="1:40" s="73" customFormat="1" ht="14.25" customHeight="1">
      <c r="B10" s="580"/>
      <c r="C10" s="584"/>
      <c r="D10" s="170">
        <v>46206</v>
      </c>
      <c r="E10" s="170" t="s">
        <v>114</v>
      </c>
      <c r="F10" s="320">
        <f t="shared" si="0"/>
        <v>5464679.9400000004</v>
      </c>
      <c r="G10" s="582"/>
      <c r="H10" s="577"/>
      <c r="I10" s="457">
        <v>647323.15999999992</v>
      </c>
      <c r="J10" s="172">
        <f t="shared" si="2"/>
        <v>0.11845582305045295</v>
      </c>
      <c r="K10" s="171">
        <v>1011868.26</v>
      </c>
      <c r="L10" s="172">
        <f t="shared" si="3"/>
        <v>0.18516514619518595</v>
      </c>
      <c r="M10" s="171">
        <f t="shared" si="4"/>
        <v>1659191.42</v>
      </c>
      <c r="N10" s="172">
        <f t="shared" ref="N10" si="26">M10/F10</f>
        <v>0.30362096924563892</v>
      </c>
      <c r="O10" s="171">
        <v>189998.62</v>
      </c>
      <c r="P10" s="172">
        <f t="shared" si="6"/>
        <v>3.476848087831471E-2</v>
      </c>
      <c r="Q10" s="171">
        <v>0</v>
      </c>
      <c r="R10" s="172">
        <f t="shared" si="7"/>
        <v>0</v>
      </c>
      <c r="S10" s="171">
        <f t="shared" si="8"/>
        <v>189998.62</v>
      </c>
      <c r="T10" s="172">
        <f t="shared" ref="T10" si="27">S10/F10</f>
        <v>3.476848087831471E-2</v>
      </c>
      <c r="U10" s="171">
        <v>52327.619999999995</v>
      </c>
      <c r="V10" s="172">
        <f t="shared" ref="V10" si="28">U10/F10</f>
        <v>9.5756056300709876E-3</v>
      </c>
      <c r="W10" s="171">
        <v>203624.02000000002</v>
      </c>
      <c r="X10" s="172">
        <f t="shared" si="11"/>
        <v>3.7261838247749236E-2</v>
      </c>
      <c r="Y10" s="171">
        <v>304834.86</v>
      </c>
      <c r="Z10" s="172">
        <f t="shared" si="12"/>
        <v>5.5782747269184071E-2</v>
      </c>
      <c r="AA10" s="171">
        <v>602529.19000000006</v>
      </c>
      <c r="AB10" s="172">
        <f t="shared" si="13"/>
        <v>0.11025882514905347</v>
      </c>
      <c r="AC10" s="171">
        <f t="shared" si="14"/>
        <v>907364.05</v>
      </c>
      <c r="AD10" s="172">
        <f t="shared" si="15"/>
        <v>0.16604157241823755</v>
      </c>
      <c r="AE10" s="171">
        <v>1049930.6099999999</v>
      </c>
      <c r="AF10" s="172">
        <f t="shared" si="16"/>
        <v>0.19213030251136717</v>
      </c>
      <c r="AG10" s="171">
        <v>0</v>
      </c>
      <c r="AH10" s="172">
        <f t="shared" si="17"/>
        <v>0</v>
      </c>
      <c r="AI10" s="171">
        <v>1060721.93</v>
      </c>
      <c r="AJ10" s="172">
        <f t="shared" si="18"/>
        <v>0.19410504213353799</v>
      </c>
      <c r="AK10" s="171">
        <v>341521.67</v>
      </c>
      <c r="AL10" s="172">
        <f t="shared" si="19"/>
        <v>6.2496188935083352E-2</v>
      </c>
      <c r="AN10" s="72"/>
    </row>
    <row r="11" spans="1:40" s="73" customFormat="1" ht="14.25" customHeight="1">
      <c r="B11" s="580"/>
      <c r="C11" s="584"/>
      <c r="D11" s="170">
        <v>46207</v>
      </c>
      <c r="E11" s="170" t="s">
        <v>115</v>
      </c>
      <c r="F11" s="320">
        <f t="shared" si="0"/>
        <v>6007602.6200000001</v>
      </c>
      <c r="G11" s="582"/>
      <c r="H11" s="577"/>
      <c r="I11" s="457">
        <v>628066.32000000007</v>
      </c>
      <c r="J11" s="172">
        <f t="shared" si="2"/>
        <v>0.10454525036477863</v>
      </c>
      <c r="K11" s="171">
        <v>1138095.6600000001</v>
      </c>
      <c r="L11" s="172">
        <f t="shared" si="3"/>
        <v>0.18944256669226903</v>
      </c>
      <c r="M11" s="171">
        <f t="shared" si="4"/>
        <v>1766161.9800000002</v>
      </c>
      <c r="N11" s="172">
        <f t="shared" ref="N11" si="29">M11/$F11</f>
        <v>0.29398781705704763</v>
      </c>
      <c r="O11" s="171">
        <v>182080.84999999998</v>
      </c>
      <c r="P11" s="172">
        <f t="shared" si="6"/>
        <v>3.0308404453022887E-2</v>
      </c>
      <c r="Q11" s="171">
        <v>0</v>
      </c>
      <c r="R11" s="172">
        <f t="shared" si="7"/>
        <v>0</v>
      </c>
      <c r="S11" s="171">
        <f t="shared" si="8"/>
        <v>182080.84999999998</v>
      </c>
      <c r="T11" s="172">
        <f t="shared" ref="T11" si="30">S11/$F11</f>
        <v>3.0308404453022887E-2</v>
      </c>
      <c r="U11" s="171">
        <v>58711.229999999996</v>
      </c>
      <c r="V11" s="172">
        <f t="shared" ref="V11" si="31">U11/$F11</f>
        <v>9.772821824889609E-3</v>
      </c>
      <c r="W11" s="171">
        <v>240534.61000000004</v>
      </c>
      <c r="X11" s="172">
        <f t="shared" si="11"/>
        <v>4.0038368915952041E-2</v>
      </c>
      <c r="Y11" s="171">
        <v>256248.63</v>
      </c>
      <c r="Z11" s="172">
        <f t="shared" si="12"/>
        <v>4.265405790105338E-2</v>
      </c>
      <c r="AA11" s="171">
        <v>720303.38</v>
      </c>
      <c r="AB11" s="172">
        <f t="shared" si="13"/>
        <v>0.11989863936772835</v>
      </c>
      <c r="AC11" s="171">
        <f t="shared" si="14"/>
        <v>976552.01</v>
      </c>
      <c r="AD11" s="172">
        <f t="shared" si="15"/>
        <v>0.16255269726878174</v>
      </c>
      <c r="AE11" s="171">
        <v>1274785.06</v>
      </c>
      <c r="AF11" s="172">
        <f t="shared" si="16"/>
        <v>0.21219530329054953</v>
      </c>
      <c r="AG11" s="171">
        <v>0</v>
      </c>
      <c r="AH11" s="172">
        <f t="shared" si="17"/>
        <v>0</v>
      </c>
      <c r="AI11" s="171">
        <v>1117715.3399999999</v>
      </c>
      <c r="AJ11" s="172">
        <f t="shared" si="18"/>
        <v>0.18605014524079821</v>
      </c>
      <c r="AK11" s="171">
        <v>391061.54</v>
      </c>
      <c r="AL11" s="172">
        <f t="shared" si="19"/>
        <v>6.5094441948958331E-2</v>
      </c>
      <c r="AN11" s="72"/>
    </row>
    <row r="12" spans="1:40" s="73" customFormat="1" ht="14.25" customHeight="1">
      <c r="B12" s="580"/>
      <c r="C12" s="584"/>
      <c r="D12" s="170">
        <v>46208</v>
      </c>
      <c r="E12" s="170" t="s">
        <v>116</v>
      </c>
      <c r="F12" s="320">
        <f t="shared" si="0"/>
        <v>7429288.9299999997</v>
      </c>
      <c r="G12" s="582"/>
      <c r="H12" s="577"/>
      <c r="I12" s="457">
        <v>898860.55</v>
      </c>
      <c r="J12" s="172">
        <f t="shared" si="2"/>
        <v>0.12098877274382706</v>
      </c>
      <c r="K12" s="171">
        <v>1280412.9099999999</v>
      </c>
      <c r="L12" s="172">
        <f t="shared" si="3"/>
        <v>0.172346629948608</v>
      </c>
      <c r="M12" s="171">
        <f t="shared" si="4"/>
        <v>2179273.46</v>
      </c>
      <c r="N12" s="172">
        <f t="shared" ref="N12" si="32">M12/F12</f>
        <v>0.29333540269243508</v>
      </c>
      <c r="O12" s="171">
        <v>252783.55</v>
      </c>
      <c r="P12" s="172">
        <f t="shared" si="6"/>
        <v>3.4025268418252243E-2</v>
      </c>
      <c r="Q12" s="171">
        <v>0</v>
      </c>
      <c r="R12" s="172">
        <f t="shared" si="7"/>
        <v>0</v>
      </c>
      <c r="S12" s="171">
        <f t="shared" si="8"/>
        <v>252783.55</v>
      </c>
      <c r="T12" s="172">
        <f t="shared" ref="T12" si="33">S12/F12</f>
        <v>3.4025268418252243E-2</v>
      </c>
      <c r="U12" s="171">
        <v>83136.78</v>
      </c>
      <c r="V12" s="172">
        <f t="shared" ref="V12" si="34">U12/F12</f>
        <v>1.1190408770385513E-2</v>
      </c>
      <c r="W12" s="171">
        <v>262650.2</v>
      </c>
      <c r="X12" s="172">
        <f t="shared" si="11"/>
        <v>3.5353343028482809E-2</v>
      </c>
      <c r="Y12" s="171">
        <v>291573.81</v>
      </c>
      <c r="Z12" s="172">
        <f t="shared" si="12"/>
        <v>3.9246529882907652E-2</v>
      </c>
      <c r="AA12" s="171">
        <v>778259.37999999989</v>
      </c>
      <c r="AB12" s="172">
        <f t="shared" si="13"/>
        <v>0.10475556777140985</v>
      </c>
      <c r="AC12" s="171">
        <f t="shared" si="14"/>
        <v>1069833.19</v>
      </c>
      <c r="AD12" s="172">
        <f t="shared" si="15"/>
        <v>0.14400209765431751</v>
      </c>
      <c r="AE12" s="171">
        <v>1901796.5699999998</v>
      </c>
      <c r="AF12" s="172">
        <f t="shared" si="16"/>
        <v>0.25598635184592289</v>
      </c>
      <c r="AG12" s="171">
        <v>0</v>
      </c>
      <c r="AH12" s="172">
        <f t="shared" si="17"/>
        <v>0</v>
      </c>
      <c r="AI12" s="171">
        <v>1246032.0899999999</v>
      </c>
      <c r="AJ12" s="172">
        <f t="shared" si="18"/>
        <v>0.16771888961922496</v>
      </c>
      <c r="AK12" s="171">
        <v>433783.09</v>
      </c>
      <c r="AL12" s="172">
        <f t="shared" si="19"/>
        <v>5.8388237970979015E-2</v>
      </c>
      <c r="AN12" s="72"/>
    </row>
    <row r="13" spans="1:40" s="73" customFormat="1" ht="14.25" customHeight="1">
      <c r="B13" s="581"/>
      <c r="C13" s="584"/>
      <c r="D13" s="170">
        <v>46209</v>
      </c>
      <c r="E13" s="170" t="s">
        <v>117</v>
      </c>
      <c r="F13" s="320">
        <f t="shared" si="0"/>
        <v>7038286.0199999996</v>
      </c>
      <c r="G13" s="582"/>
      <c r="H13" s="577"/>
      <c r="I13" s="457">
        <v>885803.67999999993</v>
      </c>
      <c r="J13" s="172">
        <f t="shared" si="2"/>
        <v>0.12585502741475688</v>
      </c>
      <c r="K13" s="171">
        <v>1266607.53</v>
      </c>
      <c r="L13" s="172">
        <f t="shared" si="3"/>
        <v>0.17995965585950996</v>
      </c>
      <c r="M13" s="171">
        <f t="shared" si="4"/>
        <v>2152411.21</v>
      </c>
      <c r="N13" s="172">
        <f t="shared" ref="N13:N14" si="35">M13/$F13</f>
        <v>0.30581468327426686</v>
      </c>
      <c r="O13" s="171">
        <v>250345.34999999998</v>
      </c>
      <c r="P13" s="172">
        <f t="shared" si="6"/>
        <v>3.5569078791145799E-2</v>
      </c>
      <c r="Q13" s="171">
        <v>0</v>
      </c>
      <c r="R13" s="172">
        <f t="shared" si="7"/>
        <v>0</v>
      </c>
      <c r="S13" s="171">
        <f t="shared" si="8"/>
        <v>250345.34999999998</v>
      </c>
      <c r="T13" s="172">
        <f t="shared" ref="T13:T14" si="36">S13/$F13</f>
        <v>3.5569078791145799E-2</v>
      </c>
      <c r="U13" s="171">
        <v>77682.239999999991</v>
      </c>
      <c r="V13" s="172">
        <f t="shared" ref="V13:V14" si="37">U13/$F13</f>
        <v>1.1037096216217708E-2</v>
      </c>
      <c r="W13" s="171">
        <v>286246.63</v>
      </c>
      <c r="X13" s="172">
        <f t="shared" si="11"/>
        <v>4.0669934297441354E-2</v>
      </c>
      <c r="Y13" s="171">
        <v>242197.56</v>
      </c>
      <c r="Z13" s="172">
        <f t="shared" si="12"/>
        <v>3.4411440414863957E-2</v>
      </c>
      <c r="AA13" s="171">
        <v>759357.09000000008</v>
      </c>
      <c r="AB13" s="172">
        <f t="shared" si="13"/>
        <v>0.10788949011765227</v>
      </c>
      <c r="AC13" s="171">
        <f t="shared" si="14"/>
        <v>1001554.6500000001</v>
      </c>
      <c r="AD13" s="172">
        <f t="shared" si="15"/>
        <v>0.14230093053251625</v>
      </c>
      <c r="AE13" s="171">
        <v>1659551.49</v>
      </c>
      <c r="AF13" s="172">
        <f t="shared" si="16"/>
        <v>0.23578915168895057</v>
      </c>
      <c r="AG13" s="171">
        <v>0</v>
      </c>
      <c r="AH13" s="172">
        <f t="shared" si="17"/>
        <v>0</v>
      </c>
      <c r="AI13" s="171">
        <v>1152323.1800000002</v>
      </c>
      <c r="AJ13" s="172">
        <f t="shared" si="18"/>
        <v>0.1637221301785062</v>
      </c>
      <c r="AK13" s="171">
        <v>458171.27</v>
      </c>
      <c r="AL13" s="172">
        <f t="shared" si="19"/>
        <v>6.5096995020955409E-2</v>
      </c>
      <c r="AN13" s="72"/>
    </row>
    <row r="14" spans="1:40" s="73" customFormat="1" ht="14.25" customHeight="1">
      <c r="B14" s="579">
        <f>D15+7</f>
        <v>46218</v>
      </c>
      <c r="C14" s="584"/>
      <c r="D14" s="170">
        <v>46210</v>
      </c>
      <c r="E14" s="170" t="s">
        <v>118</v>
      </c>
      <c r="F14" s="320">
        <f t="shared" si="0"/>
        <v>7860603.3600000013</v>
      </c>
      <c r="G14" s="582">
        <f>SUM(F14:F20)</f>
        <v>48409401.950000003</v>
      </c>
      <c r="H14" s="577"/>
      <c r="I14" s="171">
        <v>880930.33000000007</v>
      </c>
      <c r="J14" s="172">
        <f t="shared" si="2"/>
        <v>0.11206904733073822</v>
      </c>
      <c r="K14" s="171">
        <v>1233744.4300000004</v>
      </c>
      <c r="L14" s="172">
        <f t="shared" si="3"/>
        <v>0.15695289197240456</v>
      </c>
      <c r="M14" s="171">
        <f t="shared" si="4"/>
        <v>2114674.7600000007</v>
      </c>
      <c r="N14" s="172">
        <f t="shared" si="35"/>
        <v>0.26902193930314278</v>
      </c>
      <c r="O14" s="171">
        <v>249319.47</v>
      </c>
      <c r="P14" s="172">
        <f t="shared" si="6"/>
        <v>3.1717599601667215E-2</v>
      </c>
      <c r="Q14" s="171">
        <v>0</v>
      </c>
      <c r="R14" s="172">
        <f t="shared" si="7"/>
        <v>0</v>
      </c>
      <c r="S14" s="171">
        <f t="shared" si="8"/>
        <v>249319.47</v>
      </c>
      <c r="T14" s="172">
        <f t="shared" si="36"/>
        <v>3.1717599601667215E-2</v>
      </c>
      <c r="U14" s="171">
        <v>346715.9</v>
      </c>
      <c r="V14" s="172">
        <f t="shared" si="37"/>
        <v>4.4108051776829506E-2</v>
      </c>
      <c r="W14" s="171">
        <v>263397.84999999998</v>
      </c>
      <c r="X14" s="172">
        <f t="shared" si="11"/>
        <v>3.3508604611745721E-2</v>
      </c>
      <c r="Y14" s="171">
        <v>682575.13</v>
      </c>
      <c r="Z14" s="172">
        <f t="shared" si="12"/>
        <v>8.6834953850158381E-2</v>
      </c>
      <c r="AA14" s="171">
        <v>734119.83000000007</v>
      </c>
      <c r="AB14" s="172">
        <f t="shared" si="13"/>
        <v>9.3392300358989225E-2</v>
      </c>
      <c r="AC14" s="171">
        <f t="shared" si="14"/>
        <v>1416694.96</v>
      </c>
      <c r="AD14" s="172">
        <f t="shared" si="15"/>
        <v>0.18022725420914759</v>
      </c>
      <c r="AE14" s="171">
        <v>1550480.35</v>
      </c>
      <c r="AF14" s="172">
        <f t="shared" si="16"/>
        <v>0.1972469897018185</v>
      </c>
      <c r="AG14" s="171">
        <v>0</v>
      </c>
      <c r="AH14" s="172">
        <f t="shared" si="17"/>
        <v>0</v>
      </c>
      <c r="AI14" s="171">
        <v>1479142.7399999998</v>
      </c>
      <c r="AJ14" s="172">
        <f t="shared" si="18"/>
        <v>0.18817165454841109</v>
      </c>
      <c r="AK14" s="171">
        <v>440177.33</v>
      </c>
      <c r="AL14" s="172">
        <f t="shared" si="19"/>
        <v>5.5997906247237481E-2</v>
      </c>
      <c r="AN14" s="72"/>
    </row>
    <row r="15" spans="1:40" s="73" customFormat="1" ht="14.25" customHeight="1">
      <c r="B15" s="580"/>
      <c r="C15" s="584"/>
      <c r="D15" s="170">
        <v>46211</v>
      </c>
      <c r="E15" s="170" t="s">
        <v>112</v>
      </c>
      <c r="F15" s="320">
        <f t="shared" si="0"/>
        <v>7229874.9699999988</v>
      </c>
      <c r="G15" s="582"/>
      <c r="H15" s="577"/>
      <c r="I15" s="171">
        <v>854165.3899999999</v>
      </c>
      <c r="J15" s="172">
        <f t="shared" si="2"/>
        <v>0.11814386743122338</v>
      </c>
      <c r="K15" s="171">
        <v>1144811.96</v>
      </c>
      <c r="L15" s="172">
        <f t="shared" si="3"/>
        <v>0.15834464147033517</v>
      </c>
      <c r="M15" s="171">
        <f t="shared" si="4"/>
        <v>1998977.3499999999</v>
      </c>
      <c r="N15" s="172">
        <f t="shared" ref="N15" si="38">M15/F15</f>
        <v>0.27648850890155852</v>
      </c>
      <c r="O15" s="171">
        <v>246302.58000000002</v>
      </c>
      <c r="P15" s="172">
        <f t="shared" si="6"/>
        <v>3.4067336021994868E-2</v>
      </c>
      <c r="Q15" s="171">
        <v>0</v>
      </c>
      <c r="R15" s="172">
        <f t="shared" si="7"/>
        <v>0</v>
      </c>
      <c r="S15" s="171">
        <f t="shared" si="8"/>
        <v>246302.58000000002</v>
      </c>
      <c r="T15" s="172">
        <f t="shared" ref="T15" si="39">S15/F15</f>
        <v>3.4067336021994868E-2</v>
      </c>
      <c r="U15" s="171">
        <v>229547.26</v>
      </c>
      <c r="V15" s="172">
        <f t="shared" ref="V15" si="40">U15/F15</f>
        <v>3.1749824298828784E-2</v>
      </c>
      <c r="W15" s="171">
        <v>255314.84000000003</v>
      </c>
      <c r="X15" s="172">
        <f t="shared" si="11"/>
        <v>3.5313866568843312E-2</v>
      </c>
      <c r="Y15" s="171">
        <v>535980.38</v>
      </c>
      <c r="Z15" s="172">
        <f t="shared" si="12"/>
        <v>7.4134114659523645E-2</v>
      </c>
      <c r="AA15" s="171">
        <v>722118.41</v>
      </c>
      <c r="AB15" s="172">
        <f t="shared" si="13"/>
        <v>9.9879792250404595E-2</v>
      </c>
      <c r="AC15" s="171">
        <f t="shared" si="14"/>
        <v>1258098.79</v>
      </c>
      <c r="AD15" s="172">
        <f t="shared" si="15"/>
        <v>0.17401390690992824</v>
      </c>
      <c r="AE15" s="171">
        <v>1457285.7999999998</v>
      </c>
      <c r="AF15" s="172">
        <f t="shared" si="16"/>
        <v>0.20156445388709124</v>
      </c>
      <c r="AG15" s="171">
        <v>0</v>
      </c>
      <c r="AH15" s="172">
        <f t="shared" si="17"/>
        <v>0</v>
      </c>
      <c r="AI15" s="171">
        <v>1356785.8499999999</v>
      </c>
      <c r="AJ15" s="172">
        <f t="shared" si="18"/>
        <v>0.18766380547795283</v>
      </c>
      <c r="AK15" s="171">
        <v>427562.5</v>
      </c>
      <c r="AL15" s="172">
        <f t="shared" si="19"/>
        <v>5.9138297933802313E-2</v>
      </c>
      <c r="AN15" s="72"/>
    </row>
    <row r="16" spans="1:40" s="73" customFormat="1" ht="14.25" customHeight="1">
      <c r="B16" s="580"/>
      <c r="C16" s="584"/>
      <c r="D16" s="170">
        <v>46212</v>
      </c>
      <c r="E16" s="170" t="s">
        <v>113</v>
      </c>
      <c r="F16" s="320">
        <f t="shared" si="0"/>
        <v>6763681.4199999999</v>
      </c>
      <c r="G16" s="582"/>
      <c r="H16" s="577"/>
      <c r="I16" s="171">
        <v>765228.92999999993</v>
      </c>
      <c r="J16" s="172">
        <f t="shared" si="2"/>
        <v>0.11313793221207039</v>
      </c>
      <c r="K16" s="171">
        <v>992416.55999999994</v>
      </c>
      <c r="L16" s="172">
        <f t="shared" si="3"/>
        <v>0.14672727740627381</v>
      </c>
      <c r="M16" s="171">
        <f t="shared" si="4"/>
        <v>1757645.4899999998</v>
      </c>
      <c r="N16" s="172">
        <f t="shared" ref="N16" si="41">M16/$F16</f>
        <v>0.2598652096183442</v>
      </c>
      <c r="O16" s="171">
        <v>228745.53</v>
      </c>
      <c r="P16" s="172">
        <f t="shared" si="6"/>
        <v>3.3819678337244925E-2</v>
      </c>
      <c r="Q16" s="171">
        <v>0</v>
      </c>
      <c r="R16" s="172">
        <f t="shared" si="7"/>
        <v>0</v>
      </c>
      <c r="S16" s="171">
        <f t="shared" si="8"/>
        <v>228745.53</v>
      </c>
      <c r="T16" s="172">
        <f t="shared" ref="T16" si="42">S16/$F16</f>
        <v>3.3819678337244925E-2</v>
      </c>
      <c r="U16" s="171">
        <v>212758.88</v>
      </c>
      <c r="V16" s="172">
        <f t="shared" ref="V16" si="43">U16/$F16</f>
        <v>3.1456076474991636E-2</v>
      </c>
      <c r="W16" s="171">
        <v>247015.87000000002</v>
      </c>
      <c r="X16" s="172">
        <f t="shared" si="11"/>
        <v>3.6520920288998476E-2</v>
      </c>
      <c r="Y16" s="171">
        <v>496231.16000000003</v>
      </c>
      <c r="Z16" s="172">
        <f t="shared" si="12"/>
        <v>7.3367021476301295E-2</v>
      </c>
      <c r="AA16" s="171">
        <v>668808.42000000004</v>
      </c>
      <c r="AB16" s="172">
        <f t="shared" si="13"/>
        <v>9.888230661224727E-2</v>
      </c>
      <c r="AC16" s="171">
        <f t="shared" si="14"/>
        <v>1165039.58</v>
      </c>
      <c r="AD16" s="172">
        <f t="shared" si="15"/>
        <v>0.17224932808854856</v>
      </c>
      <c r="AE16" s="171">
        <v>1456308.1400000001</v>
      </c>
      <c r="AF16" s="172">
        <f t="shared" si="16"/>
        <v>0.21531294121774294</v>
      </c>
      <c r="AG16" s="171">
        <v>0</v>
      </c>
      <c r="AH16" s="172">
        <f t="shared" si="17"/>
        <v>0</v>
      </c>
      <c r="AI16" s="171">
        <v>1250972.55</v>
      </c>
      <c r="AJ16" s="172">
        <f t="shared" si="18"/>
        <v>0.18495438686702664</v>
      </c>
      <c r="AK16" s="171">
        <v>445195.38</v>
      </c>
      <c r="AL16" s="172">
        <f t="shared" si="19"/>
        <v>6.5821459107102659E-2</v>
      </c>
      <c r="AN16" s="72"/>
    </row>
    <row r="17" spans="2:40" s="73" customFormat="1" ht="14.25" customHeight="1">
      <c r="B17" s="580"/>
      <c r="C17" s="584"/>
      <c r="D17" s="170">
        <v>46213</v>
      </c>
      <c r="E17" s="170" t="s">
        <v>114</v>
      </c>
      <c r="F17" s="320">
        <f t="shared" si="0"/>
        <v>5383246.2599999998</v>
      </c>
      <c r="G17" s="582"/>
      <c r="H17" s="577"/>
      <c r="I17" s="171">
        <v>579909.59000000008</v>
      </c>
      <c r="J17" s="172">
        <f t="shared" si="2"/>
        <v>0.10772488606159364</v>
      </c>
      <c r="K17" s="171">
        <v>866974.10000000009</v>
      </c>
      <c r="L17" s="172">
        <f t="shared" si="3"/>
        <v>0.16105042536174077</v>
      </c>
      <c r="M17" s="171">
        <f t="shared" si="4"/>
        <v>1446883.6900000002</v>
      </c>
      <c r="N17" s="172">
        <f t="shared" ref="N17" si="44">M17/F17</f>
        <v>0.26877531142333438</v>
      </c>
      <c r="O17" s="171">
        <v>178415.97000000003</v>
      </c>
      <c r="P17" s="172">
        <f t="shared" si="6"/>
        <v>3.3142821521228355E-2</v>
      </c>
      <c r="Q17" s="171">
        <v>0</v>
      </c>
      <c r="R17" s="172">
        <f t="shared" si="7"/>
        <v>0</v>
      </c>
      <c r="S17" s="171">
        <f t="shared" si="8"/>
        <v>178415.97000000003</v>
      </c>
      <c r="T17" s="172">
        <f t="shared" ref="T17" si="45">S17/F17</f>
        <v>3.3142821521228355E-2</v>
      </c>
      <c r="U17" s="171">
        <v>182945.39</v>
      </c>
      <c r="V17" s="172">
        <f t="shared" ref="V17" si="46">U17/F17</f>
        <v>3.3984213458590692E-2</v>
      </c>
      <c r="W17" s="171">
        <v>183686.99</v>
      </c>
      <c r="X17" s="172">
        <f t="shared" si="11"/>
        <v>3.4121974200749271E-2</v>
      </c>
      <c r="Y17" s="171">
        <v>384734.26</v>
      </c>
      <c r="Z17" s="172">
        <f t="shared" si="12"/>
        <v>7.1468820376796222E-2</v>
      </c>
      <c r="AA17" s="171">
        <v>584000.57999999996</v>
      </c>
      <c r="AB17" s="172">
        <f t="shared" si="13"/>
        <v>0.10848483457637696</v>
      </c>
      <c r="AC17" s="171">
        <f t="shared" si="14"/>
        <v>968734.84</v>
      </c>
      <c r="AD17" s="172">
        <f t="shared" si="15"/>
        <v>0.17995365495317317</v>
      </c>
      <c r="AE17" s="171">
        <v>1171330.49</v>
      </c>
      <c r="AF17" s="172">
        <f t="shared" si="16"/>
        <v>0.21758813054931656</v>
      </c>
      <c r="AG17" s="171">
        <v>0</v>
      </c>
      <c r="AH17" s="172">
        <f t="shared" si="17"/>
        <v>0</v>
      </c>
      <c r="AI17" s="171">
        <v>917881.72</v>
      </c>
      <c r="AJ17" s="172">
        <f t="shared" si="18"/>
        <v>0.17050710215883752</v>
      </c>
      <c r="AK17" s="171">
        <v>333367.17</v>
      </c>
      <c r="AL17" s="172">
        <f t="shared" si="19"/>
        <v>6.1926791734770087E-2</v>
      </c>
      <c r="AN17" s="72"/>
    </row>
    <row r="18" spans="2:40" s="73" customFormat="1" ht="14.25" customHeight="1">
      <c r="B18" s="580"/>
      <c r="C18" s="584"/>
      <c r="D18" s="170">
        <v>46214</v>
      </c>
      <c r="E18" s="170" t="s">
        <v>115</v>
      </c>
      <c r="F18" s="320">
        <f t="shared" si="0"/>
        <v>6085802.3499999996</v>
      </c>
      <c r="G18" s="582"/>
      <c r="H18" s="577"/>
      <c r="I18" s="171">
        <v>575469.14999999991</v>
      </c>
      <c r="J18" s="172">
        <f t="shared" si="2"/>
        <v>9.4559290115624597E-2</v>
      </c>
      <c r="K18" s="171">
        <v>1056890.1599999999</v>
      </c>
      <c r="L18" s="172">
        <f t="shared" si="3"/>
        <v>0.17366488413807918</v>
      </c>
      <c r="M18" s="171">
        <f t="shared" si="4"/>
        <v>1632359.3099999998</v>
      </c>
      <c r="N18" s="172">
        <f t="shared" ref="N18" si="47">M18/$F18</f>
        <v>0.26822417425370376</v>
      </c>
      <c r="O18" s="171">
        <v>180329.65999999997</v>
      </c>
      <c r="P18" s="172">
        <f t="shared" si="6"/>
        <v>2.9631205489281127E-2</v>
      </c>
      <c r="Q18" s="171">
        <v>0</v>
      </c>
      <c r="R18" s="172">
        <f t="shared" si="7"/>
        <v>0</v>
      </c>
      <c r="S18" s="171">
        <f t="shared" si="8"/>
        <v>180329.65999999997</v>
      </c>
      <c r="T18" s="172">
        <f t="shared" ref="T18" si="48">S18/$F18</f>
        <v>2.9631205489281127E-2</v>
      </c>
      <c r="U18" s="171">
        <v>224454.94999999998</v>
      </c>
      <c r="V18" s="172">
        <f t="shared" ref="V18" si="49">U18/$F18</f>
        <v>3.6881735076394653E-2</v>
      </c>
      <c r="W18" s="171">
        <v>209800.09000000003</v>
      </c>
      <c r="X18" s="172">
        <f t="shared" si="11"/>
        <v>3.4473694335472468E-2</v>
      </c>
      <c r="Y18" s="171">
        <v>453560.67000000004</v>
      </c>
      <c r="Z18" s="172">
        <f t="shared" si="12"/>
        <v>7.4527670127177245E-2</v>
      </c>
      <c r="AA18" s="171">
        <v>671874.37</v>
      </c>
      <c r="AB18" s="172">
        <f t="shared" si="13"/>
        <v>0.11040029421921664</v>
      </c>
      <c r="AC18" s="171">
        <f t="shared" si="14"/>
        <v>1125435.04</v>
      </c>
      <c r="AD18" s="172">
        <f t="shared" si="15"/>
        <v>0.18492796434639389</v>
      </c>
      <c r="AE18" s="171">
        <v>1269917.0900000001</v>
      </c>
      <c r="AF18" s="172">
        <f t="shared" si="16"/>
        <v>0.20866880272574087</v>
      </c>
      <c r="AG18" s="171">
        <v>0</v>
      </c>
      <c r="AH18" s="172">
        <f t="shared" si="17"/>
        <v>0</v>
      </c>
      <c r="AI18" s="171">
        <v>1068018.8399999999</v>
      </c>
      <c r="AJ18" s="172">
        <f t="shared" si="18"/>
        <v>0.17549351401463112</v>
      </c>
      <c r="AK18" s="171">
        <v>375487.37</v>
      </c>
      <c r="AL18" s="172">
        <f t="shared" si="19"/>
        <v>6.1698909758382152E-2</v>
      </c>
      <c r="AN18" s="72"/>
    </row>
    <row r="19" spans="2:40" s="73" customFormat="1" ht="14.25" customHeight="1">
      <c r="B19" s="580"/>
      <c r="C19" s="584"/>
      <c r="D19" s="170">
        <v>46215</v>
      </c>
      <c r="E19" s="170" t="s">
        <v>116</v>
      </c>
      <c r="F19" s="320">
        <f t="shared" si="0"/>
        <v>7790002.0999999996</v>
      </c>
      <c r="G19" s="582"/>
      <c r="H19" s="577"/>
      <c r="I19" s="171">
        <v>825821.42000000027</v>
      </c>
      <c r="J19" s="172">
        <f t="shared" si="2"/>
        <v>0.10601042328345461</v>
      </c>
      <c r="K19" s="171">
        <v>1163118.6299999999</v>
      </c>
      <c r="L19" s="172">
        <f t="shared" si="3"/>
        <v>0.14930915487172974</v>
      </c>
      <c r="M19" s="171">
        <f t="shared" si="4"/>
        <v>1988940.0500000003</v>
      </c>
      <c r="N19" s="172">
        <f t="shared" ref="N19" si="50">M19/F19</f>
        <v>0.25531957815518436</v>
      </c>
      <c r="O19" s="171">
        <v>241261.93000000002</v>
      </c>
      <c r="P19" s="172">
        <f t="shared" si="6"/>
        <v>3.0970714372464681E-2</v>
      </c>
      <c r="Q19" s="171">
        <v>0</v>
      </c>
      <c r="R19" s="172">
        <f t="shared" si="7"/>
        <v>0</v>
      </c>
      <c r="S19" s="171">
        <f t="shared" si="8"/>
        <v>241261.93000000002</v>
      </c>
      <c r="T19" s="172">
        <f t="shared" ref="T19" si="51">S19/F19</f>
        <v>3.0970714372464681E-2</v>
      </c>
      <c r="U19" s="171">
        <v>263001.55</v>
      </c>
      <c r="V19" s="172">
        <f t="shared" ref="V19" si="52">U19/F19</f>
        <v>3.3761422220925971E-2</v>
      </c>
      <c r="W19" s="171">
        <v>231269.79</v>
      </c>
      <c r="X19" s="172">
        <f t="shared" si="11"/>
        <v>2.9688026656629531E-2</v>
      </c>
      <c r="Y19" s="171">
        <v>588890.14</v>
      </c>
      <c r="Z19" s="172">
        <f t="shared" si="12"/>
        <v>7.5595633023000083E-2</v>
      </c>
      <c r="AA19" s="171">
        <v>823525.12999999989</v>
      </c>
      <c r="AB19" s="172">
        <f t="shared" si="13"/>
        <v>0.10571564929359903</v>
      </c>
      <c r="AC19" s="171">
        <f t="shared" si="14"/>
        <v>1412415.27</v>
      </c>
      <c r="AD19" s="172">
        <f t="shared" si="15"/>
        <v>0.18131128231659913</v>
      </c>
      <c r="AE19" s="171">
        <v>1954760.6299999997</v>
      </c>
      <c r="AF19" s="172">
        <f t="shared" si="16"/>
        <v>0.25093197728406258</v>
      </c>
      <c r="AG19" s="171">
        <v>0</v>
      </c>
      <c r="AH19" s="172">
        <f t="shared" si="17"/>
        <v>0</v>
      </c>
      <c r="AI19" s="171">
        <v>1247470.8399999999</v>
      </c>
      <c r="AJ19" s="172">
        <f t="shared" si="18"/>
        <v>0.16013742024536809</v>
      </c>
      <c r="AK19" s="171">
        <v>450882.04000000004</v>
      </c>
      <c r="AL19" s="172">
        <f t="shared" si="19"/>
        <v>5.7879578748765682E-2</v>
      </c>
      <c r="AN19" s="72"/>
    </row>
    <row r="20" spans="2:40" s="73" customFormat="1" ht="14.25" customHeight="1">
      <c r="B20" s="581"/>
      <c r="C20" s="584"/>
      <c r="D20" s="170">
        <v>46216</v>
      </c>
      <c r="E20" s="170" t="s">
        <v>117</v>
      </c>
      <c r="F20" s="320">
        <f t="shared" si="0"/>
        <v>7296191.4900000002</v>
      </c>
      <c r="G20" s="582"/>
      <c r="H20" s="577"/>
      <c r="I20" s="171">
        <v>807393.35000000009</v>
      </c>
      <c r="J20" s="172">
        <f t="shared" si="2"/>
        <v>0.11065956137617765</v>
      </c>
      <c r="K20" s="171">
        <v>1127879.18</v>
      </c>
      <c r="L20" s="172">
        <f t="shared" si="3"/>
        <v>0.15458464618778803</v>
      </c>
      <c r="M20" s="171">
        <f t="shared" si="4"/>
        <v>1935272.53</v>
      </c>
      <c r="N20" s="172">
        <f t="shared" ref="N20:N21" si="53">M20/$F20</f>
        <v>0.26524420756396566</v>
      </c>
      <c r="O20" s="171">
        <v>239605.71000000002</v>
      </c>
      <c r="P20" s="172">
        <f t="shared" si="6"/>
        <v>3.2839832990731996E-2</v>
      </c>
      <c r="Q20" s="171">
        <v>0</v>
      </c>
      <c r="R20" s="172">
        <f t="shared" si="7"/>
        <v>0</v>
      </c>
      <c r="S20" s="171">
        <f t="shared" si="8"/>
        <v>239605.71000000002</v>
      </c>
      <c r="T20" s="172">
        <f t="shared" ref="T20:T21" si="54">S20/$F20</f>
        <v>3.2839832990731996E-2</v>
      </c>
      <c r="U20" s="171">
        <v>218053.58000000002</v>
      </c>
      <c r="V20" s="172">
        <f t="shared" ref="V20:V21" si="55">U20/$F20</f>
        <v>2.9885945331733613E-2</v>
      </c>
      <c r="W20" s="171">
        <v>252968.04000000004</v>
      </c>
      <c r="X20" s="172">
        <f t="shared" si="11"/>
        <v>3.467124462765437E-2</v>
      </c>
      <c r="Y20" s="171">
        <v>496197.77</v>
      </c>
      <c r="Z20" s="172">
        <f t="shared" si="12"/>
        <v>6.80077778495915E-2</v>
      </c>
      <c r="AA20" s="171">
        <v>837797.55999999994</v>
      </c>
      <c r="AB20" s="172">
        <f t="shared" si="13"/>
        <v>0.11482669570121164</v>
      </c>
      <c r="AC20" s="171">
        <f t="shared" si="14"/>
        <v>1333995.33</v>
      </c>
      <c r="AD20" s="172">
        <f t="shared" si="15"/>
        <v>0.18283447355080315</v>
      </c>
      <c r="AE20" s="171">
        <v>1711630.5999999999</v>
      </c>
      <c r="AF20" s="172">
        <f t="shared" si="16"/>
        <v>0.23459233524036796</v>
      </c>
      <c r="AG20" s="171">
        <v>0</v>
      </c>
      <c r="AH20" s="172">
        <f t="shared" si="17"/>
        <v>0</v>
      </c>
      <c r="AI20" s="171">
        <v>1115033.67</v>
      </c>
      <c r="AJ20" s="172">
        <f t="shared" si="18"/>
        <v>0.15282406876632015</v>
      </c>
      <c r="AK20" s="171">
        <v>489632.03</v>
      </c>
      <c r="AL20" s="172">
        <f t="shared" si="19"/>
        <v>6.7107891928423063E-2</v>
      </c>
      <c r="AN20" s="72"/>
    </row>
    <row r="21" spans="2:40" s="73" customFormat="1" ht="14.25" customHeight="1">
      <c r="B21" s="579">
        <f>D22+7</f>
        <v>46225</v>
      </c>
      <c r="C21" s="584"/>
      <c r="D21" s="170">
        <v>46217</v>
      </c>
      <c r="E21" s="170" t="s">
        <v>118</v>
      </c>
      <c r="F21" s="320">
        <f t="shared" si="0"/>
        <v>6870172.4199999999</v>
      </c>
      <c r="G21" s="582">
        <f t="shared" ref="G21" si="56">SUM(F21:F27)</f>
        <v>43787408.530000001</v>
      </c>
      <c r="H21" s="577"/>
      <c r="I21" s="171">
        <v>933663.58000000007</v>
      </c>
      <c r="J21" s="172">
        <f t="shared" si="2"/>
        <v>0.13590104045743878</v>
      </c>
      <c r="K21" s="171">
        <v>1079108.68</v>
      </c>
      <c r="L21" s="172">
        <f t="shared" si="3"/>
        <v>0.1570715571647909</v>
      </c>
      <c r="M21" s="171">
        <f t="shared" si="4"/>
        <v>2012772.26</v>
      </c>
      <c r="N21" s="172">
        <f t="shared" si="53"/>
        <v>0.29297259762222971</v>
      </c>
      <c r="O21" s="171">
        <v>235295.28</v>
      </c>
      <c r="P21" s="172">
        <f t="shared" si="6"/>
        <v>3.4248817295330705E-2</v>
      </c>
      <c r="Q21" s="171">
        <v>0</v>
      </c>
      <c r="R21" s="172">
        <f t="shared" si="7"/>
        <v>0</v>
      </c>
      <c r="S21" s="171">
        <f t="shared" si="8"/>
        <v>235295.28</v>
      </c>
      <c r="T21" s="172">
        <f t="shared" si="54"/>
        <v>3.4248817295330705E-2</v>
      </c>
      <c r="U21" s="171">
        <v>181053.58000000002</v>
      </c>
      <c r="V21" s="172">
        <f t="shared" si="55"/>
        <v>2.6353571487220406E-2</v>
      </c>
      <c r="W21" s="171">
        <v>237786.15000000002</v>
      </c>
      <c r="X21" s="172">
        <f t="shared" si="11"/>
        <v>3.461138024829951E-2</v>
      </c>
      <c r="Y21" s="171">
        <v>440755.01</v>
      </c>
      <c r="Z21" s="172">
        <f t="shared" si="12"/>
        <v>6.4154868765287851E-2</v>
      </c>
      <c r="AA21" s="171">
        <v>668894.01</v>
      </c>
      <c r="AB21" s="172">
        <f t="shared" si="13"/>
        <v>9.736204116984884E-2</v>
      </c>
      <c r="AC21" s="171">
        <f t="shared" si="14"/>
        <v>1109649.02</v>
      </c>
      <c r="AD21" s="172">
        <f t="shared" si="15"/>
        <v>0.16151690993513668</v>
      </c>
      <c r="AE21" s="171">
        <v>1680304.22</v>
      </c>
      <c r="AF21" s="172">
        <f t="shared" si="16"/>
        <v>0.2445796287598849</v>
      </c>
      <c r="AG21" s="171">
        <v>0</v>
      </c>
      <c r="AH21" s="172">
        <f t="shared" si="17"/>
        <v>0</v>
      </c>
      <c r="AI21" s="171">
        <v>987387.24999999977</v>
      </c>
      <c r="AJ21" s="172">
        <f t="shared" si="18"/>
        <v>0.14372088350003881</v>
      </c>
      <c r="AK21" s="171">
        <v>425924.66</v>
      </c>
      <c r="AL21" s="172">
        <f t="shared" si="19"/>
        <v>6.1996211151859271E-2</v>
      </c>
      <c r="AN21" s="72"/>
    </row>
    <row r="22" spans="2:40" s="73" customFormat="1" ht="14.25" customHeight="1">
      <c r="B22" s="580"/>
      <c r="C22" s="584"/>
      <c r="D22" s="170">
        <v>46218</v>
      </c>
      <c r="E22" s="170" t="s">
        <v>112</v>
      </c>
      <c r="F22" s="320">
        <f t="shared" si="0"/>
        <v>6423738.620000001</v>
      </c>
      <c r="G22" s="582"/>
      <c r="H22" s="577"/>
      <c r="I22" s="171">
        <v>837864.7300000001</v>
      </c>
      <c r="J22" s="172">
        <f t="shared" si="2"/>
        <v>0.13043256887684512</v>
      </c>
      <c r="K22" s="171">
        <v>1031638.49</v>
      </c>
      <c r="L22" s="172">
        <f t="shared" si="3"/>
        <v>0.16059783111162762</v>
      </c>
      <c r="M22" s="171">
        <f t="shared" si="4"/>
        <v>1869503.2200000002</v>
      </c>
      <c r="N22" s="172">
        <f t="shared" ref="N22" si="57">M22/F22</f>
        <v>0.29103039998847274</v>
      </c>
      <c r="O22" s="171">
        <v>233445.58000000002</v>
      </c>
      <c r="P22" s="172">
        <f t="shared" si="6"/>
        <v>3.6341077028442352E-2</v>
      </c>
      <c r="Q22" s="171">
        <v>0</v>
      </c>
      <c r="R22" s="172">
        <f t="shared" si="7"/>
        <v>0</v>
      </c>
      <c r="S22" s="171">
        <f t="shared" si="8"/>
        <v>233445.58000000002</v>
      </c>
      <c r="T22" s="172">
        <f t="shared" ref="T22" si="58">S22/F22</f>
        <v>3.6341077028442352E-2</v>
      </c>
      <c r="U22" s="171">
        <v>191547.89</v>
      </c>
      <c r="V22" s="172">
        <f t="shared" ref="V22" si="59">U22/F22</f>
        <v>2.9818755296740263E-2</v>
      </c>
      <c r="W22" s="171">
        <v>224753.52000000002</v>
      </c>
      <c r="X22" s="172">
        <f t="shared" si="11"/>
        <v>3.498796157431449E-2</v>
      </c>
      <c r="Y22" s="171">
        <v>441698.23</v>
      </c>
      <c r="Z22" s="172">
        <f t="shared" si="12"/>
        <v>6.8760305505705638E-2</v>
      </c>
      <c r="AA22" s="171">
        <v>594309.30000000005</v>
      </c>
      <c r="AB22" s="172">
        <f t="shared" si="13"/>
        <v>9.2517665359179879E-2</v>
      </c>
      <c r="AC22" s="171">
        <f t="shared" si="14"/>
        <v>1036007.53</v>
      </c>
      <c r="AD22" s="172">
        <f t="shared" si="15"/>
        <v>0.16127797086488552</v>
      </c>
      <c r="AE22" s="171">
        <v>1535257.74</v>
      </c>
      <c r="AF22" s="172">
        <f t="shared" si="16"/>
        <v>0.23899754190185274</v>
      </c>
      <c r="AG22" s="171">
        <v>0</v>
      </c>
      <c r="AH22" s="172">
        <f t="shared" si="17"/>
        <v>0</v>
      </c>
      <c r="AI22" s="171">
        <v>914812.07</v>
      </c>
      <c r="AJ22" s="172">
        <f t="shared" si="18"/>
        <v>0.14241116024736383</v>
      </c>
      <c r="AK22" s="171">
        <v>418411.06999999995</v>
      </c>
      <c r="AL22" s="172">
        <f t="shared" si="19"/>
        <v>6.5135133097927927E-2</v>
      </c>
      <c r="AN22" s="72"/>
    </row>
    <row r="23" spans="2:40" s="73" customFormat="1" ht="14.25" customHeight="1">
      <c r="B23" s="580"/>
      <c r="C23" s="584"/>
      <c r="D23" s="170">
        <v>46219</v>
      </c>
      <c r="E23" s="170" t="s">
        <v>113</v>
      </c>
      <c r="F23" s="320">
        <f t="shared" si="0"/>
        <v>5886839.0900000008</v>
      </c>
      <c r="G23" s="582"/>
      <c r="H23" s="577"/>
      <c r="I23" s="171">
        <v>796140.71000000008</v>
      </c>
      <c r="J23" s="172">
        <f t="shared" si="2"/>
        <v>0.13524077995479913</v>
      </c>
      <c r="K23" s="171">
        <v>914813.24000000022</v>
      </c>
      <c r="L23" s="172">
        <f t="shared" si="3"/>
        <v>0.15539973592177803</v>
      </c>
      <c r="M23" s="171">
        <f t="shared" si="4"/>
        <v>1710953.9500000002</v>
      </c>
      <c r="N23" s="172">
        <f t="shared" ref="N23" si="60">M23/$F23</f>
        <v>0.29064051587657713</v>
      </c>
      <c r="O23" s="171">
        <v>230334.59</v>
      </c>
      <c r="P23" s="172">
        <f t="shared" si="6"/>
        <v>3.9127040246652971E-2</v>
      </c>
      <c r="Q23" s="171">
        <v>0</v>
      </c>
      <c r="R23" s="172">
        <f t="shared" si="7"/>
        <v>0</v>
      </c>
      <c r="S23" s="171">
        <f t="shared" si="8"/>
        <v>230334.59</v>
      </c>
      <c r="T23" s="172">
        <f t="shared" ref="T23" si="61">S23/$F23</f>
        <v>3.9127040246652971E-2</v>
      </c>
      <c r="U23" s="171">
        <v>179909.91</v>
      </c>
      <c r="V23" s="172">
        <f t="shared" ref="V23" si="62">U23/$F23</f>
        <v>3.0561377209309789E-2</v>
      </c>
      <c r="W23" s="171">
        <v>219929.86000000002</v>
      </c>
      <c r="X23" s="172">
        <f t="shared" si="11"/>
        <v>3.7359584088784731E-2</v>
      </c>
      <c r="Y23" s="171">
        <v>431493.03</v>
      </c>
      <c r="Z23" s="172">
        <f t="shared" si="12"/>
        <v>7.329791478978577E-2</v>
      </c>
      <c r="AA23" s="171">
        <v>483611.21000000008</v>
      </c>
      <c r="AB23" s="172">
        <f t="shared" si="13"/>
        <v>8.2151253432680454E-2</v>
      </c>
      <c r="AC23" s="171">
        <f t="shared" si="14"/>
        <v>915104.24000000011</v>
      </c>
      <c r="AD23" s="172">
        <f t="shared" si="15"/>
        <v>0.15544916822246621</v>
      </c>
      <c r="AE23" s="171">
        <v>1354591.5500000003</v>
      </c>
      <c r="AF23" s="172">
        <f t="shared" si="16"/>
        <v>0.23010507494608623</v>
      </c>
      <c r="AG23" s="171">
        <v>0</v>
      </c>
      <c r="AH23" s="172">
        <f t="shared" si="17"/>
        <v>0</v>
      </c>
      <c r="AI23" s="171">
        <v>895147.95</v>
      </c>
      <c r="AJ23" s="172">
        <f t="shared" si="18"/>
        <v>0.15205918427778869</v>
      </c>
      <c r="AK23" s="171">
        <v>380867.04000000004</v>
      </c>
      <c r="AL23" s="172">
        <f t="shared" si="19"/>
        <v>6.4698055132334176E-2</v>
      </c>
      <c r="AN23" s="72"/>
    </row>
    <row r="24" spans="2:40" s="73" customFormat="1" ht="14.25" customHeight="1">
      <c r="B24" s="580"/>
      <c r="C24" s="584"/>
      <c r="D24" s="170">
        <v>46220</v>
      </c>
      <c r="E24" s="170" t="s">
        <v>114</v>
      </c>
      <c r="F24" s="320">
        <f t="shared" si="0"/>
        <v>5200104.47</v>
      </c>
      <c r="G24" s="582"/>
      <c r="H24" s="577"/>
      <c r="I24" s="171">
        <v>640903.0199999999</v>
      </c>
      <c r="J24" s="172">
        <f t="shared" si="2"/>
        <v>0.12324810466740486</v>
      </c>
      <c r="K24" s="171">
        <v>838132.20999999985</v>
      </c>
      <c r="L24" s="172">
        <f t="shared" si="3"/>
        <v>0.16117603306535105</v>
      </c>
      <c r="M24" s="171">
        <f t="shared" si="4"/>
        <v>1479035.2299999997</v>
      </c>
      <c r="N24" s="172">
        <f t="shared" ref="N24" si="63">M24/F24</f>
        <v>0.28442413773275593</v>
      </c>
      <c r="O24" s="171">
        <v>184063.19</v>
      </c>
      <c r="P24" s="172">
        <f t="shared" si="6"/>
        <v>3.5396056187309642E-2</v>
      </c>
      <c r="Q24" s="171">
        <v>0</v>
      </c>
      <c r="R24" s="172">
        <f t="shared" si="7"/>
        <v>0</v>
      </c>
      <c r="S24" s="171">
        <f t="shared" si="8"/>
        <v>184063.19</v>
      </c>
      <c r="T24" s="172">
        <f t="shared" ref="T24" si="64">S24/F24</f>
        <v>3.5396056187309642E-2</v>
      </c>
      <c r="U24" s="171">
        <v>161117.60999999999</v>
      </c>
      <c r="V24" s="172">
        <f t="shared" ref="V24" si="65">U24/F24</f>
        <v>3.0983533298130066E-2</v>
      </c>
      <c r="W24" s="171">
        <v>175888.91999999998</v>
      </c>
      <c r="X24" s="172">
        <f t="shared" si="11"/>
        <v>3.3824112768257517E-2</v>
      </c>
      <c r="Y24" s="171">
        <v>442099.4</v>
      </c>
      <c r="Z24" s="172">
        <f t="shared" si="12"/>
        <v>8.5017407352202687E-2</v>
      </c>
      <c r="AA24" s="171">
        <v>477587.29999999993</v>
      </c>
      <c r="AB24" s="172">
        <f t="shared" si="13"/>
        <v>9.1841866400041758E-2</v>
      </c>
      <c r="AC24" s="171">
        <f t="shared" si="14"/>
        <v>919686.7</v>
      </c>
      <c r="AD24" s="172">
        <f t="shared" si="15"/>
        <v>0.17685927375224444</v>
      </c>
      <c r="AE24" s="171">
        <v>1020406.15</v>
      </c>
      <c r="AF24" s="172">
        <f t="shared" si="16"/>
        <v>0.19622800962689121</v>
      </c>
      <c r="AG24" s="171">
        <v>0</v>
      </c>
      <c r="AH24" s="172">
        <f t="shared" si="17"/>
        <v>0</v>
      </c>
      <c r="AI24" s="171">
        <v>946134.59</v>
      </c>
      <c r="AJ24" s="172">
        <f t="shared" si="18"/>
        <v>0.18194530426424299</v>
      </c>
      <c r="AK24" s="171">
        <v>313772.08</v>
      </c>
      <c r="AL24" s="172">
        <f t="shared" si="19"/>
        <v>6.0339572370168175E-2</v>
      </c>
      <c r="AN24" s="72"/>
    </row>
    <row r="25" spans="2:40" s="73" customFormat="1" ht="14.25" customHeight="1">
      <c r="B25" s="580"/>
      <c r="C25" s="584"/>
      <c r="D25" s="170">
        <v>46221</v>
      </c>
      <c r="E25" s="170" t="s">
        <v>115</v>
      </c>
      <c r="F25" s="320">
        <f t="shared" si="0"/>
        <v>5391308.3200000003</v>
      </c>
      <c r="G25" s="582"/>
      <c r="H25" s="577"/>
      <c r="I25" s="171">
        <v>615469.30000000005</v>
      </c>
      <c r="J25" s="172">
        <f t="shared" si="2"/>
        <v>0.11415954411600041</v>
      </c>
      <c r="K25" s="171">
        <v>969000.51</v>
      </c>
      <c r="L25" s="172">
        <f t="shared" si="3"/>
        <v>0.17973383314126615</v>
      </c>
      <c r="M25" s="171">
        <f t="shared" si="4"/>
        <v>1584469.81</v>
      </c>
      <c r="N25" s="172">
        <f t="shared" ref="N25" si="66">M25/$F25</f>
        <v>0.29389337725726655</v>
      </c>
      <c r="O25" s="171">
        <v>174193.89</v>
      </c>
      <c r="P25" s="172">
        <f t="shared" si="6"/>
        <v>3.2310133210856691E-2</v>
      </c>
      <c r="Q25" s="171">
        <v>0</v>
      </c>
      <c r="R25" s="172">
        <f t="shared" si="7"/>
        <v>0</v>
      </c>
      <c r="S25" s="171">
        <f t="shared" si="8"/>
        <v>174193.89</v>
      </c>
      <c r="T25" s="172">
        <f t="shared" ref="T25" si="67">S25/$F25</f>
        <v>3.2310133210856691E-2</v>
      </c>
      <c r="U25" s="171">
        <v>161820.97999999998</v>
      </c>
      <c r="V25" s="172">
        <f t="shared" ref="V25" si="68">U25/$F25</f>
        <v>3.001515965979849E-2</v>
      </c>
      <c r="W25" s="171">
        <v>183074.12</v>
      </c>
      <c r="X25" s="172">
        <f t="shared" si="11"/>
        <v>3.3957271432771628E-2</v>
      </c>
      <c r="Y25" s="171">
        <v>413382.74</v>
      </c>
      <c r="Z25" s="172">
        <f t="shared" si="12"/>
        <v>7.6675774313719816E-2</v>
      </c>
      <c r="AA25" s="171">
        <v>556245.62</v>
      </c>
      <c r="AB25" s="172">
        <f t="shared" si="13"/>
        <v>0.10317451479013168</v>
      </c>
      <c r="AC25" s="171">
        <f t="shared" si="14"/>
        <v>969628.36</v>
      </c>
      <c r="AD25" s="172">
        <f t="shared" si="15"/>
        <v>0.17985028910385151</v>
      </c>
      <c r="AE25" s="171">
        <v>1087809.99</v>
      </c>
      <c r="AF25" s="172">
        <f t="shared" si="16"/>
        <v>0.20177105916287125</v>
      </c>
      <c r="AG25" s="171">
        <v>0</v>
      </c>
      <c r="AH25" s="172">
        <f t="shared" si="17"/>
        <v>0</v>
      </c>
      <c r="AI25" s="171">
        <v>903060.12000000011</v>
      </c>
      <c r="AJ25" s="172">
        <f t="shared" si="18"/>
        <v>0.16750296336233281</v>
      </c>
      <c r="AK25" s="171">
        <v>327251.05000000005</v>
      </c>
      <c r="AL25" s="172">
        <f t="shared" si="19"/>
        <v>6.0699746810251066E-2</v>
      </c>
      <c r="AN25" s="72"/>
    </row>
    <row r="26" spans="2:40" s="73" customFormat="1" ht="14.25" customHeight="1">
      <c r="B26" s="580"/>
      <c r="C26" s="584"/>
      <c r="D26" s="170">
        <v>46222</v>
      </c>
      <c r="E26" s="170" t="s">
        <v>116</v>
      </c>
      <c r="F26" s="320">
        <f t="shared" si="0"/>
        <v>7176291.25</v>
      </c>
      <c r="G26" s="582"/>
      <c r="H26" s="577"/>
      <c r="I26" s="171">
        <v>881753.83</v>
      </c>
      <c r="J26" s="172">
        <f t="shared" si="2"/>
        <v>0.12287040746848171</v>
      </c>
      <c r="K26" s="171">
        <v>1111733.75</v>
      </c>
      <c r="L26" s="172">
        <f t="shared" si="3"/>
        <v>0.15491759061479005</v>
      </c>
      <c r="M26" s="171">
        <f t="shared" si="4"/>
        <v>1993487.58</v>
      </c>
      <c r="N26" s="172">
        <f t="shared" ref="N26" si="69">M26/F26</f>
        <v>0.27778799808327176</v>
      </c>
      <c r="O26" s="171">
        <v>243741.47999999998</v>
      </c>
      <c r="P26" s="172">
        <f t="shared" si="6"/>
        <v>3.396482549394856E-2</v>
      </c>
      <c r="Q26" s="171">
        <v>0</v>
      </c>
      <c r="R26" s="172">
        <f t="shared" si="7"/>
        <v>0</v>
      </c>
      <c r="S26" s="171">
        <f t="shared" si="8"/>
        <v>243741.47999999998</v>
      </c>
      <c r="T26" s="172">
        <f t="shared" ref="T26" si="70">S26/F26</f>
        <v>3.396482549394856E-2</v>
      </c>
      <c r="U26" s="171">
        <v>217036.82</v>
      </c>
      <c r="V26" s="172">
        <f t="shared" ref="V26" si="71">U26/F26</f>
        <v>3.0243591353681473E-2</v>
      </c>
      <c r="W26" s="171">
        <v>227469.35</v>
      </c>
      <c r="X26" s="172">
        <f t="shared" si="11"/>
        <v>3.1697340879245951E-2</v>
      </c>
      <c r="Y26" s="171">
        <v>509935.66000000003</v>
      </c>
      <c r="Z26" s="172">
        <f t="shared" si="12"/>
        <v>7.1058384092200833E-2</v>
      </c>
      <c r="AA26" s="171">
        <v>636335.04</v>
      </c>
      <c r="AB26" s="172">
        <f t="shared" si="13"/>
        <v>8.8671852609103624E-2</v>
      </c>
      <c r="AC26" s="171">
        <f t="shared" si="14"/>
        <v>1146270.7000000002</v>
      </c>
      <c r="AD26" s="172">
        <f t="shared" si="15"/>
        <v>0.15973023670130448</v>
      </c>
      <c r="AE26" s="171">
        <v>1873840.3599999999</v>
      </c>
      <c r="AF26" s="172">
        <f t="shared" si="16"/>
        <v>0.26111542783328362</v>
      </c>
      <c r="AG26" s="171">
        <v>0</v>
      </c>
      <c r="AH26" s="172">
        <f t="shared" si="17"/>
        <v>0</v>
      </c>
      <c r="AI26" s="171">
        <v>1069355.0299999998</v>
      </c>
      <c r="AJ26" s="172">
        <f t="shared" si="18"/>
        <v>0.14901221156540989</v>
      </c>
      <c r="AK26" s="171">
        <v>405089.93000000005</v>
      </c>
      <c r="AL26" s="172">
        <f t="shared" si="19"/>
        <v>5.644836808985422E-2</v>
      </c>
      <c r="AN26" s="72"/>
    </row>
    <row r="27" spans="2:40" s="73" customFormat="1" ht="14.25" customHeight="1">
      <c r="B27" s="581"/>
      <c r="C27" s="584"/>
      <c r="D27" s="170">
        <v>46223</v>
      </c>
      <c r="E27" s="170" t="s">
        <v>117</v>
      </c>
      <c r="F27" s="320">
        <f t="shared" si="0"/>
        <v>6838954.3600000003</v>
      </c>
      <c r="G27" s="582"/>
      <c r="H27" s="577"/>
      <c r="I27" s="171">
        <v>865702.96000000008</v>
      </c>
      <c r="J27" s="172">
        <f t="shared" si="2"/>
        <v>0.12658411131727454</v>
      </c>
      <c r="K27" s="171">
        <v>1098953.4299999997</v>
      </c>
      <c r="L27" s="172">
        <f t="shared" si="3"/>
        <v>0.16069027107822367</v>
      </c>
      <c r="M27" s="171">
        <f t="shared" si="4"/>
        <v>1964656.3899999997</v>
      </c>
      <c r="N27" s="172">
        <f t="shared" ref="N27" si="72">M27/$F27</f>
        <v>0.28727438239549818</v>
      </c>
      <c r="O27" s="171">
        <v>241229.68</v>
      </c>
      <c r="P27" s="172">
        <f t="shared" si="6"/>
        <v>3.5272889290052227E-2</v>
      </c>
      <c r="Q27" s="171">
        <v>0</v>
      </c>
      <c r="R27" s="172">
        <f t="shared" si="7"/>
        <v>0</v>
      </c>
      <c r="S27" s="171">
        <f t="shared" si="8"/>
        <v>241229.68</v>
      </c>
      <c r="T27" s="172">
        <f t="shared" ref="T27" si="73">S27/$F27</f>
        <v>3.5272889290052227E-2</v>
      </c>
      <c r="U27" s="171">
        <v>194917.11</v>
      </c>
      <c r="V27" s="172">
        <f t="shared" ref="V27" si="74">U27/$F27</f>
        <v>2.8501010496581231E-2</v>
      </c>
      <c r="W27" s="171">
        <v>264650.16000000003</v>
      </c>
      <c r="X27" s="172">
        <f t="shared" si="11"/>
        <v>3.8697459592346224E-2</v>
      </c>
      <c r="Y27" s="171">
        <v>484698.73000000004</v>
      </c>
      <c r="Z27" s="172">
        <f t="shared" si="12"/>
        <v>7.0873221911660775E-2</v>
      </c>
      <c r="AA27" s="171">
        <v>599142.6399999999</v>
      </c>
      <c r="AB27" s="172">
        <f t="shared" si="13"/>
        <v>8.760734586917171E-2</v>
      </c>
      <c r="AC27" s="171">
        <f t="shared" si="14"/>
        <v>1083841.3699999999</v>
      </c>
      <c r="AD27" s="172">
        <f t="shared" si="15"/>
        <v>0.15848056778083247</v>
      </c>
      <c r="AE27" s="171">
        <v>1623108.2500000002</v>
      </c>
      <c r="AF27" s="172">
        <f t="shared" si="16"/>
        <v>0.23733280916353419</v>
      </c>
      <c r="AG27" s="171">
        <v>0</v>
      </c>
      <c r="AH27" s="172">
        <f t="shared" si="17"/>
        <v>0</v>
      </c>
      <c r="AI27" s="171">
        <v>1023313.58</v>
      </c>
      <c r="AJ27" s="172">
        <f t="shared" si="18"/>
        <v>0.14963012269612513</v>
      </c>
      <c r="AK27" s="171">
        <v>443237.82</v>
      </c>
      <c r="AL27" s="172">
        <f t="shared" si="19"/>
        <v>6.4810758585030243E-2</v>
      </c>
      <c r="AN27" s="72"/>
    </row>
    <row r="28" spans="2:40" ht="12">
      <c r="B28" s="579">
        <f>D29+7</f>
        <v>46232</v>
      </c>
      <c r="C28" s="584"/>
      <c r="D28" s="170">
        <v>46224</v>
      </c>
      <c r="E28" s="170" t="s">
        <v>118</v>
      </c>
      <c r="F28" s="320">
        <f t="shared" ref="F28:F41" si="75">SUM(M28,S28,U28,W28,AC28,AE28,AG28,AI28,AK28)</f>
        <v>0</v>
      </c>
      <c r="G28" s="582">
        <f t="shared" ref="G28" si="76">SUM(F28:F34)</f>
        <v>0</v>
      </c>
      <c r="H28" s="577"/>
    </row>
    <row r="29" spans="2:40" ht="12">
      <c r="B29" s="580"/>
      <c r="C29" s="584"/>
      <c r="D29" s="170">
        <v>46225</v>
      </c>
      <c r="E29" s="170" t="s">
        <v>112</v>
      </c>
      <c r="F29" s="320">
        <f t="shared" si="75"/>
        <v>0</v>
      </c>
      <c r="G29" s="582"/>
      <c r="H29" s="577"/>
    </row>
    <row r="30" spans="2:40" ht="12">
      <c r="B30" s="580"/>
      <c r="C30" s="584"/>
      <c r="D30" s="170">
        <v>46226</v>
      </c>
      <c r="E30" s="170" t="s">
        <v>113</v>
      </c>
      <c r="F30" s="320">
        <f t="shared" si="75"/>
        <v>0</v>
      </c>
      <c r="G30" s="582"/>
      <c r="H30" s="577"/>
    </row>
    <row r="31" spans="2:40" ht="12">
      <c r="B31" s="580"/>
      <c r="C31" s="584"/>
      <c r="D31" s="170">
        <v>46227</v>
      </c>
      <c r="E31" s="170" t="s">
        <v>114</v>
      </c>
      <c r="F31" s="320">
        <f t="shared" si="75"/>
        <v>0</v>
      </c>
      <c r="G31" s="582"/>
      <c r="H31" s="577"/>
    </row>
    <row r="32" spans="2:40" ht="12">
      <c r="B32" s="580"/>
      <c r="C32" s="584"/>
      <c r="D32" s="170">
        <v>46228</v>
      </c>
      <c r="E32" s="170" t="s">
        <v>115</v>
      </c>
      <c r="F32" s="320">
        <f t="shared" si="75"/>
        <v>0</v>
      </c>
      <c r="G32" s="582"/>
      <c r="H32" s="577"/>
    </row>
    <row r="33" spans="2:8" ht="12">
      <c r="B33" s="580"/>
      <c r="C33" s="584"/>
      <c r="D33" s="170">
        <v>46229</v>
      </c>
      <c r="E33" s="170" t="s">
        <v>116</v>
      </c>
      <c r="F33" s="320">
        <f t="shared" si="75"/>
        <v>0</v>
      </c>
      <c r="G33" s="582"/>
      <c r="H33" s="577"/>
    </row>
    <row r="34" spans="2:8" ht="12">
      <c r="B34" s="581"/>
      <c r="C34" s="584"/>
      <c r="D34" s="170">
        <v>46230</v>
      </c>
      <c r="E34" s="170" t="s">
        <v>117</v>
      </c>
      <c r="F34" s="320">
        <f t="shared" si="75"/>
        <v>0</v>
      </c>
      <c r="G34" s="582"/>
      <c r="H34" s="577"/>
    </row>
    <row r="35" spans="2:8" ht="12">
      <c r="B35" s="579">
        <f>D36+7</f>
        <v>46239</v>
      </c>
      <c r="C35" s="584"/>
      <c r="D35" s="170">
        <v>46231</v>
      </c>
      <c r="E35" s="170" t="s">
        <v>118</v>
      </c>
      <c r="F35" s="320">
        <f t="shared" si="75"/>
        <v>0</v>
      </c>
      <c r="G35" s="582">
        <f t="shared" ref="G35" si="77">SUM(F35:F41)</f>
        <v>0</v>
      </c>
      <c r="H35" s="577"/>
    </row>
    <row r="36" spans="2:8" ht="14.25" customHeight="1">
      <c r="B36" s="580"/>
      <c r="C36" s="584"/>
      <c r="D36" s="170">
        <v>46232</v>
      </c>
      <c r="E36" s="170" t="s">
        <v>112</v>
      </c>
      <c r="F36" s="320">
        <f t="shared" si="75"/>
        <v>0</v>
      </c>
      <c r="G36" s="582"/>
      <c r="H36" s="577"/>
    </row>
    <row r="37" spans="2:8" ht="14.25" customHeight="1">
      <c r="B37" s="580"/>
      <c r="C37" s="584"/>
      <c r="D37" s="170">
        <v>46233</v>
      </c>
      <c r="E37" s="170" t="s">
        <v>113</v>
      </c>
      <c r="F37" s="320">
        <f t="shared" si="75"/>
        <v>0</v>
      </c>
      <c r="G37" s="582"/>
      <c r="H37" s="577"/>
    </row>
    <row r="38" spans="2:8" ht="14.25" customHeight="1">
      <c r="B38" s="580"/>
      <c r="C38" s="585"/>
      <c r="D38" s="170">
        <v>46234</v>
      </c>
      <c r="E38" s="170" t="s">
        <v>114</v>
      </c>
      <c r="F38" s="320">
        <f t="shared" si="75"/>
        <v>0</v>
      </c>
      <c r="G38" s="582"/>
      <c r="H38" s="578"/>
    </row>
    <row r="39" spans="2:8" ht="14.25" customHeight="1">
      <c r="B39" s="580"/>
      <c r="C39" s="584" t="s">
        <v>707</v>
      </c>
      <c r="D39" s="170">
        <v>46235</v>
      </c>
      <c r="E39" s="170" t="s">
        <v>115</v>
      </c>
      <c r="F39" s="320">
        <f t="shared" si="75"/>
        <v>0</v>
      </c>
      <c r="G39" s="582"/>
    </row>
    <row r="40" spans="2:8" ht="14.25" customHeight="1">
      <c r="B40" s="580"/>
      <c r="C40" s="584"/>
      <c r="D40" s="170">
        <v>46236</v>
      </c>
      <c r="E40" s="170" t="s">
        <v>116</v>
      </c>
      <c r="F40" s="320">
        <f t="shared" si="75"/>
        <v>0</v>
      </c>
      <c r="G40" s="582"/>
    </row>
    <row r="41" spans="2:8" ht="14.25" customHeight="1">
      <c r="B41" s="581"/>
      <c r="C41" s="585"/>
      <c r="D41" s="170">
        <v>46237</v>
      </c>
      <c r="E41" s="170" t="s">
        <v>117</v>
      </c>
      <c r="F41" s="320">
        <f t="shared" si="75"/>
        <v>0</v>
      </c>
      <c r="G41" s="582"/>
    </row>
  </sheetData>
  <mergeCells count="46">
    <mergeCell ref="H8:H38"/>
    <mergeCell ref="B28:B34"/>
    <mergeCell ref="G28:G34"/>
    <mergeCell ref="B35:B41"/>
    <mergeCell ref="G35:G41"/>
    <mergeCell ref="C8:C38"/>
    <mergeCell ref="C39:C41"/>
    <mergeCell ref="B14:B20"/>
    <mergeCell ref="G14:G20"/>
    <mergeCell ref="B21:B27"/>
    <mergeCell ref="G21:G27"/>
    <mergeCell ref="B7:B13"/>
    <mergeCell ref="G7:G13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2:AL41"/>
  <sheetViews>
    <sheetView topLeftCell="A4" zoomScale="85" zoomScaleNormal="85" workbookViewId="0">
      <selection activeCell="A21" sqref="A21:XFD27"/>
    </sheetView>
  </sheetViews>
  <sheetFormatPr defaultColWidth="8.85546875" defaultRowHeight="14.25"/>
  <cols>
    <col min="1" max="1" width="8.85546875" style="75"/>
    <col min="2" max="2" width="13.140625" style="75" customWidth="1"/>
    <col min="3" max="3" width="8.85546875" style="94"/>
    <col min="4" max="4" width="17" style="94" customWidth="1"/>
    <col min="5" max="5" width="8.5703125" style="77" customWidth="1"/>
    <col min="6" max="8" width="17.42578125" style="95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541" t="s">
        <v>323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  <c r="T2" s="541"/>
      <c r="U2" s="541"/>
      <c r="V2" s="541"/>
      <c r="W2" s="541"/>
      <c r="X2" s="541"/>
      <c r="Y2" s="541"/>
      <c r="Z2" s="541"/>
      <c r="AA2" s="541"/>
      <c r="AB2" s="541"/>
      <c r="AC2" s="541"/>
      <c r="AD2" s="541"/>
      <c r="AE2" s="541"/>
      <c r="AF2" s="541"/>
      <c r="AG2" s="541"/>
      <c r="AH2" s="541"/>
      <c r="AI2" s="541"/>
      <c r="AJ2" s="541"/>
      <c r="AK2" s="541"/>
      <c r="AL2" s="541"/>
    </row>
    <row r="3" spans="1:38" ht="25.35" customHeight="1">
      <c r="B3" s="567" t="s">
        <v>409</v>
      </c>
      <c r="C3" s="568" t="s">
        <v>410</v>
      </c>
      <c r="D3" s="569" t="s">
        <v>105</v>
      </c>
      <c r="E3" s="569"/>
      <c r="F3" s="590" t="s">
        <v>153</v>
      </c>
      <c r="G3" s="590"/>
      <c r="H3" s="590"/>
      <c r="I3" s="589" t="s">
        <v>321</v>
      </c>
      <c r="J3" s="589"/>
      <c r="K3" s="589"/>
      <c r="L3" s="589"/>
      <c r="M3" s="589"/>
      <c r="N3" s="589"/>
      <c r="O3" s="589"/>
      <c r="P3" s="589"/>
      <c r="Q3" s="589"/>
      <c r="R3" s="589"/>
      <c r="S3" s="589"/>
      <c r="T3" s="589"/>
      <c r="U3" s="589"/>
      <c r="V3" s="589"/>
      <c r="W3" s="589"/>
      <c r="X3" s="589"/>
      <c r="Y3" s="589"/>
      <c r="Z3" s="589"/>
      <c r="AA3" s="589"/>
      <c r="AB3" s="589"/>
      <c r="AC3" s="589"/>
      <c r="AD3" s="589"/>
      <c r="AE3" s="589"/>
      <c r="AF3" s="589"/>
      <c r="AG3" s="589"/>
      <c r="AH3" s="589"/>
      <c r="AI3" s="589"/>
      <c r="AJ3" s="589"/>
      <c r="AK3" s="589"/>
      <c r="AL3" s="589"/>
    </row>
    <row r="4" spans="1:38" ht="25.35" customHeight="1">
      <c r="B4" s="567"/>
      <c r="C4" s="568"/>
      <c r="D4" s="569"/>
      <c r="E4" s="569"/>
      <c r="F4" s="590"/>
      <c r="G4" s="590"/>
      <c r="H4" s="590"/>
      <c r="I4" s="586" t="s">
        <v>411</v>
      </c>
      <c r="J4" s="586"/>
      <c r="K4" s="586"/>
      <c r="L4" s="586"/>
      <c r="M4" s="586"/>
      <c r="N4" s="586"/>
      <c r="O4" s="586" t="s">
        <v>412</v>
      </c>
      <c r="P4" s="586"/>
      <c r="Q4" s="586"/>
      <c r="R4" s="586"/>
      <c r="S4" s="586"/>
      <c r="T4" s="586"/>
      <c r="U4" s="586" t="s">
        <v>413</v>
      </c>
      <c r="V4" s="586"/>
      <c r="W4" s="586" t="s">
        <v>414</v>
      </c>
      <c r="X4" s="586"/>
      <c r="Y4" s="586" t="s">
        <v>139</v>
      </c>
      <c r="Z4" s="586"/>
      <c r="AA4" s="586"/>
      <c r="AB4" s="586"/>
      <c r="AC4" s="586"/>
      <c r="AD4" s="586"/>
      <c r="AE4" s="586" t="s">
        <v>137</v>
      </c>
      <c r="AF4" s="586"/>
      <c r="AG4" s="586" t="s">
        <v>415</v>
      </c>
      <c r="AH4" s="586"/>
      <c r="AI4" s="586" t="s">
        <v>416</v>
      </c>
      <c r="AJ4" s="586"/>
      <c r="AK4" s="586" t="s">
        <v>143</v>
      </c>
      <c r="AL4" s="586"/>
    </row>
    <row r="5" spans="1:38" ht="25.35" customHeight="1">
      <c r="B5" s="567"/>
      <c r="C5" s="568"/>
      <c r="D5" s="569"/>
      <c r="E5" s="569"/>
      <c r="F5" s="587" t="s">
        <v>116</v>
      </c>
      <c r="G5" s="587" t="s">
        <v>120</v>
      </c>
      <c r="H5" s="587" t="s">
        <v>121</v>
      </c>
      <c r="I5" s="586" t="s">
        <v>133</v>
      </c>
      <c r="J5" s="586"/>
      <c r="K5" s="586" t="s">
        <v>134</v>
      </c>
      <c r="L5" s="586"/>
      <c r="M5" s="586" t="s">
        <v>152</v>
      </c>
      <c r="N5" s="586"/>
      <c r="O5" s="586" t="s">
        <v>133</v>
      </c>
      <c r="P5" s="586"/>
      <c r="Q5" s="586" t="s">
        <v>134</v>
      </c>
      <c r="R5" s="586"/>
      <c r="S5" s="586" t="s">
        <v>152</v>
      </c>
      <c r="T5" s="586"/>
      <c r="U5" s="586" t="s">
        <v>133</v>
      </c>
      <c r="V5" s="586"/>
      <c r="W5" s="586" t="s">
        <v>133</v>
      </c>
      <c r="X5" s="586"/>
      <c r="Y5" s="586" t="s">
        <v>133</v>
      </c>
      <c r="Z5" s="586"/>
      <c r="AA5" s="586" t="s">
        <v>134</v>
      </c>
      <c r="AB5" s="586"/>
      <c r="AC5" s="586" t="s">
        <v>152</v>
      </c>
      <c r="AD5" s="586"/>
      <c r="AE5" s="586" t="s">
        <v>133</v>
      </c>
      <c r="AF5" s="586"/>
      <c r="AG5" s="586" t="s">
        <v>133</v>
      </c>
      <c r="AH5" s="586"/>
      <c r="AI5" s="586" t="s">
        <v>133</v>
      </c>
      <c r="AJ5" s="586"/>
      <c r="AK5" s="586" t="s">
        <v>133</v>
      </c>
      <c r="AL5" s="586"/>
    </row>
    <row r="6" spans="1:38" s="77" customFormat="1" ht="23.45" customHeight="1">
      <c r="B6" s="567"/>
      <c r="C6" s="591"/>
      <c r="D6" s="570"/>
      <c r="E6" s="570"/>
      <c r="F6" s="588"/>
      <c r="G6" s="587"/>
      <c r="H6" s="587"/>
      <c r="I6" s="214" t="s">
        <v>154</v>
      </c>
      <c r="J6" s="173" t="s">
        <v>111</v>
      </c>
      <c r="K6" s="214" t="s">
        <v>154</v>
      </c>
      <c r="L6" s="173" t="s">
        <v>111</v>
      </c>
      <c r="M6" s="214" t="s">
        <v>154</v>
      </c>
      <c r="N6" s="173" t="s">
        <v>111</v>
      </c>
      <c r="O6" s="214" t="s">
        <v>154</v>
      </c>
      <c r="P6" s="173" t="s">
        <v>111</v>
      </c>
      <c r="Q6" s="214" t="s">
        <v>154</v>
      </c>
      <c r="R6" s="173" t="s">
        <v>111</v>
      </c>
      <c r="S6" s="214" t="s">
        <v>154</v>
      </c>
      <c r="T6" s="173" t="s">
        <v>111</v>
      </c>
      <c r="U6" s="214" t="s">
        <v>154</v>
      </c>
      <c r="V6" s="173" t="s">
        <v>111</v>
      </c>
      <c r="W6" s="214" t="s">
        <v>154</v>
      </c>
      <c r="X6" s="173" t="s">
        <v>111</v>
      </c>
      <c r="Y6" s="214" t="s">
        <v>154</v>
      </c>
      <c r="Z6" s="173" t="s">
        <v>111</v>
      </c>
      <c r="AA6" s="214" t="s">
        <v>154</v>
      </c>
      <c r="AB6" s="173" t="s">
        <v>111</v>
      </c>
      <c r="AC6" s="214" t="s">
        <v>154</v>
      </c>
      <c r="AD6" s="173" t="s">
        <v>111</v>
      </c>
      <c r="AE6" s="214" t="s">
        <v>154</v>
      </c>
      <c r="AF6" s="173" t="s">
        <v>111</v>
      </c>
      <c r="AG6" s="214" t="s">
        <v>154</v>
      </c>
      <c r="AH6" s="173" t="s">
        <v>111</v>
      </c>
      <c r="AI6" s="214" t="s">
        <v>154</v>
      </c>
      <c r="AJ6" s="173" t="s">
        <v>111</v>
      </c>
      <c r="AK6" s="214" t="s">
        <v>154</v>
      </c>
      <c r="AL6" s="173" t="s">
        <v>111</v>
      </c>
    </row>
    <row r="7" spans="1:38" s="73" customFormat="1" ht="14.25" customHeight="1">
      <c r="B7" s="579">
        <v>46211</v>
      </c>
      <c r="C7" s="470"/>
      <c r="D7" s="170">
        <v>46203</v>
      </c>
      <c r="E7" s="170" t="s">
        <v>118</v>
      </c>
      <c r="F7" s="321">
        <f t="shared" ref="F7:F35" si="0">SUM(M7,S7,U7,W7,AC7,AE7,AG7,AI7,AK7)</f>
        <v>229980</v>
      </c>
      <c r="G7" s="592">
        <f t="shared" ref="G7" si="1">SUM(F7:F13)</f>
        <v>1487035</v>
      </c>
      <c r="H7" s="471"/>
      <c r="I7" s="308">
        <v>45550</v>
      </c>
      <c r="J7" s="230">
        <f t="shared" ref="J7:J27" si="2">I7/$F7</f>
        <v>0.1980607009305157</v>
      </c>
      <c r="K7" s="308">
        <v>69362</v>
      </c>
      <c r="L7" s="230">
        <f t="shared" ref="L7:L27" si="3">K7/$F7</f>
        <v>0.30160013914253414</v>
      </c>
      <c r="M7" s="308">
        <f t="shared" ref="M7:M27" si="4">I7+K7</f>
        <v>114912</v>
      </c>
      <c r="N7" s="230">
        <f t="shared" ref="N7:N27" si="5">M7/$F7</f>
        <v>0.49966084007304984</v>
      </c>
      <c r="O7" s="308">
        <v>8454</v>
      </c>
      <c r="P7" s="230">
        <f t="shared" ref="P7:P27" si="6">O7/$F7</f>
        <v>3.675971823636838E-2</v>
      </c>
      <c r="Q7" s="308">
        <v>0</v>
      </c>
      <c r="R7" s="230">
        <f t="shared" ref="R7:R27" si="7">Q7/$F7</f>
        <v>0</v>
      </c>
      <c r="S7" s="308">
        <f t="shared" ref="S7:S27" si="8">O7+Q7</f>
        <v>8454</v>
      </c>
      <c r="T7" s="230">
        <f t="shared" ref="T7:T27" si="9">S7/$F7</f>
        <v>3.675971823636838E-2</v>
      </c>
      <c r="U7" s="308">
        <v>2567</v>
      </c>
      <c r="V7" s="230">
        <f t="shared" ref="V7:V27" si="10">U7/$F7</f>
        <v>1.1161840160013915E-2</v>
      </c>
      <c r="W7" s="308">
        <v>11068</v>
      </c>
      <c r="X7" s="230">
        <f t="shared" ref="X7:X27" si="11">W7/$F7</f>
        <v>4.8125923993390732E-2</v>
      </c>
      <c r="Y7" s="308">
        <v>4744</v>
      </c>
      <c r="Z7" s="230">
        <f t="shared" ref="Z7:Z27" si="12">Y7/$F7</f>
        <v>2.0627880685276982E-2</v>
      </c>
      <c r="AA7" s="308">
        <v>14570</v>
      </c>
      <c r="AB7" s="230">
        <f t="shared" ref="AB7:AB27" si="13">AA7/$F7</f>
        <v>6.3353335072615008E-2</v>
      </c>
      <c r="AC7" s="308">
        <f t="shared" ref="AC7:AC27" si="14">Y7+AA7</f>
        <v>19314</v>
      </c>
      <c r="AD7" s="230">
        <f t="shared" ref="AD7:AD27" si="15">AC7/$F7</f>
        <v>8.3981215757891997E-2</v>
      </c>
      <c r="AE7" s="308">
        <v>31363</v>
      </c>
      <c r="AF7" s="230">
        <f t="shared" ref="AF7:AF27" si="16">AE7/$F7</f>
        <v>0.13637272806330986</v>
      </c>
      <c r="AG7" s="308">
        <v>0</v>
      </c>
      <c r="AH7" s="230">
        <f t="shared" ref="AH7:AH27" si="17">AG7/$F7</f>
        <v>0</v>
      </c>
      <c r="AI7" s="308">
        <v>28378</v>
      </c>
      <c r="AJ7" s="230">
        <f t="shared" ref="AJ7:AJ27" si="18">AI7/$F7</f>
        <v>0.12339333855117836</v>
      </c>
      <c r="AK7" s="308">
        <v>13924</v>
      </c>
      <c r="AL7" s="230">
        <f t="shared" ref="AL7:AL27" si="19">AK7/$F7</f>
        <v>6.0544395164796941E-2</v>
      </c>
    </row>
    <row r="8" spans="1:38" s="73" customFormat="1" ht="14.25" customHeight="1">
      <c r="B8" s="580"/>
      <c r="C8" s="583" t="s">
        <v>698</v>
      </c>
      <c r="D8" s="170">
        <f t="shared" ref="D8:D41" si="20">D7+1</f>
        <v>46204</v>
      </c>
      <c r="E8" s="170" t="s">
        <v>112</v>
      </c>
      <c r="F8" s="321">
        <f t="shared" si="0"/>
        <v>219467</v>
      </c>
      <c r="G8" s="592"/>
      <c r="H8" s="593">
        <f>SUM(F8:F38)</f>
        <v>4151257</v>
      </c>
      <c r="I8" s="520">
        <v>44534</v>
      </c>
      <c r="J8" s="230">
        <f t="shared" si="2"/>
        <v>0.20291888985587811</v>
      </c>
      <c r="K8" s="308">
        <v>66568</v>
      </c>
      <c r="L8" s="230">
        <f t="shared" si="3"/>
        <v>0.3033166717547513</v>
      </c>
      <c r="M8" s="308">
        <f t="shared" si="4"/>
        <v>111102</v>
      </c>
      <c r="N8" s="230">
        <f t="shared" si="5"/>
        <v>0.50623556161062944</v>
      </c>
      <c r="O8" s="308">
        <v>8378</v>
      </c>
      <c r="P8" s="230">
        <f t="shared" si="6"/>
        <v>3.8174304109501657E-2</v>
      </c>
      <c r="Q8" s="308">
        <v>0</v>
      </c>
      <c r="R8" s="230">
        <f t="shared" si="7"/>
        <v>0</v>
      </c>
      <c r="S8" s="308">
        <f t="shared" si="8"/>
        <v>8378</v>
      </c>
      <c r="T8" s="230">
        <f t="shared" si="9"/>
        <v>3.8174304109501657E-2</v>
      </c>
      <c r="U8" s="308">
        <v>2321</v>
      </c>
      <c r="V8" s="230">
        <f t="shared" si="10"/>
        <v>1.057562184747593E-2</v>
      </c>
      <c r="W8" s="308">
        <v>10915</v>
      </c>
      <c r="X8" s="230">
        <f t="shared" si="11"/>
        <v>4.9734128593364832E-2</v>
      </c>
      <c r="Y8" s="308">
        <v>4053</v>
      </c>
      <c r="Z8" s="230">
        <f t="shared" si="12"/>
        <v>1.8467468913321822E-2</v>
      </c>
      <c r="AA8" s="308">
        <v>13127</v>
      </c>
      <c r="AB8" s="230">
        <f t="shared" si="13"/>
        <v>5.981309262896016E-2</v>
      </c>
      <c r="AC8" s="308">
        <f t="shared" si="14"/>
        <v>17180</v>
      </c>
      <c r="AD8" s="230">
        <f t="shared" si="15"/>
        <v>7.8280561542281982E-2</v>
      </c>
      <c r="AE8" s="308">
        <v>26085</v>
      </c>
      <c r="AF8" s="230">
        <f t="shared" si="16"/>
        <v>0.11885613782482105</v>
      </c>
      <c r="AG8" s="308">
        <v>0</v>
      </c>
      <c r="AH8" s="230">
        <f t="shared" si="17"/>
        <v>0</v>
      </c>
      <c r="AI8" s="308">
        <v>30626</v>
      </c>
      <c r="AJ8" s="230">
        <f t="shared" si="18"/>
        <v>0.13954717565738814</v>
      </c>
      <c r="AK8" s="308">
        <v>12860</v>
      </c>
      <c r="AL8" s="230">
        <f t="shared" si="19"/>
        <v>5.8596508814537041E-2</v>
      </c>
    </row>
    <row r="9" spans="1:38" s="73" customFormat="1" ht="14.25" customHeight="1">
      <c r="B9" s="580"/>
      <c r="C9" s="584"/>
      <c r="D9" s="170">
        <f t="shared" si="20"/>
        <v>46205</v>
      </c>
      <c r="E9" s="170" t="s">
        <v>113</v>
      </c>
      <c r="F9" s="321">
        <f t="shared" si="0"/>
        <v>206563</v>
      </c>
      <c r="G9" s="592"/>
      <c r="H9" s="594"/>
      <c r="I9" s="520">
        <v>43894</v>
      </c>
      <c r="J9" s="230">
        <f t="shared" si="2"/>
        <v>0.21249691377449012</v>
      </c>
      <c r="K9" s="308">
        <v>60386</v>
      </c>
      <c r="L9" s="230">
        <f t="shared" si="3"/>
        <v>0.29233696257316172</v>
      </c>
      <c r="M9" s="308">
        <f t="shared" si="4"/>
        <v>104280</v>
      </c>
      <c r="N9" s="230">
        <f t="shared" si="5"/>
        <v>0.50483387634765176</v>
      </c>
      <c r="O9" s="308">
        <v>8359</v>
      </c>
      <c r="P9" s="230">
        <f t="shared" si="6"/>
        <v>4.046707299952073E-2</v>
      </c>
      <c r="Q9" s="308">
        <v>0</v>
      </c>
      <c r="R9" s="230">
        <f t="shared" si="7"/>
        <v>0</v>
      </c>
      <c r="S9" s="308">
        <f t="shared" si="8"/>
        <v>8359</v>
      </c>
      <c r="T9" s="230">
        <f t="shared" si="9"/>
        <v>4.046707299952073E-2</v>
      </c>
      <c r="U9" s="308">
        <v>2282</v>
      </c>
      <c r="V9" s="230">
        <f t="shared" si="10"/>
        <v>1.1047477040902776E-2</v>
      </c>
      <c r="W9" s="308">
        <v>10882</v>
      </c>
      <c r="X9" s="230">
        <f t="shared" si="11"/>
        <v>5.2681264311614372E-2</v>
      </c>
      <c r="Y9" s="308">
        <v>4233</v>
      </c>
      <c r="Z9" s="230">
        <f t="shared" si="12"/>
        <v>2.0492537385688629E-2</v>
      </c>
      <c r="AA9" s="308">
        <v>10501</v>
      </c>
      <c r="AB9" s="230">
        <f t="shared" si="13"/>
        <v>5.0836790712760753E-2</v>
      </c>
      <c r="AC9" s="308">
        <f t="shared" si="14"/>
        <v>14734</v>
      </c>
      <c r="AD9" s="230">
        <f t="shared" si="15"/>
        <v>7.1329328098449385E-2</v>
      </c>
      <c r="AE9" s="308">
        <v>22577</v>
      </c>
      <c r="AF9" s="230">
        <f t="shared" si="16"/>
        <v>0.10929837386172742</v>
      </c>
      <c r="AG9" s="308">
        <v>0</v>
      </c>
      <c r="AH9" s="230">
        <f t="shared" si="17"/>
        <v>0</v>
      </c>
      <c r="AI9" s="308">
        <v>31626</v>
      </c>
      <c r="AJ9" s="230">
        <f t="shared" si="18"/>
        <v>0.15310583211901455</v>
      </c>
      <c r="AK9" s="308">
        <v>11823</v>
      </c>
      <c r="AL9" s="230">
        <f t="shared" si="19"/>
        <v>5.7236775221118981E-2</v>
      </c>
    </row>
    <row r="10" spans="1:38" s="73" customFormat="1" ht="14.25" customHeight="1">
      <c r="B10" s="580"/>
      <c r="C10" s="584"/>
      <c r="D10" s="170">
        <f t="shared" si="20"/>
        <v>46206</v>
      </c>
      <c r="E10" s="170" t="s">
        <v>114</v>
      </c>
      <c r="F10" s="321">
        <f t="shared" si="0"/>
        <v>176725</v>
      </c>
      <c r="G10" s="592"/>
      <c r="H10" s="594"/>
      <c r="I10" s="520">
        <v>33752</v>
      </c>
      <c r="J10" s="230">
        <f t="shared" si="2"/>
        <v>0.19098599519026738</v>
      </c>
      <c r="K10" s="308">
        <v>54067</v>
      </c>
      <c r="L10" s="230">
        <f t="shared" si="3"/>
        <v>0.30593860517753574</v>
      </c>
      <c r="M10" s="308">
        <f t="shared" si="4"/>
        <v>87819</v>
      </c>
      <c r="N10" s="230">
        <f t="shared" si="5"/>
        <v>0.49692460036780306</v>
      </c>
      <c r="O10" s="308">
        <v>6604</v>
      </c>
      <c r="P10" s="230">
        <f t="shared" si="6"/>
        <v>3.73687933229594E-2</v>
      </c>
      <c r="Q10" s="308">
        <v>0</v>
      </c>
      <c r="R10" s="230">
        <f t="shared" si="7"/>
        <v>0</v>
      </c>
      <c r="S10" s="308">
        <f t="shared" si="8"/>
        <v>6604</v>
      </c>
      <c r="T10" s="230">
        <f t="shared" si="9"/>
        <v>3.73687933229594E-2</v>
      </c>
      <c r="U10" s="308">
        <v>1746</v>
      </c>
      <c r="V10" s="230">
        <f t="shared" si="10"/>
        <v>9.8797566841137361E-3</v>
      </c>
      <c r="W10" s="308">
        <v>8346</v>
      </c>
      <c r="X10" s="230">
        <f t="shared" si="11"/>
        <v>4.7225915971141605E-2</v>
      </c>
      <c r="Y10" s="308">
        <v>5402</v>
      </c>
      <c r="Z10" s="230">
        <f t="shared" si="12"/>
        <v>3.0567265525534022E-2</v>
      </c>
      <c r="AA10" s="308">
        <v>11076</v>
      </c>
      <c r="AB10" s="230">
        <f t="shared" si="13"/>
        <v>6.267364549441222E-2</v>
      </c>
      <c r="AC10" s="308">
        <f t="shared" si="14"/>
        <v>16478</v>
      </c>
      <c r="AD10" s="230">
        <f t="shared" si="15"/>
        <v>9.3240911019946249E-2</v>
      </c>
      <c r="AE10" s="308">
        <v>16756</v>
      </c>
      <c r="AF10" s="230">
        <f t="shared" si="16"/>
        <v>9.4813976517187717E-2</v>
      </c>
      <c r="AG10" s="308">
        <v>0</v>
      </c>
      <c r="AH10" s="230">
        <f t="shared" si="17"/>
        <v>0</v>
      </c>
      <c r="AI10" s="308">
        <v>28501</v>
      </c>
      <c r="AJ10" s="230">
        <f t="shared" si="18"/>
        <v>0.16127316452114868</v>
      </c>
      <c r="AK10" s="308">
        <v>10475</v>
      </c>
      <c r="AL10" s="230">
        <f t="shared" si="19"/>
        <v>5.9272881595699531E-2</v>
      </c>
    </row>
    <row r="11" spans="1:38" s="73" customFormat="1" ht="14.25" customHeight="1">
      <c r="B11" s="580"/>
      <c r="C11" s="584"/>
      <c r="D11" s="170">
        <f t="shared" si="20"/>
        <v>46207</v>
      </c>
      <c r="E11" s="170" t="s">
        <v>115</v>
      </c>
      <c r="F11" s="321">
        <f t="shared" si="0"/>
        <v>192415</v>
      </c>
      <c r="G11" s="592"/>
      <c r="H11" s="594"/>
      <c r="I11" s="520">
        <v>32941</v>
      </c>
      <c r="J11" s="230">
        <f t="shared" si="2"/>
        <v>0.17119767169919184</v>
      </c>
      <c r="K11" s="308">
        <v>61237</v>
      </c>
      <c r="L11" s="230">
        <f t="shared" si="3"/>
        <v>0.31825481381389187</v>
      </c>
      <c r="M11" s="308">
        <f t="shared" si="4"/>
        <v>94178</v>
      </c>
      <c r="N11" s="230">
        <f t="shared" si="5"/>
        <v>0.48945248551308368</v>
      </c>
      <c r="O11" s="308">
        <v>6326</v>
      </c>
      <c r="P11" s="230">
        <f t="shared" si="6"/>
        <v>3.2876854715068994E-2</v>
      </c>
      <c r="Q11" s="308">
        <v>0</v>
      </c>
      <c r="R11" s="230">
        <f t="shared" si="7"/>
        <v>0</v>
      </c>
      <c r="S11" s="308">
        <f t="shared" si="8"/>
        <v>6326</v>
      </c>
      <c r="T11" s="230">
        <f t="shared" si="9"/>
        <v>3.2876854715068994E-2</v>
      </c>
      <c r="U11" s="308">
        <v>1959</v>
      </c>
      <c r="V11" s="230">
        <f t="shared" si="10"/>
        <v>1.0181118935633917E-2</v>
      </c>
      <c r="W11" s="308">
        <v>9903</v>
      </c>
      <c r="X11" s="230">
        <f t="shared" si="11"/>
        <v>5.1466881480134084E-2</v>
      </c>
      <c r="Y11" s="308">
        <v>4541</v>
      </c>
      <c r="Z11" s="230">
        <f t="shared" si="12"/>
        <v>2.3600031182600109E-2</v>
      </c>
      <c r="AA11" s="308">
        <v>13213</v>
      </c>
      <c r="AB11" s="230">
        <f t="shared" si="13"/>
        <v>6.8669282540342491E-2</v>
      </c>
      <c r="AC11" s="308">
        <f t="shared" si="14"/>
        <v>17754</v>
      </c>
      <c r="AD11" s="230">
        <f t="shared" si="15"/>
        <v>9.22693137229426E-2</v>
      </c>
      <c r="AE11" s="308">
        <v>20362</v>
      </c>
      <c r="AF11" s="230">
        <f t="shared" si="16"/>
        <v>0.10582335057038172</v>
      </c>
      <c r="AG11" s="308">
        <v>0</v>
      </c>
      <c r="AH11" s="230">
        <f t="shared" si="17"/>
        <v>0</v>
      </c>
      <c r="AI11" s="308">
        <v>30085</v>
      </c>
      <c r="AJ11" s="230">
        <f t="shared" si="18"/>
        <v>0.15635475404724164</v>
      </c>
      <c r="AK11" s="308">
        <v>11848</v>
      </c>
      <c r="AL11" s="230">
        <f t="shared" si="19"/>
        <v>6.1575241015513343E-2</v>
      </c>
    </row>
    <row r="12" spans="1:38" s="73" customFormat="1" ht="14.25" customHeight="1">
      <c r="B12" s="580"/>
      <c r="C12" s="584"/>
      <c r="D12" s="170">
        <f t="shared" si="20"/>
        <v>46208</v>
      </c>
      <c r="E12" s="170" t="s">
        <v>116</v>
      </c>
      <c r="F12" s="321">
        <f t="shared" si="0"/>
        <v>234759</v>
      </c>
      <c r="G12" s="592"/>
      <c r="H12" s="594"/>
      <c r="I12" s="520">
        <v>47177</v>
      </c>
      <c r="J12" s="230">
        <f t="shared" si="2"/>
        <v>0.20095928164628407</v>
      </c>
      <c r="K12" s="308">
        <v>68899</v>
      </c>
      <c r="L12" s="230">
        <f t="shared" si="3"/>
        <v>0.2934882155742698</v>
      </c>
      <c r="M12" s="308">
        <f t="shared" si="4"/>
        <v>116076</v>
      </c>
      <c r="N12" s="230">
        <f t="shared" si="5"/>
        <v>0.49444749722055387</v>
      </c>
      <c r="O12" s="308">
        <v>8773</v>
      </c>
      <c r="P12" s="230">
        <f t="shared" si="6"/>
        <v>3.7370239266652186E-2</v>
      </c>
      <c r="Q12" s="308">
        <v>0</v>
      </c>
      <c r="R12" s="230">
        <f t="shared" si="7"/>
        <v>0</v>
      </c>
      <c r="S12" s="308">
        <f t="shared" si="8"/>
        <v>8773</v>
      </c>
      <c r="T12" s="230">
        <f t="shared" si="9"/>
        <v>3.7370239266652186E-2</v>
      </c>
      <c r="U12" s="308">
        <v>2774</v>
      </c>
      <c r="V12" s="230">
        <f t="shared" si="10"/>
        <v>1.1816373387175784E-2</v>
      </c>
      <c r="W12" s="308">
        <v>10858</v>
      </c>
      <c r="X12" s="230">
        <f t="shared" si="11"/>
        <v>4.6251687901209322E-2</v>
      </c>
      <c r="Y12" s="308">
        <v>5167</v>
      </c>
      <c r="Z12" s="230">
        <f t="shared" si="12"/>
        <v>2.2009805800842566E-2</v>
      </c>
      <c r="AA12" s="308">
        <v>14280</v>
      </c>
      <c r="AB12" s="230">
        <f t="shared" si="13"/>
        <v>6.0828338849628766E-2</v>
      </c>
      <c r="AC12" s="308">
        <f t="shared" si="14"/>
        <v>19447</v>
      </c>
      <c r="AD12" s="230">
        <f t="shared" si="15"/>
        <v>8.2838144650471332E-2</v>
      </c>
      <c r="AE12" s="308">
        <v>30337</v>
      </c>
      <c r="AF12" s="230">
        <f t="shared" si="16"/>
        <v>0.12922614255470505</v>
      </c>
      <c r="AG12" s="308">
        <v>0</v>
      </c>
      <c r="AH12" s="230">
        <f t="shared" si="17"/>
        <v>0</v>
      </c>
      <c r="AI12" s="308">
        <v>33607</v>
      </c>
      <c r="AJ12" s="230">
        <f t="shared" si="18"/>
        <v>0.14315532098875869</v>
      </c>
      <c r="AK12" s="308">
        <v>12887</v>
      </c>
      <c r="AL12" s="230">
        <f t="shared" si="19"/>
        <v>5.4894594030473802E-2</v>
      </c>
    </row>
    <row r="13" spans="1:38" s="73" customFormat="1" ht="14.25" customHeight="1">
      <c r="B13" s="581"/>
      <c r="C13" s="584"/>
      <c r="D13" s="170">
        <f t="shared" si="20"/>
        <v>46209</v>
      </c>
      <c r="E13" s="170" t="s">
        <v>117</v>
      </c>
      <c r="F13" s="321">
        <f t="shared" si="0"/>
        <v>227126</v>
      </c>
      <c r="G13" s="592"/>
      <c r="H13" s="594"/>
      <c r="I13" s="520">
        <v>46467</v>
      </c>
      <c r="J13" s="230">
        <f t="shared" si="2"/>
        <v>0.20458688129056118</v>
      </c>
      <c r="K13" s="308">
        <v>68106</v>
      </c>
      <c r="L13" s="230">
        <f t="shared" si="3"/>
        <v>0.29985998960929178</v>
      </c>
      <c r="M13" s="308">
        <f t="shared" si="4"/>
        <v>114573</v>
      </c>
      <c r="N13" s="230">
        <f t="shared" si="5"/>
        <v>0.50444687089985296</v>
      </c>
      <c r="O13" s="308">
        <v>8688</v>
      </c>
      <c r="P13" s="230">
        <f t="shared" si="6"/>
        <v>3.8251895423685532E-2</v>
      </c>
      <c r="Q13" s="308">
        <v>0</v>
      </c>
      <c r="R13" s="230">
        <f t="shared" si="7"/>
        <v>0</v>
      </c>
      <c r="S13" s="308">
        <f t="shared" si="8"/>
        <v>8688</v>
      </c>
      <c r="T13" s="230">
        <f t="shared" si="9"/>
        <v>3.8251895423685532E-2</v>
      </c>
      <c r="U13" s="308">
        <v>2592</v>
      </c>
      <c r="V13" s="230">
        <f t="shared" si="10"/>
        <v>1.1412167695464192E-2</v>
      </c>
      <c r="W13" s="308">
        <v>11801</v>
      </c>
      <c r="X13" s="230">
        <f t="shared" si="11"/>
        <v>5.1957944048677825E-2</v>
      </c>
      <c r="Y13" s="308">
        <v>4292</v>
      </c>
      <c r="Z13" s="230">
        <f t="shared" si="12"/>
        <v>1.8896999903137465E-2</v>
      </c>
      <c r="AA13" s="308">
        <v>13922</v>
      </c>
      <c r="AB13" s="230">
        <f t="shared" si="13"/>
        <v>6.1296372938369009E-2</v>
      </c>
      <c r="AC13" s="308">
        <f t="shared" si="14"/>
        <v>18214</v>
      </c>
      <c r="AD13" s="230">
        <f t="shared" si="15"/>
        <v>8.0193372841506474E-2</v>
      </c>
      <c r="AE13" s="308">
        <v>26496</v>
      </c>
      <c r="AF13" s="230">
        <f t="shared" si="16"/>
        <v>0.11665771422030062</v>
      </c>
      <c r="AG13" s="308">
        <v>0</v>
      </c>
      <c r="AH13" s="230">
        <f t="shared" si="17"/>
        <v>0</v>
      </c>
      <c r="AI13" s="308">
        <v>31068</v>
      </c>
      <c r="AJ13" s="230">
        <f t="shared" si="18"/>
        <v>0.13678751001646663</v>
      </c>
      <c r="AK13" s="308">
        <v>13694</v>
      </c>
      <c r="AL13" s="230">
        <f t="shared" si="19"/>
        <v>6.0292524854045772E-2</v>
      </c>
    </row>
    <row r="14" spans="1:38" s="73" customFormat="1" ht="14.25" customHeight="1">
      <c r="B14" s="579">
        <f>D15+7</f>
        <v>46218</v>
      </c>
      <c r="C14" s="584"/>
      <c r="D14" s="170">
        <f t="shared" si="20"/>
        <v>46210</v>
      </c>
      <c r="E14" s="170" t="s">
        <v>118</v>
      </c>
      <c r="F14" s="321">
        <f t="shared" si="0"/>
        <v>249215</v>
      </c>
      <c r="G14" s="592">
        <f>SUM(F14:F20)</f>
        <v>1514096</v>
      </c>
      <c r="H14" s="594"/>
      <c r="I14" s="520">
        <v>46233</v>
      </c>
      <c r="J14" s="230">
        <f t="shared" si="2"/>
        <v>0.18551451557891779</v>
      </c>
      <c r="K14" s="308">
        <v>66245</v>
      </c>
      <c r="L14" s="230">
        <f t="shared" si="3"/>
        <v>0.2658146580262023</v>
      </c>
      <c r="M14" s="308">
        <f t="shared" si="4"/>
        <v>112478</v>
      </c>
      <c r="N14" s="230">
        <f t="shared" si="5"/>
        <v>0.45132917360512009</v>
      </c>
      <c r="O14" s="308">
        <v>8659</v>
      </c>
      <c r="P14" s="230">
        <f t="shared" si="6"/>
        <v>3.4745099612784144E-2</v>
      </c>
      <c r="Q14" s="308">
        <v>0</v>
      </c>
      <c r="R14" s="230">
        <f t="shared" si="7"/>
        <v>0</v>
      </c>
      <c r="S14" s="308">
        <f t="shared" si="8"/>
        <v>8659</v>
      </c>
      <c r="T14" s="230">
        <f t="shared" si="9"/>
        <v>3.4745099612784144E-2</v>
      </c>
      <c r="U14" s="308">
        <v>11796</v>
      </c>
      <c r="V14" s="230">
        <f t="shared" si="10"/>
        <v>4.7332624440743938E-2</v>
      </c>
      <c r="W14" s="308">
        <v>10943</v>
      </c>
      <c r="X14" s="230">
        <f t="shared" si="11"/>
        <v>4.3909877013823408E-2</v>
      </c>
      <c r="Y14" s="308">
        <v>13734</v>
      </c>
      <c r="Z14" s="230">
        <f t="shared" si="12"/>
        <v>5.5109042393114378E-2</v>
      </c>
      <c r="AA14" s="308">
        <v>13478</v>
      </c>
      <c r="AB14" s="230">
        <f t="shared" si="13"/>
        <v>5.4081816905081959E-2</v>
      </c>
      <c r="AC14" s="308">
        <f t="shared" si="14"/>
        <v>27212</v>
      </c>
      <c r="AD14" s="230">
        <f t="shared" si="15"/>
        <v>0.10919085929819633</v>
      </c>
      <c r="AE14" s="308">
        <v>24810</v>
      </c>
      <c r="AF14" s="230">
        <f t="shared" si="16"/>
        <v>9.9552595148767131E-2</v>
      </c>
      <c r="AG14" s="308">
        <v>0</v>
      </c>
      <c r="AH14" s="230">
        <f t="shared" si="17"/>
        <v>0</v>
      </c>
      <c r="AI14" s="308">
        <v>40029</v>
      </c>
      <c r="AJ14" s="230">
        <f t="shared" si="18"/>
        <v>0.16062034789238208</v>
      </c>
      <c r="AK14" s="308">
        <v>13288</v>
      </c>
      <c r="AL14" s="230">
        <f t="shared" si="19"/>
        <v>5.3319422988182895E-2</v>
      </c>
    </row>
    <row r="15" spans="1:38" s="73" customFormat="1" ht="14.25" customHeight="1">
      <c r="B15" s="580"/>
      <c r="C15" s="584"/>
      <c r="D15" s="170">
        <f t="shared" si="20"/>
        <v>46211</v>
      </c>
      <c r="E15" s="170" t="s">
        <v>112</v>
      </c>
      <c r="F15" s="321">
        <f t="shared" si="0"/>
        <v>230160</v>
      </c>
      <c r="G15" s="592"/>
      <c r="H15" s="594"/>
      <c r="I15" s="520">
        <v>44805</v>
      </c>
      <c r="J15" s="230">
        <f t="shared" si="2"/>
        <v>0.19466892596454641</v>
      </c>
      <c r="K15" s="308">
        <v>61375</v>
      </c>
      <c r="L15" s="230">
        <f t="shared" si="3"/>
        <v>0.26666232186305178</v>
      </c>
      <c r="M15" s="308">
        <f t="shared" si="4"/>
        <v>106180</v>
      </c>
      <c r="N15" s="230">
        <f t="shared" si="5"/>
        <v>0.46133124782759821</v>
      </c>
      <c r="O15" s="308">
        <v>8552</v>
      </c>
      <c r="P15" s="230">
        <f t="shared" si="6"/>
        <v>3.715676051442475E-2</v>
      </c>
      <c r="Q15" s="308">
        <v>0</v>
      </c>
      <c r="R15" s="230">
        <f t="shared" si="7"/>
        <v>0</v>
      </c>
      <c r="S15" s="308">
        <f t="shared" si="8"/>
        <v>8552</v>
      </c>
      <c r="T15" s="230">
        <f t="shared" si="9"/>
        <v>3.715676051442475E-2</v>
      </c>
      <c r="U15" s="308">
        <v>7808</v>
      </c>
      <c r="V15" s="230">
        <f t="shared" si="10"/>
        <v>3.3924226624956554E-2</v>
      </c>
      <c r="W15" s="308">
        <v>10614</v>
      </c>
      <c r="X15" s="230">
        <f t="shared" si="11"/>
        <v>4.6115745568300316E-2</v>
      </c>
      <c r="Y15" s="308">
        <v>10532</v>
      </c>
      <c r="Z15" s="230">
        <f t="shared" si="12"/>
        <v>4.5759471671880429E-2</v>
      </c>
      <c r="AA15" s="308">
        <v>13276</v>
      </c>
      <c r="AB15" s="230">
        <f t="shared" si="13"/>
        <v>5.7681612791101844E-2</v>
      </c>
      <c r="AC15" s="308">
        <f t="shared" si="14"/>
        <v>23808</v>
      </c>
      <c r="AD15" s="230">
        <f t="shared" si="15"/>
        <v>0.10344108446298228</v>
      </c>
      <c r="AE15" s="308">
        <v>23380</v>
      </c>
      <c r="AF15" s="230">
        <f t="shared" si="16"/>
        <v>0.10158150851581509</v>
      </c>
      <c r="AG15" s="308">
        <v>0</v>
      </c>
      <c r="AH15" s="230">
        <f t="shared" si="17"/>
        <v>0</v>
      </c>
      <c r="AI15" s="308">
        <v>36686</v>
      </c>
      <c r="AJ15" s="230">
        <f t="shared" si="18"/>
        <v>0.15939346541536323</v>
      </c>
      <c r="AK15" s="308">
        <v>13132</v>
      </c>
      <c r="AL15" s="230">
        <f t="shared" si="19"/>
        <v>5.7055961070559609E-2</v>
      </c>
    </row>
    <row r="16" spans="1:38" s="73" customFormat="1" ht="14.25" customHeight="1">
      <c r="B16" s="580"/>
      <c r="C16" s="584"/>
      <c r="D16" s="170">
        <f t="shared" si="20"/>
        <v>46212</v>
      </c>
      <c r="E16" s="170" t="s">
        <v>113</v>
      </c>
      <c r="F16" s="321">
        <f t="shared" si="0"/>
        <v>211372</v>
      </c>
      <c r="G16" s="592"/>
      <c r="H16" s="594"/>
      <c r="I16" s="520">
        <v>40163</v>
      </c>
      <c r="J16" s="230">
        <f t="shared" si="2"/>
        <v>0.19001097590977045</v>
      </c>
      <c r="K16" s="308">
        <v>53139</v>
      </c>
      <c r="L16" s="230">
        <f t="shared" si="3"/>
        <v>0.25140037469485077</v>
      </c>
      <c r="M16" s="308">
        <f t="shared" si="4"/>
        <v>93302</v>
      </c>
      <c r="N16" s="230">
        <f t="shared" si="5"/>
        <v>0.44141135060462122</v>
      </c>
      <c r="O16" s="308">
        <v>7949</v>
      </c>
      <c r="P16" s="230">
        <f t="shared" si="6"/>
        <v>3.7606683950570555E-2</v>
      </c>
      <c r="Q16" s="308">
        <v>0</v>
      </c>
      <c r="R16" s="230">
        <f t="shared" si="7"/>
        <v>0</v>
      </c>
      <c r="S16" s="308">
        <f t="shared" si="8"/>
        <v>7949</v>
      </c>
      <c r="T16" s="230">
        <f t="shared" si="9"/>
        <v>3.7606683950570555E-2</v>
      </c>
      <c r="U16" s="308">
        <v>7232</v>
      </c>
      <c r="V16" s="230">
        <f t="shared" si="10"/>
        <v>3.4214560112029974E-2</v>
      </c>
      <c r="W16" s="308">
        <v>10237</v>
      </c>
      <c r="X16" s="230">
        <f t="shared" si="11"/>
        <v>4.8431201862119862E-2</v>
      </c>
      <c r="Y16" s="308">
        <v>9723</v>
      </c>
      <c r="Z16" s="230">
        <f t="shared" si="12"/>
        <v>4.5999470128493841E-2</v>
      </c>
      <c r="AA16" s="308">
        <v>12306</v>
      </c>
      <c r="AB16" s="230">
        <f t="shared" si="13"/>
        <v>5.8219631739303217E-2</v>
      </c>
      <c r="AC16" s="308">
        <f t="shared" si="14"/>
        <v>22029</v>
      </c>
      <c r="AD16" s="230">
        <f t="shared" si="15"/>
        <v>0.10421910186779706</v>
      </c>
      <c r="AE16" s="308">
        <v>23273</v>
      </c>
      <c r="AF16" s="230">
        <f t="shared" si="16"/>
        <v>0.11010446038264292</v>
      </c>
      <c r="AG16" s="308">
        <v>0</v>
      </c>
      <c r="AH16" s="230">
        <f t="shared" si="17"/>
        <v>0</v>
      </c>
      <c r="AI16" s="308">
        <v>33866</v>
      </c>
      <c r="AJ16" s="230">
        <f t="shared" si="18"/>
        <v>0.16021989667505629</v>
      </c>
      <c r="AK16" s="308">
        <v>13484</v>
      </c>
      <c r="AL16" s="230">
        <f t="shared" si="19"/>
        <v>6.3792744545162081E-2</v>
      </c>
    </row>
    <row r="17" spans="2:38" s="73" customFormat="1" ht="14.25" customHeight="1">
      <c r="B17" s="580"/>
      <c r="C17" s="584"/>
      <c r="D17" s="170">
        <f t="shared" si="20"/>
        <v>46213</v>
      </c>
      <c r="E17" s="170" t="s">
        <v>114</v>
      </c>
      <c r="F17" s="321">
        <f t="shared" si="0"/>
        <v>168721</v>
      </c>
      <c r="G17" s="592"/>
      <c r="H17" s="594"/>
      <c r="I17" s="520">
        <v>30451</v>
      </c>
      <c r="J17" s="230">
        <f t="shared" si="2"/>
        <v>0.18048138643085329</v>
      </c>
      <c r="K17" s="308">
        <v>46500</v>
      </c>
      <c r="L17" s="230">
        <f t="shared" si="3"/>
        <v>0.27560291842746309</v>
      </c>
      <c r="M17" s="308">
        <f t="shared" si="4"/>
        <v>76951</v>
      </c>
      <c r="N17" s="230">
        <f t="shared" si="5"/>
        <v>0.45608430485831641</v>
      </c>
      <c r="O17" s="308">
        <v>6208</v>
      </c>
      <c r="P17" s="230">
        <f t="shared" si="6"/>
        <v>3.6794471346186901E-2</v>
      </c>
      <c r="Q17" s="308">
        <v>0</v>
      </c>
      <c r="R17" s="230">
        <f t="shared" si="7"/>
        <v>0</v>
      </c>
      <c r="S17" s="308">
        <f t="shared" si="8"/>
        <v>6208</v>
      </c>
      <c r="T17" s="230">
        <f t="shared" si="9"/>
        <v>3.6794471346186901E-2</v>
      </c>
      <c r="U17" s="308">
        <v>6217</v>
      </c>
      <c r="V17" s="230">
        <f t="shared" si="10"/>
        <v>3.6847813846527702E-2</v>
      </c>
      <c r="W17" s="308">
        <v>7579</v>
      </c>
      <c r="X17" s="230">
        <f t="shared" si="11"/>
        <v>4.4920312231435326E-2</v>
      </c>
      <c r="Y17" s="308">
        <v>7492</v>
      </c>
      <c r="Z17" s="230">
        <f t="shared" si="12"/>
        <v>4.4404668061474271E-2</v>
      </c>
      <c r="AA17" s="308">
        <v>10740</v>
      </c>
      <c r="AB17" s="230">
        <f t="shared" si="13"/>
        <v>6.3655383740020513E-2</v>
      </c>
      <c r="AC17" s="308">
        <f t="shared" si="14"/>
        <v>18232</v>
      </c>
      <c r="AD17" s="230">
        <f t="shared" si="15"/>
        <v>0.10806005180149478</v>
      </c>
      <c r="AE17" s="308">
        <v>18753</v>
      </c>
      <c r="AF17" s="230">
        <f t="shared" si="16"/>
        <v>0.11114798987677882</v>
      </c>
      <c r="AG17" s="308">
        <v>0</v>
      </c>
      <c r="AH17" s="230">
        <f t="shared" si="17"/>
        <v>0</v>
      </c>
      <c r="AI17" s="308">
        <v>24332</v>
      </c>
      <c r="AJ17" s="230">
        <f t="shared" si="18"/>
        <v>0.1442144131435921</v>
      </c>
      <c r="AK17" s="308">
        <v>10449</v>
      </c>
      <c r="AL17" s="230">
        <f t="shared" si="19"/>
        <v>6.1930642895667999E-2</v>
      </c>
    </row>
    <row r="18" spans="2:38" s="73" customFormat="1" ht="14.25" customHeight="1">
      <c r="B18" s="580"/>
      <c r="C18" s="584"/>
      <c r="D18" s="170">
        <f t="shared" si="20"/>
        <v>46214</v>
      </c>
      <c r="E18" s="170" t="s">
        <v>115</v>
      </c>
      <c r="F18" s="321">
        <f t="shared" si="0"/>
        <v>191243</v>
      </c>
      <c r="G18" s="592"/>
      <c r="H18" s="594"/>
      <c r="I18" s="520">
        <v>30361</v>
      </c>
      <c r="J18" s="230">
        <f t="shared" si="2"/>
        <v>0.15875613747954173</v>
      </c>
      <c r="K18" s="308">
        <v>56798</v>
      </c>
      <c r="L18" s="230">
        <f t="shared" si="3"/>
        <v>0.29699387690006956</v>
      </c>
      <c r="M18" s="308">
        <f t="shared" si="4"/>
        <v>87159</v>
      </c>
      <c r="N18" s="230">
        <f t="shared" si="5"/>
        <v>0.45575001437961127</v>
      </c>
      <c r="O18" s="308">
        <v>6270</v>
      </c>
      <c r="P18" s="230">
        <f t="shared" si="6"/>
        <v>3.278551371814916E-2</v>
      </c>
      <c r="Q18" s="308">
        <v>0</v>
      </c>
      <c r="R18" s="230">
        <f t="shared" si="7"/>
        <v>0</v>
      </c>
      <c r="S18" s="308">
        <f t="shared" si="8"/>
        <v>6270</v>
      </c>
      <c r="T18" s="230">
        <f t="shared" si="9"/>
        <v>3.278551371814916E-2</v>
      </c>
      <c r="U18" s="308">
        <v>7631</v>
      </c>
      <c r="V18" s="230">
        <f t="shared" si="10"/>
        <v>3.9902114064305619E-2</v>
      </c>
      <c r="W18" s="308">
        <v>8687</v>
      </c>
      <c r="X18" s="230">
        <f t="shared" si="11"/>
        <v>4.5423884795783374E-2</v>
      </c>
      <c r="Y18" s="308">
        <v>8876</v>
      </c>
      <c r="Z18" s="230">
        <f t="shared" si="12"/>
        <v>4.6412156261928544E-2</v>
      </c>
      <c r="AA18" s="308">
        <v>12336</v>
      </c>
      <c r="AB18" s="230">
        <f t="shared" si="13"/>
        <v>6.4504321726808297E-2</v>
      </c>
      <c r="AC18" s="308">
        <f t="shared" si="14"/>
        <v>21212</v>
      </c>
      <c r="AD18" s="230">
        <f t="shared" si="15"/>
        <v>0.11091647798873684</v>
      </c>
      <c r="AE18" s="308">
        <v>20296</v>
      </c>
      <c r="AF18" s="230">
        <f t="shared" si="16"/>
        <v>0.1061267601951444</v>
      </c>
      <c r="AG18" s="308">
        <v>0</v>
      </c>
      <c r="AH18" s="230">
        <f t="shared" si="17"/>
        <v>0</v>
      </c>
      <c r="AI18" s="308">
        <v>28312</v>
      </c>
      <c r="AJ18" s="230">
        <f t="shared" si="18"/>
        <v>0.1480420198386346</v>
      </c>
      <c r="AK18" s="308">
        <v>11676</v>
      </c>
      <c r="AL18" s="230">
        <f t="shared" si="19"/>
        <v>6.1053215019634705E-2</v>
      </c>
    </row>
    <row r="19" spans="2:38" s="73" customFormat="1" ht="14.25" customHeight="1">
      <c r="B19" s="580"/>
      <c r="C19" s="584"/>
      <c r="D19" s="170">
        <f t="shared" si="20"/>
        <v>46215</v>
      </c>
      <c r="E19" s="170" t="s">
        <v>116</v>
      </c>
      <c r="F19" s="321">
        <f t="shared" si="0"/>
        <v>237620</v>
      </c>
      <c r="G19" s="592"/>
      <c r="H19" s="594"/>
      <c r="I19" s="520">
        <v>43521</v>
      </c>
      <c r="J19" s="230">
        <f t="shared" si="2"/>
        <v>0.18315377493476981</v>
      </c>
      <c r="K19" s="308">
        <v>62461</v>
      </c>
      <c r="L19" s="230">
        <f t="shared" si="3"/>
        <v>0.26286087029711303</v>
      </c>
      <c r="M19" s="308">
        <f t="shared" si="4"/>
        <v>105982</v>
      </c>
      <c r="N19" s="230">
        <f t="shared" si="5"/>
        <v>0.44601464523188283</v>
      </c>
      <c r="O19" s="308">
        <v>8389</v>
      </c>
      <c r="P19" s="230">
        <f t="shared" si="6"/>
        <v>3.5304267317565863E-2</v>
      </c>
      <c r="Q19" s="308">
        <v>0</v>
      </c>
      <c r="R19" s="230">
        <f t="shared" si="7"/>
        <v>0</v>
      </c>
      <c r="S19" s="308">
        <f t="shared" si="8"/>
        <v>8389</v>
      </c>
      <c r="T19" s="230">
        <f t="shared" si="9"/>
        <v>3.5304267317565863E-2</v>
      </c>
      <c r="U19" s="308">
        <v>8939</v>
      </c>
      <c r="V19" s="230">
        <f t="shared" si="10"/>
        <v>3.76188872990489E-2</v>
      </c>
      <c r="W19" s="308">
        <v>9563</v>
      </c>
      <c r="X19" s="230">
        <f t="shared" si="11"/>
        <v>4.024492887804057E-2</v>
      </c>
      <c r="Y19" s="308">
        <v>11598</v>
      </c>
      <c r="Z19" s="230">
        <f t="shared" si="12"/>
        <v>4.880902280952782E-2</v>
      </c>
      <c r="AA19" s="308">
        <v>15117</v>
      </c>
      <c r="AB19" s="230">
        <f t="shared" si="13"/>
        <v>6.3618382291052947E-2</v>
      </c>
      <c r="AC19" s="308">
        <f t="shared" si="14"/>
        <v>26715</v>
      </c>
      <c r="AD19" s="230">
        <f t="shared" si="15"/>
        <v>0.11242740510058076</v>
      </c>
      <c r="AE19" s="308">
        <v>31411</v>
      </c>
      <c r="AF19" s="230">
        <f t="shared" si="16"/>
        <v>0.1321900513424796</v>
      </c>
      <c r="AG19" s="308">
        <v>0</v>
      </c>
      <c r="AH19" s="230">
        <f t="shared" si="17"/>
        <v>0</v>
      </c>
      <c r="AI19" s="308">
        <v>33106</v>
      </c>
      <c r="AJ19" s="230">
        <f t="shared" si="18"/>
        <v>0.13932328928541368</v>
      </c>
      <c r="AK19" s="308">
        <v>13515</v>
      </c>
      <c r="AL19" s="230">
        <f t="shared" si="19"/>
        <v>5.6876525544987795E-2</v>
      </c>
    </row>
    <row r="20" spans="2:38" s="73" customFormat="1" ht="14.25" customHeight="1">
      <c r="B20" s="581"/>
      <c r="C20" s="584"/>
      <c r="D20" s="170">
        <f t="shared" si="20"/>
        <v>46216</v>
      </c>
      <c r="E20" s="170" t="s">
        <v>117</v>
      </c>
      <c r="F20" s="321">
        <f t="shared" si="0"/>
        <v>225765</v>
      </c>
      <c r="G20" s="592"/>
      <c r="H20" s="594"/>
      <c r="I20" s="520">
        <v>42515</v>
      </c>
      <c r="J20" s="230">
        <f t="shared" si="2"/>
        <v>0.18831528359134497</v>
      </c>
      <c r="K20" s="308">
        <v>60543</v>
      </c>
      <c r="L20" s="230">
        <f t="shared" si="3"/>
        <v>0.26816822802471596</v>
      </c>
      <c r="M20" s="308">
        <f t="shared" si="4"/>
        <v>103058</v>
      </c>
      <c r="N20" s="230">
        <f t="shared" si="5"/>
        <v>0.45648351161606093</v>
      </c>
      <c r="O20" s="308">
        <v>8327</v>
      </c>
      <c r="P20" s="230">
        <f t="shared" si="6"/>
        <v>3.6883485039753729E-2</v>
      </c>
      <c r="Q20" s="308">
        <v>0</v>
      </c>
      <c r="R20" s="230">
        <f t="shared" si="7"/>
        <v>0</v>
      </c>
      <c r="S20" s="308">
        <f t="shared" si="8"/>
        <v>8327</v>
      </c>
      <c r="T20" s="230">
        <f t="shared" si="9"/>
        <v>3.6883485039753729E-2</v>
      </c>
      <c r="U20" s="308">
        <v>7394</v>
      </c>
      <c r="V20" s="230">
        <f t="shared" si="10"/>
        <v>3.2750869266715388E-2</v>
      </c>
      <c r="W20" s="308">
        <v>10474</v>
      </c>
      <c r="X20" s="230">
        <f t="shared" si="11"/>
        <v>4.6393373640732621E-2</v>
      </c>
      <c r="Y20" s="308">
        <v>9547</v>
      </c>
      <c r="Z20" s="230">
        <f t="shared" si="12"/>
        <v>4.2287334174916397E-2</v>
      </c>
      <c r="AA20" s="308">
        <v>15380</v>
      </c>
      <c r="AB20" s="230">
        <f t="shared" si="13"/>
        <v>6.8123934179345785E-2</v>
      </c>
      <c r="AC20" s="308">
        <f t="shared" si="14"/>
        <v>24927</v>
      </c>
      <c r="AD20" s="230">
        <f t="shared" si="15"/>
        <v>0.11041126835426218</v>
      </c>
      <c r="AE20" s="308">
        <v>27381</v>
      </c>
      <c r="AF20" s="230">
        <f t="shared" si="16"/>
        <v>0.12128097800810578</v>
      </c>
      <c r="AG20" s="308">
        <v>0</v>
      </c>
      <c r="AH20" s="230">
        <f t="shared" si="17"/>
        <v>0</v>
      </c>
      <c r="AI20" s="308">
        <v>29527</v>
      </c>
      <c r="AJ20" s="230">
        <f t="shared" si="18"/>
        <v>0.13078643722454764</v>
      </c>
      <c r="AK20" s="308">
        <v>14677</v>
      </c>
      <c r="AL20" s="230">
        <f t="shared" si="19"/>
        <v>6.5010076849821713E-2</v>
      </c>
    </row>
    <row r="21" spans="2:38" s="73" customFormat="1" ht="14.25" customHeight="1">
      <c r="B21" s="579">
        <f>D22+7</f>
        <v>46225</v>
      </c>
      <c r="C21" s="584"/>
      <c r="D21" s="170">
        <f t="shared" si="20"/>
        <v>46217</v>
      </c>
      <c r="E21" s="170" t="s">
        <v>118</v>
      </c>
      <c r="F21" s="321">
        <f t="shared" si="0"/>
        <v>215096</v>
      </c>
      <c r="G21" s="592">
        <f t="shared" ref="G21" si="21">SUM(F21:F27)</f>
        <v>1380106</v>
      </c>
      <c r="H21" s="594"/>
      <c r="I21" s="520">
        <v>46118</v>
      </c>
      <c r="J21" s="230">
        <f t="shared" si="2"/>
        <v>0.21440659054561684</v>
      </c>
      <c r="K21" s="308">
        <v>58009</v>
      </c>
      <c r="L21" s="230">
        <f t="shared" si="3"/>
        <v>0.26968888310335848</v>
      </c>
      <c r="M21" s="308">
        <f t="shared" si="4"/>
        <v>104127</v>
      </c>
      <c r="N21" s="230">
        <f t="shared" si="5"/>
        <v>0.48409547364897532</v>
      </c>
      <c r="O21" s="308">
        <v>8177</v>
      </c>
      <c r="P21" s="230">
        <f t="shared" si="6"/>
        <v>3.8015583739353591E-2</v>
      </c>
      <c r="Q21" s="308">
        <v>0</v>
      </c>
      <c r="R21" s="230">
        <f t="shared" si="7"/>
        <v>0</v>
      </c>
      <c r="S21" s="308">
        <f t="shared" si="8"/>
        <v>8177</v>
      </c>
      <c r="T21" s="230">
        <f t="shared" si="9"/>
        <v>3.8015583739353591E-2</v>
      </c>
      <c r="U21" s="308">
        <v>6132</v>
      </c>
      <c r="V21" s="230">
        <f t="shared" si="10"/>
        <v>2.8508200989325695E-2</v>
      </c>
      <c r="W21" s="308">
        <v>9893</v>
      </c>
      <c r="X21" s="230">
        <f t="shared" si="11"/>
        <v>4.5993416892922231E-2</v>
      </c>
      <c r="Y21" s="308">
        <v>8432</v>
      </c>
      <c r="Z21" s="230">
        <f t="shared" si="12"/>
        <v>3.9201100903782496E-2</v>
      </c>
      <c r="AA21" s="308">
        <v>12230</v>
      </c>
      <c r="AB21" s="230">
        <f t="shared" si="13"/>
        <v>5.6858333023394207E-2</v>
      </c>
      <c r="AC21" s="308">
        <f t="shared" si="14"/>
        <v>20662</v>
      </c>
      <c r="AD21" s="230">
        <f t="shared" si="15"/>
        <v>9.6059433927176696E-2</v>
      </c>
      <c r="AE21" s="308">
        <v>27053</v>
      </c>
      <c r="AF21" s="230">
        <f t="shared" si="16"/>
        <v>0.12577174842860861</v>
      </c>
      <c r="AG21" s="308">
        <v>0</v>
      </c>
      <c r="AH21" s="230">
        <f t="shared" si="17"/>
        <v>0</v>
      </c>
      <c r="AI21" s="308">
        <v>26200</v>
      </c>
      <c r="AJ21" s="230">
        <f t="shared" si="18"/>
        <v>0.12180607728642094</v>
      </c>
      <c r="AK21" s="308">
        <v>12852</v>
      </c>
      <c r="AL21" s="230">
        <f t="shared" si="19"/>
        <v>5.9750065087216871E-2</v>
      </c>
    </row>
    <row r="22" spans="2:38" s="73" customFormat="1" ht="14.25" customHeight="1">
      <c r="B22" s="580"/>
      <c r="C22" s="584"/>
      <c r="D22" s="170">
        <f t="shared" si="20"/>
        <v>46218</v>
      </c>
      <c r="E22" s="170" t="s">
        <v>112</v>
      </c>
      <c r="F22" s="321">
        <f t="shared" si="0"/>
        <v>202647</v>
      </c>
      <c r="G22" s="592"/>
      <c r="H22" s="594"/>
      <c r="I22" s="520">
        <v>42400</v>
      </c>
      <c r="J22" s="230">
        <f t="shared" si="2"/>
        <v>0.20923082996540782</v>
      </c>
      <c r="K22" s="308">
        <v>55338</v>
      </c>
      <c r="L22" s="230">
        <f t="shared" si="3"/>
        <v>0.27307584124117307</v>
      </c>
      <c r="M22" s="308">
        <f t="shared" si="4"/>
        <v>97738</v>
      </c>
      <c r="N22" s="230">
        <f t="shared" si="5"/>
        <v>0.48230667120658088</v>
      </c>
      <c r="O22" s="308">
        <v>8117</v>
      </c>
      <c r="P22" s="230">
        <f t="shared" si="6"/>
        <v>4.005487374597206E-2</v>
      </c>
      <c r="Q22" s="308">
        <v>0</v>
      </c>
      <c r="R22" s="230">
        <f t="shared" si="7"/>
        <v>0</v>
      </c>
      <c r="S22" s="308">
        <f t="shared" si="8"/>
        <v>8117</v>
      </c>
      <c r="T22" s="230">
        <f t="shared" si="9"/>
        <v>4.005487374597206E-2</v>
      </c>
      <c r="U22" s="308">
        <v>6495</v>
      </c>
      <c r="V22" s="230">
        <f t="shared" si="10"/>
        <v>3.2050807561918013E-2</v>
      </c>
      <c r="W22" s="308">
        <v>9352</v>
      </c>
      <c r="X22" s="230">
        <f t="shared" si="11"/>
        <v>4.614921513765316E-2</v>
      </c>
      <c r="Y22" s="308">
        <v>8421</v>
      </c>
      <c r="Z22" s="230">
        <f t="shared" si="12"/>
        <v>4.1555019319308946E-2</v>
      </c>
      <c r="AA22" s="308">
        <v>10853</v>
      </c>
      <c r="AB22" s="230">
        <f t="shared" si="13"/>
        <v>5.3556183906004036E-2</v>
      </c>
      <c r="AC22" s="308">
        <f t="shared" si="14"/>
        <v>19274</v>
      </c>
      <c r="AD22" s="230">
        <f t="shared" si="15"/>
        <v>9.5111203225312982E-2</v>
      </c>
      <c r="AE22" s="308">
        <v>24643</v>
      </c>
      <c r="AF22" s="230">
        <f t="shared" si="16"/>
        <v>0.12160555053862135</v>
      </c>
      <c r="AG22" s="308">
        <v>0</v>
      </c>
      <c r="AH22" s="230">
        <f t="shared" si="17"/>
        <v>0</v>
      </c>
      <c r="AI22" s="308">
        <v>24229</v>
      </c>
      <c r="AJ22" s="230">
        <f t="shared" si="18"/>
        <v>0.11956258913282704</v>
      </c>
      <c r="AK22" s="308">
        <v>12799</v>
      </c>
      <c r="AL22" s="230">
        <f t="shared" si="19"/>
        <v>6.3159089451114495E-2</v>
      </c>
    </row>
    <row r="23" spans="2:38" s="73" customFormat="1" ht="14.25" customHeight="1">
      <c r="B23" s="580"/>
      <c r="C23" s="584"/>
      <c r="D23" s="170">
        <f t="shared" si="20"/>
        <v>46219</v>
      </c>
      <c r="E23" s="170" t="s">
        <v>113</v>
      </c>
      <c r="F23" s="321">
        <f t="shared" si="0"/>
        <v>187259</v>
      </c>
      <c r="G23" s="592"/>
      <c r="H23" s="594"/>
      <c r="I23" s="520">
        <v>40442</v>
      </c>
      <c r="J23" s="230">
        <f t="shared" si="2"/>
        <v>0.21596825786744561</v>
      </c>
      <c r="K23" s="308">
        <v>49238</v>
      </c>
      <c r="L23" s="230">
        <f t="shared" si="3"/>
        <v>0.26294063302698401</v>
      </c>
      <c r="M23" s="308">
        <f t="shared" si="4"/>
        <v>89680</v>
      </c>
      <c r="N23" s="230">
        <f t="shared" si="5"/>
        <v>0.47890889089442962</v>
      </c>
      <c r="O23" s="308">
        <v>8000</v>
      </c>
      <c r="P23" s="230">
        <f t="shared" si="6"/>
        <v>4.2721578135096312E-2</v>
      </c>
      <c r="Q23" s="308">
        <v>0</v>
      </c>
      <c r="R23" s="230">
        <f t="shared" si="7"/>
        <v>0</v>
      </c>
      <c r="S23" s="308">
        <f t="shared" si="8"/>
        <v>8000</v>
      </c>
      <c r="T23" s="230">
        <f t="shared" si="9"/>
        <v>4.2721578135096312E-2</v>
      </c>
      <c r="U23" s="308">
        <v>6101</v>
      </c>
      <c r="V23" s="230">
        <f t="shared" si="10"/>
        <v>3.2580543525277825E-2</v>
      </c>
      <c r="W23" s="308">
        <v>9180</v>
      </c>
      <c r="X23" s="230">
        <f t="shared" si="11"/>
        <v>4.9023010910023014E-2</v>
      </c>
      <c r="Y23" s="308">
        <v>8287</v>
      </c>
      <c r="Z23" s="230">
        <f t="shared" si="12"/>
        <v>4.425421475069289E-2</v>
      </c>
      <c r="AA23" s="308">
        <v>8851</v>
      </c>
      <c r="AB23" s="230">
        <f t="shared" si="13"/>
        <v>4.7266086009217181E-2</v>
      </c>
      <c r="AC23" s="308">
        <f t="shared" si="14"/>
        <v>17138</v>
      </c>
      <c r="AD23" s="230">
        <f t="shared" si="15"/>
        <v>9.1520300759910064E-2</v>
      </c>
      <c r="AE23" s="308">
        <v>21695</v>
      </c>
      <c r="AF23" s="230">
        <f t="shared" si="16"/>
        <v>0.1158555797051143</v>
      </c>
      <c r="AG23" s="308">
        <v>0</v>
      </c>
      <c r="AH23" s="230">
        <f t="shared" si="17"/>
        <v>0</v>
      </c>
      <c r="AI23" s="308">
        <v>23730</v>
      </c>
      <c r="AJ23" s="230">
        <f t="shared" si="18"/>
        <v>0.12672288114322944</v>
      </c>
      <c r="AK23" s="308">
        <v>11735</v>
      </c>
      <c r="AL23" s="230">
        <f t="shared" si="19"/>
        <v>6.2667214926919401E-2</v>
      </c>
    </row>
    <row r="24" spans="2:38" s="73" customFormat="1" ht="14.25" customHeight="1">
      <c r="B24" s="580"/>
      <c r="C24" s="584"/>
      <c r="D24" s="170">
        <f t="shared" si="20"/>
        <v>46220</v>
      </c>
      <c r="E24" s="170" t="s">
        <v>114</v>
      </c>
      <c r="F24" s="321">
        <f t="shared" si="0"/>
        <v>164894</v>
      </c>
      <c r="G24" s="592"/>
      <c r="H24" s="594"/>
      <c r="I24" s="520">
        <v>31950</v>
      </c>
      <c r="J24" s="230">
        <f t="shared" si="2"/>
        <v>0.19376084029740318</v>
      </c>
      <c r="K24" s="308">
        <v>45113</v>
      </c>
      <c r="L24" s="230">
        <f t="shared" si="3"/>
        <v>0.27358788069911577</v>
      </c>
      <c r="M24" s="308">
        <f t="shared" si="4"/>
        <v>77063</v>
      </c>
      <c r="N24" s="230">
        <f t="shared" si="5"/>
        <v>0.46734872099651897</v>
      </c>
      <c r="O24" s="308">
        <v>6404</v>
      </c>
      <c r="P24" s="230">
        <f t="shared" si="6"/>
        <v>3.8837071088092957E-2</v>
      </c>
      <c r="Q24" s="308">
        <v>0</v>
      </c>
      <c r="R24" s="230">
        <f t="shared" si="7"/>
        <v>0</v>
      </c>
      <c r="S24" s="308">
        <f t="shared" si="8"/>
        <v>6404</v>
      </c>
      <c r="T24" s="230">
        <f t="shared" si="9"/>
        <v>3.8837071088092957E-2</v>
      </c>
      <c r="U24" s="308">
        <v>5471</v>
      </c>
      <c r="V24" s="230">
        <f t="shared" si="10"/>
        <v>3.3178890681286162E-2</v>
      </c>
      <c r="W24" s="308">
        <v>7226</v>
      </c>
      <c r="X24" s="230">
        <f t="shared" si="11"/>
        <v>4.3822091768044927E-2</v>
      </c>
      <c r="Y24" s="308">
        <v>8672</v>
      </c>
      <c r="Z24" s="230">
        <f t="shared" si="12"/>
        <v>5.2591361723288904E-2</v>
      </c>
      <c r="AA24" s="308">
        <v>8742</v>
      </c>
      <c r="AB24" s="230">
        <f t="shared" si="13"/>
        <v>5.3015876866350502E-2</v>
      </c>
      <c r="AC24" s="308">
        <f t="shared" si="14"/>
        <v>17414</v>
      </c>
      <c r="AD24" s="230">
        <f t="shared" si="15"/>
        <v>0.1056072385896394</v>
      </c>
      <c r="AE24" s="308">
        <v>16349</v>
      </c>
      <c r="AF24" s="230">
        <f t="shared" si="16"/>
        <v>9.91485439130593E-2</v>
      </c>
      <c r="AG24" s="308">
        <v>0</v>
      </c>
      <c r="AH24" s="230">
        <f t="shared" si="17"/>
        <v>0</v>
      </c>
      <c r="AI24" s="308">
        <v>25122</v>
      </c>
      <c r="AJ24" s="230">
        <f t="shared" si="18"/>
        <v>0.15235242034276567</v>
      </c>
      <c r="AK24" s="308">
        <v>9845</v>
      </c>
      <c r="AL24" s="230">
        <f t="shared" si="19"/>
        <v>5.9705022620592622E-2</v>
      </c>
    </row>
    <row r="25" spans="2:38" s="73" customFormat="1" ht="14.25" customHeight="1">
      <c r="B25" s="580"/>
      <c r="C25" s="584"/>
      <c r="D25" s="170">
        <f t="shared" si="20"/>
        <v>46221</v>
      </c>
      <c r="E25" s="170" t="s">
        <v>115</v>
      </c>
      <c r="F25" s="321">
        <f t="shared" si="0"/>
        <v>172065</v>
      </c>
      <c r="G25" s="592"/>
      <c r="H25" s="594"/>
      <c r="I25" s="520">
        <v>30761</v>
      </c>
      <c r="J25" s="230">
        <f t="shared" si="2"/>
        <v>0.17877546276116585</v>
      </c>
      <c r="K25" s="308">
        <v>52335</v>
      </c>
      <c r="L25" s="230">
        <f t="shared" si="3"/>
        <v>0.30415831226571355</v>
      </c>
      <c r="M25" s="308">
        <f t="shared" si="4"/>
        <v>83096</v>
      </c>
      <c r="N25" s="230">
        <f t="shared" si="5"/>
        <v>0.4829337750268794</v>
      </c>
      <c r="O25" s="308">
        <v>6060</v>
      </c>
      <c r="P25" s="230">
        <f t="shared" si="6"/>
        <v>3.5219248539796008E-2</v>
      </c>
      <c r="Q25" s="308">
        <v>0</v>
      </c>
      <c r="R25" s="230">
        <f t="shared" si="7"/>
        <v>0</v>
      </c>
      <c r="S25" s="308">
        <f t="shared" si="8"/>
        <v>6060</v>
      </c>
      <c r="T25" s="230">
        <f t="shared" si="9"/>
        <v>3.5219248539796008E-2</v>
      </c>
      <c r="U25" s="308">
        <v>5490</v>
      </c>
      <c r="V25" s="230">
        <f t="shared" si="10"/>
        <v>3.1906546944468657E-2</v>
      </c>
      <c r="W25" s="308">
        <v>7572</v>
      </c>
      <c r="X25" s="230">
        <f t="shared" si="11"/>
        <v>4.4006625403190655E-2</v>
      </c>
      <c r="Y25" s="308">
        <v>7970</v>
      </c>
      <c r="Z25" s="230">
        <f t="shared" si="12"/>
        <v>4.631970476273501E-2</v>
      </c>
      <c r="AA25" s="308">
        <v>10156</v>
      </c>
      <c r="AB25" s="230">
        <f t="shared" si="13"/>
        <v>5.902420596867463E-2</v>
      </c>
      <c r="AC25" s="308">
        <f t="shared" si="14"/>
        <v>18126</v>
      </c>
      <c r="AD25" s="230">
        <f t="shared" si="15"/>
        <v>0.10534391073140964</v>
      </c>
      <c r="AE25" s="308">
        <v>17475</v>
      </c>
      <c r="AF25" s="230">
        <f t="shared" si="16"/>
        <v>0.10156045680411473</v>
      </c>
      <c r="AG25" s="308">
        <v>0</v>
      </c>
      <c r="AH25" s="230">
        <f t="shared" si="17"/>
        <v>0</v>
      </c>
      <c r="AI25" s="308">
        <v>23949</v>
      </c>
      <c r="AJ25" s="230">
        <f t="shared" si="18"/>
        <v>0.13918577281841166</v>
      </c>
      <c r="AK25" s="308">
        <v>10297</v>
      </c>
      <c r="AL25" s="230">
        <f t="shared" si="19"/>
        <v>5.9843663731729287E-2</v>
      </c>
    </row>
    <row r="26" spans="2:38" s="73" customFormat="1" ht="14.25" customHeight="1">
      <c r="B26" s="580"/>
      <c r="C26" s="584"/>
      <c r="D26" s="170">
        <f t="shared" si="20"/>
        <v>46222</v>
      </c>
      <c r="E26" s="170" t="s">
        <v>116</v>
      </c>
      <c r="F26" s="321">
        <f t="shared" si="0"/>
        <v>222011</v>
      </c>
      <c r="G26" s="592"/>
      <c r="H26" s="594"/>
      <c r="I26" s="520">
        <v>44457</v>
      </c>
      <c r="J26" s="230">
        <f t="shared" si="2"/>
        <v>0.2002468346163028</v>
      </c>
      <c r="K26" s="308">
        <v>60136</v>
      </c>
      <c r="L26" s="230">
        <f t="shared" si="3"/>
        <v>0.27086946142308266</v>
      </c>
      <c r="M26" s="308">
        <f t="shared" si="4"/>
        <v>104593</v>
      </c>
      <c r="N26" s="230">
        <f t="shared" si="5"/>
        <v>0.47111629603938543</v>
      </c>
      <c r="O26" s="308">
        <v>8474</v>
      </c>
      <c r="P26" s="230">
        <f t="shared" si="6"/>
        <v>3.8169279900545472E-2</v>
      </c>
      <c r="Q26" s="308">
        <v>0</v>
      </c>
      <c r="R26" s="230">
        <f t="shared" si="7"/>
        <v>0</v>
      </c>
      <c r="S26" s="308">
        <f t="shared" si="8"/>
        <v>8474</v>
      </c>
      <c r="T26" s="230">
        <f t="shared" si="9"/>
        <v>3.8169279900545472E-2</v>
      </c>
      <c r="U26" s="308">
        <v>7356</v>
      </c>
      <c r="V26" s="230">
        <f t="shared" si="10"/>
        <v>3.3133493385462884E-2</v>
      </c>
      <c r="W26" s="308">
        <v>9545</v>
      </c>
      <c r="X26" s="230">
        <f t="shared" si="11"/>
        <v>4.2993365193616531E-2</v>
      </c>
      <c r="Y26" s="308">
        <v>9774</v>
      </c>
      <c r="Z26" s="230">
        <f t="shared" si="12"/>
        <v>4.4024845615757778E-2</v>
      </c>
      <c r="AA26" s="308">
        <v>11627</v>
      </c>
      <c r="AB26" s="230">
        <f t="shared" si="13"/>
        <v>5.2371278900595016E-2</v>
      </c>
      <c r="AC26" s="308">
        <f t="shared" si="14"/>
        <v>21401</v>
      </c>
      <c r="AD26" s="230">
        <f t="shared" si="15"/>
        <v>9.6396124516352794E-2</v>
      </c>
      <c r="AE26" s="308">
        <v>30057</v>
      </c>
      <c r="AF26" s="230">
        <f t="shared" si="16"/>
        <v>0.13538518361702798</v>
      </c>
      <c r="AG26" s="308">
        <v>0</v>
      </c>
      <c r="AH26" s="230">
        <f t="shared" si="17"/>
        <v>0</v>
      </c>
      <c r="AI26" s="308">
        <v>28393</v>
      </c>
      <c r="AJ26" s="230">
        <f t="shared" si="18"/>
        <v>0.12789005950155624</v>
      </c>
      <c r="AK26" s="308">
        <v>12192</v>
      </c>
      <c r="AL26" s="230">
        <f t="shared" si="19"/>
        <v>5.4916197846052672E-2</v>
      </c>
    </row>
    <row r="27" spans="2:38" s="73" customFormat="1" ht="14.25" customHeight="1">
      <c r="B27" s="581"/>
      <c r="C27" s="584"/>
      <c r="D27" s="170">
        <f t="shared" si="20"/>
        <v>46223</v>
      </c>
      <c r="E27" s="170" t="s">
        <v>117</v>
      </c>
      <c r="F27" s="321">
        <f t="shared" si="0"/>
        <v>216134</v>
      </c>
      <c r="G27" s="592"/>
      <c r="H27" s="594"/>
      <c r="I27" s="520">
        <v>43906</v>
      </c>
      <c r="J27" s="230">
        <f t="shared" si="2"/>
        <v>0.20314249493369854</v>
      </c>
      <c r="K27" s="308">
        <v>59449</v>
      </c>
      <c r="L27" s="230">
        <f t="shared" si="3"/>
        <v>0.27505621512580158</v>
      </c>
      <c r="M27" s="308">
        <f t="shared" si="4"/>
        <v>103355</v>
      </c>
      <c r="N27" s="230">
        <f t="shared" si="5"/>
        <v>0.4781987100595001</v>
      </c>
      <c r="O27" s="308">
        <v>8388</v>
      </c>
      <c r="P27" s="230">
        <f t="shared" si="6"/>
        <v>3.880925722005793E-2</v>
      </c>
      <c r="Q27" s="308">
        <v>0</v>
      </c>
      <c r="R27" s="230">
        <f t="shared" si="7"/>
        <v>0</v>
      </c>
      <c r="S27" s="308">
        <f t="shared" si="8"/>
        <v>8388</v>
      </c>
      <c r="T27" s="230">
        <f t="shared" si="9"/>
        <v>3.880925722005793E-2</v>
      </c>
      <c r="U27" s="308">
        <v>6607</v>
      </c>
      <c r="V27" s="230">
        <f t="shared" si="10"/>
        <v>3.0568998861817204E-2</v>
      </c>
      <c r="W27" s="308">
        <v>11058</v>
      </c>
      <c r="X27" s="230">
        <f t="shared" si="11"/>
        <v>5.1162704618431157E-2</v>
      </c>
      <c r="Y27" s="308">
        <v>9308</v>
      </c>
      <c r="Z27" s="230">
        <f t="shared" si="12"/>
        <v>4.3065875799272672E-2</v>
      </c>
      <c r="AA27" s="308">
        <v>10949</v>
      </c>
      <c r="AB27" s="230">
        <f t="shared" si="13"/>
        <v>5.0658387851980714E-2</v>
      </c>
      <c r="AC27" s="308">
        <f t="shared" si="14"/>
        <v>20257</v>
      </c>
      <c r="AD27" s="230">
        <f t="shared" si="15"/>
        <v>9.3724263651253387E-2</v>
      </c>
      <c r="AE27" s="308">
        <v>25985</v>
      </c>
      <c r="AF27" s="230">
        <f t="shared" si="16"/>
        <v>0.12022634106619041</v>
      </c>
      <c r="AG27" s="308">
        <v>0</v>
      </c>
      <c r="AH27" s="230">
        <f t="shared" si="17"/>
        <v>0</v>
      </c>
      <c r="AI27" s="308">
        <v>27080</v>
      </c>
      <c r="AJ27" s="230">
        <f t="shared" si="18"/>
        <v>0.125292642527321</v>
      </c>
      <c r="AK27" s="308">
        <v>13404</v>
      </c>
      <c r="AL27" s="230">
        <f t="shared" si="19"/>
        <v>6.2017081995428762E-2</v>
      </c>
    </row>
    <row r="28" spans="2:38" ht="14.25" customHeight="1">
      <c r="B28" s="579">
        <f>D29+7</f>
        <v>46232</v>
      </c>
      <c r="C28" s="584"/>
      <c r="D28" s="170">
        <f t="shared" si="20"/>
        <v>46224</v>
      </c>
      <c r="E28" s="170" t="s">
        <v>118</v>
      </c>
      <c r="F28" s="321">
        <f t="shared" si="0"/>
        <v>0</v>
      </c>
      <c r="G28" s="592">
        <f t="shared" ref="G28" si="22">SUM(F28:F34)</f>
        <v>0</v>
      </c>
      <c r="H28" s="594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</row>
    <row r="29" spans="2:38" ht="14.25" customHeight="1">
      <c r="B29" s="580"/>
      <c r="C29" s="584"/>
      <c r="D29" s="170">
        <f t="shared" si="20"/>
        <v>46225</v>
      </c>
      <c r="E29" s="170" t="s">
        <v>112</v>
      </c>
      <c r="F29" s="321">
        <f t="shared" si="0"/>
        <v>0</v>
      </c>
      <c r="G29" s="592"/>
      <c r="H29" s="594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</row>
    <row r="30" spans="2:38" ht="14.25" customHeight="1">
      <c r="B30" s="580"/>
      <c r="C30" s="584"/>
      <c r="D30" s="170">
        <f t="shared" si="20"/>
        <v>46226</v>
      </c>
      <c r="E30" s="170" t="s">
        <v>113</v>
      </c>
      <c r="F30" s="321">
        <f t="shared" si="0"/>
        <v>0</v>
      </c>
      <c r="G30" s="592"/>
      <c r="H30" s="594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</row>
    <row r="31" spans="2:38" ht="14.25" customHeight="1">
      <c r="B31" s="580"/>
      <c r="C31" s="584"/>
      <c r="D31" s="170">
        <f t="shared" si="20"/>
        <v>46227</v>
      </c>
      <c r="E31" s="170" t="s">
        <v>114</v>
      </c>
      <c r="F31" s="321">
        <f t="shared" si="0"/>
        <v>0</v>
      </c>
      <c r="G31" s="592"/>
      <c r="H31" s="594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</row>
    <row r="32" spans="2:38" ht="14.25" customHeight="1">
      <c r="B32" s="580"/>
      <c r="C32" s="584"/>
      <c r="D32" s="170">
        <f t="shared" si="20"/>
        <v>46228</v>
      </c>
      <c r="E32" s="170" t="s">
        <v>115</v>
      </c>
      <c r="F32" s="321">
        <f t="shared" si="0"/>
        <v>0</v>
      </c>
      <c r="G32" s="592"/>
      <c r="H32" s="594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</row>
    <row r="33" spans="2:38" ht="14.25" customHeight="1">
      <c r="B33" s="580"/>
      <c r="C33" s="584"/>
      <c r="D33" s="170">
        <f t="shared" si="20"/>
        <v>46229</v>
      </c>
      <c r="E33" s="170" t="s">
        <v>116</v>
      </c>
      <c r="F33" s="321">
        <f t="shared" si="0"/>
        <v>0</v>
      </c>
      <c r="G33" s="592"/>
      <c r="H33" s="594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</row>
    <row r="34" spans="2:38" ht="14.25" customHeight="1">
      <c r="B34" s="581"/>
      <c r="C34" s="584"/>
      <c r="D34" s="170">
        <f t="shared" si="20"/>
        <v>46230</v>
      </c>
      <c r="E34" s="170" t="s">
        <v>117</v>
      </c>
      <c r="F34" s="321">
        <f t="shared" si="0"/>
        <v>0</v>
      </c>
      <c r="G34" s="592"/>
      <c r="H34" s="594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</row>
    <row r="35" spans="2:38" ht="14.25" customHeight="1">
      <c r="B35" s="579">
        <f>D36+7</f>
        <v>46239</v>
      </c>
      <c r="C35" s="584"/>
      <c r="D35" s="170">
        <f t="shared" si="20"/>
        <v>46231</v>
      </c>
      <c r="E35" s="170" t="s">
        <v>118</v>
      </c>
      <c r="F35" s="321">
        <f t="shared" si="0"/>
        <v>0</v>
      </c>
      <c r="G35" s="592">
        <f t="shared" ref="G35" si="23">SUM(F35:F41)</f>
        <v>0</v>
      </c>
      <c r="H35" s="594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</row>
    <row r="36" spans="2:38" ht="14.25" customHeight="1">
      <c r="B36" s="580"/>
      <c r="C36" s="584"/>
      <c r="D36" s="170">
        <f t="shared" si="20"/>
        <v>46232</v>
      </c>
      <c r="E36" s="170" t="s">
        <v>112</v>
      </c>
      <c r="F36" s="321">
        <f t="shared" ref="F36:F41" si="24">SUM(M36,S36,U36,W36,AC36,AE36,AG36,AI36,AK36)</f>
        <v>0</v>
      </c>
      <c r="G36" s="592"/>
      <c r="H36" s="594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</row>
    <row r="37" spans="2:38" ht="14.25" customHeight="1">
      <c r="B37" s="580"/>
      <c r="C37" s="584"/>
      <c r="D37" s="170">
        <f t="shared" si="20"/>
        <v>46233</v>
      </c>
      <c r="E37" s="170" t="s">
        <v>113</v>
      </c>
      <c r="F37" s="321">
        <f t="shared" si="24"/>
        <v>0</v>
      </c>
      <c r="G37" s="592"/>
      <c r="H37" s="594"/>
    </row>
    <row r="38" spans="2:38" ht="14.25" customHeight="1">
      <c r="B38" s="580"/>
      <c r="C38" s="584"/>
      <c r="D38" s="170">
        <f t="shared" si="20"/>
        <v>46234</v>
      </c>
      <c r="E38" s="170" t="s">
        <v>114</v>
      </c>
      <c r="F38" s="321">
        <f t="shared" si="24"/>
        <v>0</v>
      </c>
      <c r="G38" s="592"/>
      <c r="H38" s="595"/>
    </row>
    <row r="39" spans="2:38" ht="14.25" customHeight="1">
      <c r="B39" s="580"/>
      <c r="C39" s="455"/>
      <c r="D39" s="170">
        <f t="shared" si="20"/>
        <v>46235</v>
      </c>
      <c r="E39" s="170" t="s">
        <v>115</v>
      </c>
      <c r="F39" s="321">
        <f t="shared" si="24"/>
        <v>0</v>
      </c>
      <c r="G39" s="592"/>
    </row>
    <row r="40" spans="2:38" ht="14.25" customHeight="1">
      <c r="B40" s="580"/>
      <c r="C40" s="455"/>
      <c r="D40" s="170">
        <f t="shared" si="20"/>
        <v>46236</v>
      </c>
      <c r="E40" s="170" t="s">
        <v>116</v>
      </c>
      <c r="F40" s="321">
        <f t="shared" si="24"/>
        <v>0</v>
      </c>
      <c r="G40" s="592"/>
    </row>
    <row r="41" spans="2:38" ht="14.25" customHeight="1">
      <c r="B41" s="581"/>
      <c r="C41" s="456"/>
      <c r="D41" s="170">
        <f t="shared" si="20"/>
        <v>46237</v>
      </c>
      <c r="E41" s="170" t="s">
        <v>117</v>
      </c>
      <c r="F41" s="321">
        <f t="shared" si="24"/>
        <v>0</v>
      </c>
      <c r="G41" s="592"/>
    </row>
  </sheetData>
  <mergeCells count="45">
    <mergeCell ref="H8:H38"/>
    <mergeCell ref="B28:B34"/>
    <mergeCell ref="G28:G34"/>
    <mergeCell ref="B35:B41"/>
    <mergeCell ref="G35:G41"/>
    <mergeCell ref="C8:C38"/>
    <mergeCell ref="B14:B20"/>
    <mergeCell ref="G14:G20"/>
    <mergeCell ref="B21:B27"/>
    <mergeCell ref="G21:G27"/>
    <mergeCell ref="G5:G6"/>
    <mergeCell ref="B3:B6"/>
    <mergeCell ref="C3:C6"/>
    <mergeCell ref="D3:E6"/>
    <mergeCell ref="B7:B13"/>
    <mergeCell ref="G7:G13"/>
    <mergeCell ref="O5:P5"/>
    <mergeCell ref="AI5:AJ5"/>
    <mergeCell ref="K5:L5"/>
    <mergeCell ref="S5:T5"/>
    <mergeCell ref="H5:H6"/>
    <mergeCell ref="AA5:AB5"/>
    <mergeCell ref="I5:J5"/>
    <mergeCell ref="M5:N5"/>
    <mergeCell ref="AK4:AL4"/>
    <mergeCell ref="O4:T4"/>
    <mergeCell ref="F3:H4"/>
    <mergeCell ref="I4:N4"/>
    <mergeCell ref="Y4:AD4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F5:F6"/>
    <mergeCell ref="Q5:R5"/>
    <mergeCell ref="I3:AL3"/>
    <mergeCell ref="AI4:AJ4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127"/>
  <sheetViews>
    <sheetView zoomScale="85" zoomScaleNormal="85" workbookViewId="0">
      <pane xSplit="13" ySplit="1" topLeftCell="N83" activePane="bottomRight" state="frozen"/>
      <selection activeCell="G19" sqref="G19:G25"/>
      <selection pane="topRight" activeCell="G19" sqref="G19:G25"/>
      <selection pane="bottomLeft" activeCell="G19" sqref="G19:G25"/>
      <selection pane="bottomRight" activeCell="B86" sqref="B86:M87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57031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7" customWidth="1"/>
    <col min="15" max="15" width="7.140625" style="177" customWidth="1" collapsed="1"/>
    <col min="16" max="16" width="7.7109375" style="177" customWidth="1"/>
    <col min="17" max="18" width="8.7109375" style="177" customWidth="1"/>
    <col min="19" max="19" width="5.42578125" style="177" customWidth="1"/>
    <col min="20" max="20" width="10.7109375" style="177" customWidth="1"/>
    <col min="21" max="21" width="7.7109375" style="178" customWidth="1"/>
    <col min="22" max="23" width="8.7109375" style="178" customWidth="1"/>
    <col min="24" max="24" width="5.42578125" style="177" customWidth="1"/>
    <col min="25" max="25" width="10.7109375" style="178" customWidth="1"/>
    <col min="26" max="26" width="7.7109375" style="178" customWidth="1"/>
    <col min="27" max="28" width="8.7109375" style="178" customWidth="1"/>
    <col min="29" max="29" width="5.42578125" style="177" customWidth="1"/>
    <col min="30" max="30" width="10.7109375" style="178" customWidth="1"/>
    <col min="31" max="31" width="7.7109375" style="178" customWidth="1"/>
    <col min="32" max="33" width="8.7109375" style="178" customWidth="1"/>
    <col min="34" max="34" width="5.42578125" style="177" customWidth="1"/>
    <col min="35" max="35" width="10.7109375" style="178" customWidth="1"/>
    <col min="36" max="36" width="7.7109375" style="178" customWidth="1"/>
    <col min="37" max="38" width="8.7109375" style="178" customWidth="1"/>
    <col min="39" max="39" width="5.42578125" style="177" customWidth="1"/>
    <col min="40" max="40" width="10.7109375" style="178" customWidth="1"/>
    <col min="41" max="41" width="7.7109375" style="178" customWidth="1"/>
    <col min="42" max="43" width="8.7109375" style="178" customWidth="1"/>
    <col min="44" max="44" width="5.42578125" style="178" customWidth="1"/>
    <col min="45" max="45" width="10.7109375" style="178" customWidth="1"/>
    <col min="46" max="46" width="7.7109375" style="178" customWidth="1"/>
    <col min="47" max="48" width="8.7109375" style="178" customWidth="1"/>
    <col min="49" max="49" width="5.42578125" style="178" customWidth="1"/>
    <col min="50" max="50" width="10.7109375" style="178" customWidth="1"/>
    <col min="51" max="16384" width="8.85546875" style="78"/>
  </cols>
  <sheetData>
    <row r="1" spans="1:50" ht="21">
      <c r="A1" s="74"/>
      <c r="B1" s="458" t="s">
        <v>744</v>
      </c>
      <c r="C1" s="174">
        <f>AVERAGE(L7,L49,L91)</f>
        <v>768.7403180867941</v>
      </c>
    </row>
    <row r="2" spans="1:50" ht="14.25" customHeight="1">
      <c r="B2" s="621" t="s">
        <v>708</v>
      </c>
      <c r="C2" s="621"/>
      <c r="D2" s="621"/>
      <c r="E2" s="621"/>
      <c r="F2" s="621"/>
      <c r="G2" s="621"/>
      <c r="H2" s="621"/>
      <c r="I2" s="621"/>
      <c r="J2" s="621"/>
      <c r="K2" s="621"/>
      <c r="L2" s="621"/>
      <c r="M2" s="622"/>
      <c r="N2" s="615" t="s">
        <v>363</v>
      </c>
      <c r="O2" s="615" t="s">
        <v>105</v>
      </c>
      <c r="P2" s="617">
        <v>46203</v>
      </c>
      <c r="Q2" s="618"/>
      <c r="R2" s="618"/>
      <c r="S2" s="618"/>
      <c r="T2" s="618"/>
      <c r="U2" s="619">
        <v>46204</v>
      </c>
      <c r="V2" s="620"/>
      <c r="W2" s="620"/>
      <c r="X2" s="620"/>
      <c r="Y2" s="620"/>
      <c r="Z2" s="617">
        <v>46205</v>
      </c>
      <c r="AA2" s="618"/>
      <c r="AB2" s="618"/>
      <c r="AC2" s="618"/>
      <c r="AD2" s="618"/>
      <c r="AE2" s="619">
        <v>46206</v>
      </c>
      <c r="AF2" s="620"/>
      <c r="AG2" s="620"/>
      <c r="AH2" s="620"/>
      <c r="AI2" s="620"/>
      <c r="AJ2" s="602">
        <v>46207</v>
      </c>
      <c r="AK2" s="603"/>
      <c r="AL2" s="603"/>
      <c r="AM2" s="603"/>
      <c r="AN2" s="604"/>
      <c r="AO2" s="619">
        <v>46208</v>
      </c>
      <c r="AP2" s="620"/>
      <c r="AQ2" s="620"/>
      <c r="AR2" s="620"/>
      <c r="AS2" s="620"/>
      <c r="AT2" s="602">
        <v>46209</v>
      </c>
      <c r="AU2" s="603"/>
      <c r="AV2" s="603"/>
      <c r="AW2" s="603"/>
      <c r="AX2" s="604"/>
    </row>
    <row r="3" spans="1:50" ht="14.25" customHeight="1">
      <c r="B3" s="623"/>
      <c r="C3" s="623"/>
      <c r="D3" s="623"/>
      <c r="E3" s="623"/>
      <c r="F3" s="623"/>
      <c r="G3" s="623"/>
      <c r="H3" s="623"/>
      <c r="I3" s="623"/>
      <c r="J3" s="623"/>
      <c r="K3" s="623"/>
      <c r="L3" s="623"/>
      <c r="M3" s="624"/>
      <c r="N3" s="616"/>
      <c r="O3" s="616"/>
      <c r="P3" s="605">
        <v>46196</v>
      </c>
      <c r="Q3" s="605"/>
      <c r="R3" s="605"/>
      <c r="S3" s="605"/>
      <c r="T3" s="605"/>
      <c r="U3" s="606">
        <v>46197</v>
      </c>
      <c r="V3" s="606"/>
      <c r="W3" s="606"/>
      <c r="X3" s="606"/>
      <c r="Y3" s="606"/>
      <c r="Z3" s="605">
        <v>46198</v>
      </c>
      <c r="AA3" s="605"/>
      <c r="AB3" s="605"/>
      <c r="AC3" s="605"/>
      <c r="AD3" s="605"/>
      <c r="AE3" s="606">
        <v>46199</v>
      </c>
      <c r="AF3" s="606"/>
      <c r="AG3" s="606"/>
      <c r="AH3" s="606"/>
      <c r="AI3" s="606"/>
      <c r="AJ3" s="607">
        <v>46200</v>
      </c>
      <c r="AK3" s="608"/>
      <c r="AL3" s="608"/>
      <c r="AM3" s="608"/>
      <c r="AN3" s="609"/>
      <c r="AO3" s="606">
        <v>46201</v>
      </c>
      <c r="AP3" s="606"/>
      <c r="AQ3" s="606"/>
      <c r="AR3" s="606"/>
      <c r="AS3" s="606"/>
      <c r="AT3" s="607">
        <v>46202</v>
      </c>
      <c r="AU3" s="608"/>
      <c r="AV3" s="608"/>
      <c r="AW3" s="608"/>
      <c r="AX3" s="609"/>
    </row>
    <row r="4" spans="1:50" ht="14.25" customHeight="1">
      <c r="B4" s="597" t="s">
        <v>162</v>
      </c>
      <c r="C4" s="597" t="s">
        <v>157</v>
      </c>
      <c r="D4" s="597"/>
      <c r="E4" s="597" t="s">
        <v>158</v>
      </c>
      <c r="F4" s="597"/>
      <c r="G4" s="597"/>
      <c r="H4" s="597" t="s">
        <v>163</v>
      </c>
      <c r="I4" s="601" t="s">
        <v>364</v>
      </c>
      <c r="J4" s="601"/>
      <c r="K4" s="601"/>
      <c r="L4" s="601" t="s">
        <v>163</v>
      </c>
      <c r="M4" s="601" t="s">
        <v>165</v>
      </c>
      <c r="N4" s="610"/>
      <c r="O4" s="600" t="s">
        <v>164</v>
      </c>
      <c r="P4" s="600" t="s">
        <v>160</v>
      </c>
      <c r="Q4" s="600"/>
      <c r="R4" s="600"/>
      <c r="S4" s="600"/>
      <c r="T4" s="600" t="s">
        <v>163</v>
      </c>
      <c r="U4" s="600" t="s">
        <v>160</v>
      </c>
      <c r="V4" s="600"/>
      <c r="W4" s="600"/>
      <c r="X4" s="600"/>
      <c r="Y4" s="600" t="s">
        <v>163</v>
      </c>
      <c r="Z4" s="600" t="s">
        <v>160</v>
      </c>
      <c r="AA4" s="600"/>
      <c r="AB4" s="600"/>
      <c r="AC4" s="600"/>
      <c r="AD4" s="600" t="s">
        <v>163</v>
      </c>
      <c r="AE4" s="600" t="s">
        <v>160</v>
      </c>
      <c r="AF4" s="600"/>
      <c r="AG4" s="600"/>
      <c r="AH4" s="600"/>
      <c r="AI4" s="600" t="s">
        <v>163</v>
      </c>
      <c r="AJ4" s="600" t="s">
        <v>160</v>
      </c>
      <c r="AK4" s="600"/>
      <c r="AL4" s="600"/>
      <c r="AM4" s="600"/>
      <c r="AN4" s="600" t="s">
        <v>163</v>
      </c>
      <c r="AO4" s="600" t="s">
        <v>160</v>
      </c>
      <c r="AP4" s="600"/>
      <c r="AQ4" s="600"/>
      <c r="AR4" s="600"/>
      <c r="AS4" s="600" t="s">
        <v>163</v>
      </c>
      <c r="AT4" s="600" t="s">
        <v>160</v>
      </c>
      <c r="AU4" s="600"/>
      <c r="AV4" s="600"/>
      <c r="AW4" s="600"/>
      <c r="AX4" s="600" t="s">
        <v>163</v>
      </c>
    </row>
    <row r="5" spans="1:50" ht="14.25" customHeight="1">
      <c r="B5" s="597"/>
      <c r="C5" s="597"/>
      <c r="D5" s="597"/>
      <c r="E5" s="597" t="s">
        <v>365</v>
      </c>
      <c r="F5" s="597"/>
      <c r="G5" s="597"/>
      <c r="H5" s="597"/>
      <c r="I5" s="601" t="s">
        <v>365</v>
      </c>
      <c r="J5" s="601"/>
      <c r="K5" s="601"/>
      <c r="L5" s="601"/>
      <c r="M5" s="601"/>
      <c r="N5" s="610"/>
      <c r="O5" s="600"/>
      <c r="P5" s="600" t="s">
        <v>366</v>
      </c>
      <c r="Q5" s="600"/>
      <c r="R5" s="600"/>
      <c r="S5" s="600"/>
      <c r="T5" s="600"/>
      <c r="U5" s="600" t="s">
        <v>366</v>
      </c>
      <c r="V5" s="600"/>
      <c r="W5" s="600"/>
      <c r="X5" s="600"/>
      <c r="Y5" s="600"/>
      <c r="Z5" s="600" t="s">
        <v>366</v>
      </c>
      <c r="AA5" s="600"/>
      <c r="AB5" s="600"/>
      <c r="AC5" s="600"/>
      <c r="AD5" s="600"/>
      <c r="AE5" s="600" t="s">
        <v>366</v>
      </c>
      <c r="AF5" s="600"/>
      <c r="AG5" s="600"/>
      <c r="AH5" s="600"/>
      <c r="AI5" s="600"/>
      <c r="AJ5" s="600" t="s">
        <v>366</v>
      </c>
      <c r="AK5" s="600"/>
      <c r="AL5" s="600"/>
      <c r="AM5" s="600"/>
      <c r="AN5" s="600"/>
      <c r="AO5" s="600" t="s">
        <v>366</v>
      </c>
      <c r="AP5" s="600"/>
      <c r="AQ5" s="600"/>
      <c r="AR5" s="600"/>
      <c r="AS5" s="600"/>
      <c r="AT5" s="600" t="s">
        <v>366</v>
      </c>
      <c r="AU5" s="600"/>
      <c r="AV5" s="600"/>
      <c r="AW5" s="600"/>
      <c r="AX5" s="600"/>
    </row>
    <row r="6" spans="1:50" ht="14.25" customHeight="1">
      <c r="A6" s="176"/>
      <c r="B6" s="597"/>
      <c r="C6" s="597"/>
      <c r="D6" s="597"/>
      <c r="E6" s="179" t="s">
        <v>159</v>
      </c>
      <c r="F6" s="179" t="s">
        <v>367</v>
      </c>
      <c r="G6" s="179" t="s">
        <v>161</v>
      </c>
      <c r="H6" s="597"/>
      <c r="I6" s="180" t="s">
        <v>159</v>
      </c>
      <c r="J6" s="180" t="s">
        <v>367</v>
      </c>
      <c r="K6" s="180" t="s">
        <v>161</v>
      </c>
      <c r="L6" s="601"/>
      <c r="M6" s="601"/>
      <c r="N6" s="610"/>
      <c r="O6" s="600"/>
      <c r="P6" s="181" t="s">
        <v>159</v>
      </c>
      <c r="Q6" s="181" t="s">
        <v>367</v>
      </c>
      <c r="R6" s="181" t="s">
        <v>161</v>
      </c>
      <c r="S6" s="181" t="s">
        <v>165</v>
      </c>
      <c r="T6" s="600"/>
      <c r="U6" s="181" t="s">
        <v>159</v>
      </c>
      <c r="V6" s="181" t="s">
        <v>367</v>
      </c>
      <c r="W6" s="181" t="s">
        <v>161</v>
      </c>
      <c r="X6" s="181" t="s">
        <v>165</v>
      </c>
      <c r="Y6" s="600"/>
      <c r="Z6" s="181" t="s">
        <v>159</v>
      </c>
      <c r="AA6" s="181" t="s">
        <v>367</v>
      </c>
      <c r="AB6" s="181" t="s">
        <v>161</v>
      </c>
      <c r="AC6" s="181" t="s">
        <v>165</v>
      </c>
      <c r="AD6" s="600"/>
      <c r="AE6" s="181" t="s">
        <v>159</v>
      </c>
      <c r="AF6" s="181" t="s">
        <v>367</v>
      </c>
      <c r="AG6" s="181" t="s">
        <v>161</v>
      </c>
      <c r="AH6" s="181" t="s">
        <v>165</v>
      </c>
      <c r="AI6" s="600"/>
      <c r="AJ6" s="181" t="s">
        <v>159</v>
      </c>
      <c r="AK6" s="181" t="s">
        <v>367</v>
      </c>
      <c r="AL6" s="181" t="s">
        <v>161</v>
      </c>
      <c r="AM6" s="181" t="s">
        <v>165</v>
      </c>
      <c r="AN6" s="600"/>
      <c r="AO6" s="181" t="s">
        <v>159</v>
      </c>
      <c r="AP6" s="181" t="s">
        <v>367</v>
      </c>
      <c r="AQ6" s="181" t="s">
        <v>161</v>
      </c>
      <c r="AR6" s="181" t="s">
        <v>165</v>
      </c>
      <c r="AS6" s="600"/>
      <c r="AT6" s="181" t="s">
        <v>159</v>
      </c>
      <c r="AU6" s="181" t="s">
        <v>367</v>
      </c>
      <c r="AV6" s="181" t="s">
        <v>161</v>
      </c>
      <c r="AW6" s="181" t="s">
        <v>165</v>
      </c>
      <c r="AX6" s="600"/>
    </row>
    <row r="7" spans="1:50" ht="14.25" customHeight="1">
      <c r="B7" s="597" t="s">
        <v>368</v>
      </c>
      <c r="C7" s="179">
        <v>1</v>
      </c>
      <c r="D7" s="182" t="s">
        <v>393</v>
      </c>
      <c r="E7" s="183">
        <v>4</v>
      </c>
      <c r="F7" s="179">
        <v>3300</v>
      </c>
      <c r="G7" s="184">
        <f>IFERROR(F7/E7,"")</f>
        <v>825</v>
      </c>
      <c r="H7" s="598">
        <f>AVERAGE(G7:G43)</f>
        <v>863.52564102564111</v>
      </c>
      <c r="I7" s="185">
        <f>AVERAGE(P7,U7,Z7,AE7,AJ7,AO7,AT7)</f>
        <v>4</v>
      </c>
      <c r="J7" s="185">
        <f>AVERAGE(Q7,V7,AA7,AF7,AK7,AP7,AU7)</f>
        <v>2989.7999999999997</v>
      </c>
      <c r="K7" s="186">
        <f>AVERAGE(R7,W7,AB7,AG7,AL7,AQ7,AV7)</f>
        <v>747.44999999999993</v>
      </c>
      <c r="L7" s="599">
        <f>IFERROR(AVERAGE(K7:K43),"-")</f>
        <v>771.07940156126597</v>
      </c>
      <c r="M7" s="185">
        <f>RANK(K7, K$7:$K$43)</f>
        <v>18</v>
      </c>
      <c r="N7" s="610"/>
      <c r="O7" s="600"/>
      <c r="P7" s="187">
        <v>4</v>
      </c>
      <c r="Q7" s="187">
        <v>2989.7999999999997</v>
      </c>
      <c r="R7" s="184">
        <f>IFERROR(Q7/P7,"")</f>
        <v>747.44999999999993</v>
      </c>
      <c r="S7" s="181">
        <f>RANK(R7, R$7:R$43)</f>
        <v>19</v>
      </c>
      <c r="T7" s="596">
        <f>AVERAGE(R7:R43)</f>
        <v>769.35071954636487</v>
      </c>
      <c r="U7" s="187">
        <v>4</v>
      </c>
      <c r="V7" s="187">
        <v>2989.7999999999997</v>
      </c>
      <c r="W7" s="184">
        <f t="shared" ref="W7:W42" si="0">IFERROR(V7/U7,"")</f>
        <v>747.44999999999993</v>
      </c>
      <c r="X7" s="181">
        <f>RANK(W7, W$7:W$43)</f>
        <v>19</v>
      </c>
      <c r="Y7" s="596">
        <f>AVERAGE(W7:W43)</f>
        <v>770.09658537177802</v>
      </c>
      <c r="Z7" s="187">
        <v>4</v>
      </c>
      <c r="AA7" s="187">
        <v>2989.7999999999997</v>
      </c>
      <c r="AB7" s="184">
        <f>IFERROR(AA7/Z7,"")</f>
        <v>747.44999999999993</v>
      </c>
      <c r="AC7" s="181">
        <f>RANK(AB7, AB$7:AB$43)</f>
        <v>19</v>
      </c>
      <c r="AD7" s="596">
        <f>AVERAGE(AB7:AB43)</f>
        <v>770.80625006851346</v>
      </c>
      <c r="AE7" s="187">
        <v>4</v>
      </c>
      <c r="AF7" s="187">
        <v>2989.8</v>
      </c>
      <c r="AG7" s="184">
        <f>IFERROR(AF7/AE7,"")</f>
        <v>747.45</v>
      </c>
      <c r="AH7" s="181">
        <f>RANK(AG7, AG$7:AG$43)</f>
        <v>18</v>
      </c>
      <c r="AI7" s="596">
        <f>AVERAGE(AG7:AG43)</f>
        <v>771.42304701792227</v>
      </c>
      <c r="AJ7" s="187">
        <v>4</v>
      </c>
      <c r="AK7" s="187">
        <v>2989.8</v>
      </c>
      <c r="AL7" s="184">
        <f>IFERROR(AK7/AJ7,"")</f>
        <v>747.45</v>
      </c>
      <c r="AM7" s="181">
        <f>RANK(AL7, AL$7:AL$43)</f>
        <v>18</v>
      </c>
      <c r="AN7" s="596">
        <f>AVERAGE(AL7:AL43)</f>
        <v>771.95313915315751</v>
      </c>
      <c r="AO7" s="187">
        <v>4</v>
      </c>
      <c r="AP7" s="187">
        <v>2989.7999999999997</v>
      </c>
      <c r="AQ7" s="184">
        <f>IFERROR(AP7/AO7,"")</f>
        <v>747.44999999999993</v>
      </c>
      <c r="AR7" s="181">
        <f>RANK(AQ7, AQ$7:AQ$43)</f>
        <v>19</v>
      </c>
      <c r="AS7" s="596">
        <f>AVERAGE(AQ7:AQ43)</f>
        <v>771.96687563571732</v>
      </c>
      <c r="AT7" s="187">
        <v>4</v>
      </c>
      <c r="AU7" s="187">
        <v>2989.8</v>
      </c>
      <c r="AV7" s="184">
        <f>IFERROR(AU7/AT7,"")</f>
        <v>747.45</v>
      </c>
      <c r="AW7" s="181">
        <f>RANK(AV7, AV$7:AV$43)</f>
        <v>18</v>
      </c>
      <c r="AX7" s="596">
        <f>AVERAGE(AV7:AV43)</f>
        <v>771.95919413541026</v>
      </c>
    </row>
    <row r="8" spans="1:50" ht="14.25" customHeight="1">
      <c r="B8" s="597"/>
      <c r="C8" s="179">
        <v>2</v>
      </c>
      <c r="D8" s="182" t="s">
        <v>391</v>
      </c>
      <c r="E8" s="183">
        <v>3</v>
      </c>
      <c r="F8" s="179">
        <v>3600</v>
      </c>
      <c r="G8" s="184">
        <f t="shared" ref="G8:G42" si="1">IFERROR(F8/E8,"")</f>
        <v>1200</v>
      </c>
      <c r="H8" s="598"/>
      <c r="I8" s="185">
        <f>AVERAGE(P8,U8,Z8,AE8,AJ8,AO8,AT8)</f>
        <v>3</v>
      </c>
      <c r="J8" s="185">
        <f t="shared" ref="J8:K37" si="2">AVERAGE(Q8,V8,AA8,AF8,AK8,AP8,AU8)</f>
        <v>3187.3583778654879</v>
      </c>
      <c r="K8" s="186">
        <f t="shared" si="2"/>
        <v>1062.4527926218293</v>
      </c>
      <c r="L8" s="599"/>
      <c r="M8" s="185">
        <f>RANK(K8, K$7:$K$43)</f>
        <v>8</v>
      </c>
      <c r="N8" s="610"/>
      <c r="O8" s="600"/>
      <c r="P8" s="187">
        <v>3</v>
      </c>
      <c r="Q8" s="187">
        <v>3190.0840921512017</v>
      </c>
      <c r="R8" s="184">
        <f t="shared" ref="R8:R42" si="3">IFERROR(Q8/P8,"")</f>
        <v>1063.3613640504007</v>
      </c>
      <c r="S8" s="181">
        <f t="shared" ref="S8:S42" si="4">RANK(R8, R$7:R$43)</f>
        <v>6</v>
      </c>
      <c r="T8" s="596"/>
      <c r="U8" s="187">
        <v>3</v>
      </c>
      <c r="V8" s="187">
        <v>3189.0040921512018</v>
      </c>
      <c r="W8" s="184">
        <f t="shared" si="0"/>
        <v>1063.0013640504005</v>
      </c>
      <c r="X8" s="181">
        <f t="shared" ref="X8:X42" si="5">RANK(W8, W$7:W$43)</f>
        <v>7</v>
      </c>
      <c r="Y8" s="596"/>
      <c r="Z8" s="187">
        <v>3</v>
      </c>
      <c r="AA8" s="187">
        <v>3187.9240921512023</v>
      </c>
      <c r="AB8" s="184">
        <f t="shared" ref="AB8:AB42" si="6">IFERROR(AA8/Z8,"")</f>
        <v>1062.6413640504009</v>
      </c>
      <c r="AC8" s="181">
        <f t="shared" ref="AC8:AC42" si="7">RANK(AB8, AB$7:AB$43)</f>
        <v>8</v>
      </c>
      <c r="AD8" s="596"/>
      <c r="AE8" s="187">
        <v>3</v>
      </c>
      <c r="AF8" s="187">
        <v>3186.8440921512029</v>
      </c>
      <c r="AG8" s="184">
        <f t="shared" ref="AG8:AG42" si="8">IFERROR(AF8/AE8,"")</f>
        <v>1062.281364050401</v>
      </c>
      <c r="AH8" s="181">
        <f t="shared" ref="AH8:AH42" si="9">RANK(AG8, AG$7:AG$43)</f>
        <v>8</v>
      </c>
      <c r="AI8" s="596"/>
      <c r="AJ8" s="187">
        <v>3</v>
      </c>
      <c r="AK8" s="187">
        <v>3185.7640921512025</v>
      </c>
      <c r="AL8" s="184">
        <f t="shared" ref="AL8:AL42" si="10">IFERROR(AK8/AJ8,"")</f>
        <v>1061.9213640504008</v>
      </c>
      <c r="AM8" s="181">
        <f t="shared" ref="AM8:AM42" si="11">RANK(AL8, AL$7:AL$43)</f>
        <v>9</v>
      </c>
      <c r="AN8" s="596"/>
      <c r="AO8" s="187">
        <v>3</v>
      </c>
      <c r="AP8" s="187">
        <v>3185.0440921512022</v>
      </c>
      <c r="AQ8" s="184">
        <f t="shared" ref="AQ8:AQ42" si="12">IFERROR(AP8/AO8,"")</f>
        <v>1061.6813640504008</v>
      </c>
      <c r="AR8" s="181">
        <f t="shared" ref="AR8:AR42" si="13">RANK(AQ8, AQ$7:AQ$43)</f>
        <v>9</v>
      </c>
      <c r="AS8" s="596"/>
      <c r="AT8" s="187">
        <v>3</v>
      </c>
      <c r="AU8" s="187">
        <v>3186.8440921512024</v>
      </c>
      <c r="AV8" s="184">
        <f t="shared" ref="AV8:AV42" si="14">IFERROR(AU8/AT8,"")</f>
        <v>1062.2813640504007</v>
      </c>
      <c r="AW8" s="181">
        <f t="shared" ref="AW8:AW42" si="15">RANK(AV8, AV$7:AV$43)</f>
        <v>7</v>
      </c>
      <c r="AX8" s="596"/>
    </row>
    <row r="9" spans="1:50" ht="14.25" customHeight="1">
      <c r="B9" s="597"/>
      <c r="C9" s="179">
        <v>3</v>
      </c>
      <c r="D9" s="182" t="s">
        <v>392</v>
      </c>
      <c r="E9" s="183">
        <v>5</v>
      </c>
      <c r="F9" s="179">
        <v>3600</v>
      </c>
      <c r="G9" s="184">
        <f t="shared" si="1"/>
        <v>720</v>
      </c>
      <c r="H9" s="598"/>
      <c r="I9" s="185">
        <f t="shared" ref="I9:K38" si="16">AVERAGE(P9,U9,Z9,AE9,AJ9,AO9,AT9)</f>
        <v>5</v>
      </c>
      <c r="J9" s="185">
        <f t="shared" si="2"/>
        <v>3195.3929705264777</v>
      </c>
      <c r="K9" s="186">
        <f t="shared" si="2"/>
        <v>639.07859410529545</v>
      </c>
      <c r="L9" s="599"/>
      <c r="M9" s="185">
        <f>RANK(K9, K$7:$K$43)</f>
        <v>24</v>
      </c>
      <c r="N9" s="610"/>
      <c r="O9" s="600"/>
      <c r="P9" s="187">
        <v>5</v>
      </c>
      <c r="Q9" s="187">
        <v>3194.4158276693352</v>
      </c>
      <c r="R9" s="184">
        <f t="shared" si="3"/>
        <v>638.88316553386699</v>
      </c>
      <c r="S9" s="181">
        <f t="shared" si="4"/>
        <v>24</v>
      </c>
      <c r="T9" s="596"/>
      <c r="U9" s="187">
        <v>5</v>
      </c>
      <c r="V9" s="187">
        <v>3195.135827669335</v>
      </c>
      <c r="W9" s="184">
        <f t="shared" si="0"/>
        <v>639.02716553386699</v>
      </c>
      <c r="X9" s="181">
        <f t="shared" si="5"/>
        <v>23</v>
      </c>
      <c r="Y9" s="596"/>
      <c r="Z9" s="187">
        <v>5</v>
      </c>
      <c r="AA9" s="187">
        <v>3195.8558276693348</v>
      </c>
      <c r="AB9" s="184">
        <f t="shared" si="6"/>
        <v>639.171165533867</v>
      </c>
      <c r="AC9" s="181">
        <f t="shared" si="7"/>
        <v>24</v>
      </c>
      <c r="AD9" s="596"/>
      <c r="AE9" s="187">
        <v>5</v>
      </c>
      <c r="AF9" s="187">
        <v>3196.9358276693342</v>
      </c>
      <c r="AG9" s="184">
        <f t="shared" si="8"/>
        <v>639.38716553386689</v>
      </c>
      <c r="AH9" s="181">
        <f t="shared" si="9"/>
        <v>23</v>
      </c>
      <c r="AI9" s="596"/>
      <c r="AJ9" s="187">
        <v>5</v>
      </c>
      <c r="AK9" s="187">
        <v>3195.4958276693346</v>
      </c>
      <c r="AL9" s="184">
        <f t="shared" si="10"/>
        <v>639.09916553386688</v>
      </c>
      <c r="AM9" s="181">
        <f t="shared" si="11"/>
        <v>24</v>
      </c>
      <c r="AN9" s="596"/>
      <c r="AO9" s="187">
        <v>5</v>
      </c>
      <c r="AP9" s="187">
        <v>3195.1358276693345</v>
      </c>
      <c r="AQ9" s="184">
        <f t="shared" si="12"/>
        <v>639.02716553386688</v>
      </c>
      <c r="AR9" s="181">
        <f t="shared" si="13"/>
        <v>24</v>
      </c>
      <c r="AS9" s="596"/>
      <c r="AT9" s="187">
        <v>5</v>
      </c>
      <c r="AU9" s="187">
        <v>3194.7758276693344</v>
      </c>
      <c r="AV9" s="184">
        <f t="shared" si="14"/>
        <v>638.95516553386688</v>
      </c>
      <c r="AW9" s="181">
        <f t="shared" si="15"/>
        <v>25</v>
      </c>
      <c r="AX9" s="596"/>
    </row>
    <row r="10" spans="1:50" ht="14.25" customHeight="1">
      <c r="B10" s="597"/>
      <c r="C10" s="179">
        <v>4</v>
      </c>
      <c r="D10" s="182" t="s">
        <v>229</v>
      </c>
      <c r="E10" s="183">
        <v>5</v>
      </c>
      <c r="F10" s="179">
        <v>3300</v>
      </c>
      <c r="G10" s="184">
        <f t="shared" si="1"/>
        <v>660</v>
      </c>
      <c r="H10" s="598"/>
      <c r="I10" s="185">
        <f t="shared" si="16"/>
        <v>5</v>
      </c>
      <c r="J10" s="185">
        <f t="shared" si="2"/>
        <v>2989.8</v>
      </c>
      <c r="K10" s="186">
        <f t="shared" si="2"/>
        <v>597.96</v>
      </c>
      <c r="L10" s="599"/>
      <c r="M10" s="185">
        <f>RANK(K10, K$7:$K$43)</f>
        <v>29</v>
      </c>
      <c r="N10" s="610"/>
      <c r="O10" s="600"/>
      <c r="P10" s="187">
        <v>5</v>
      </c>
      <c r="Q10" s="187">
        <v>2989.8</v>
      </c>
      <c r="R10" s="184">
        <f t="shared" si="3"/>
        <v>597.96</v>
      </c>
      <c r="S10" s="181">
        <f t="shared" si="4"/>
        <v>29</v>
      </c>
      <c r="T10" s="596"/>
      <c r="U10" s="187">
        <v>5</v>
      </c>
      <c r="V10" s="187">
        <v>2989.8</v>
      </c>
      <c r="W10" s="184">
        <f t="shared" si="0"/>
        <v>597.96</v>
      </c>
      <c r="X10" s="181">
        <f t="shared" si="5"/>
        <v>29</v>
      </c>
      <c r="Y10" s="596"/>
      <c r="Z10" s="187">
        <v>5</v>
      </c>
      <c r="AA10" s="187">
        <v>2989.8</v>
      </c>
      <c r="AB10" s="184">
        <f t="shared" si="6"/>
        <v>597.96</v>
      </c>
      <c r="AC10" s="181">
        <f t="shared" si="7"/>
        <v>29</v>
      </c>
      <c r="AD10" s="596"/>
      <c r="AE10" s="187">
        <v>5</v>
      </c>
      <c r="AF10" s="187">
        <v>2989.8000000000006</v>
      </c>
      <c r="AG10" s="184">
        <f t="shared" si="8"/>
        <v>597.96000000000015</v>
      </c>
      <c r="AH10" s="181">
        <f t="shared" si="9"/>
        <v>29</v>
      </c>
      <c r="AI10" s="596"/>
      <c r="AJ10" s="187">
        <v>5</v>
      </c>
      <c r="AK10" s="187">
        <v>2989.7999999999997</v>
      </c>
      <c r="AL10" s="184">
        <f t="shared" si="10"/>
        <v>597.95999999999992</v>
      </c>
      <c r="AM10" s="181">
        <f t="shared" si="11"/>
        <v>30</v>
      </c>
      <c r="AN10" s="596"/>
      <c r="AO10" s="187">
        <v>5</v>
      </c>
      <c r="AP10" s="187">
        <v>2989.7999999999997</v>
      </c>
      <c r="AQ10" s="184">
        <f t="shared" si="12"/>
        <v>597.95999999999992</v>
      </c>
      <c r="AR10" s="181">
        <f t="shared" si="13"/>
        <v>30</v>
      </c>
      <c r="AS10" s="596"/>
      <c r="AT10" s="187">
        <v>5</v>
      </c>
      <c r="AU10" s="187">
        <v>2989.8</v>
      </c>
      <c r="AV10" s="184">
        <f t="shared" si="14"/>
        <v>597.96</v>
      </c>
      <c r="AW10" s="181">
        <f t="shared" si="15"/>
        <v>29</v>
      </c>
      <c r="AX10" s="596"/>
    </row>
    <row r="11" spans="1:50" ht="14.25" customHeight="1">
      <c r="B11" s="597"/>
      <c r="C11" s="179">
        <v>5</v>
      </c>
      <c r="D11" s="182" t="s">
        <v>388</v>
      </c>
      <c r="E11" s="183">
        <v>3</v>
      </c>
      <c r="F11" s="179">
        <v>3600</v>
      </c>
      <c r="G11" s="184">
        <f t="shared" si="1"/>
        <v>1200</v>
      </c>
      <c r="H11" s="598"/>
      <c r="I11" s="185">
        <f t="shared" si="16"/>
        <v>3</v>
      </c>
      <c r="J11" s="185">
        <f t="shared" si="2"/>
        <v>3194.3640007317154</v>
      </c>
      <c r="K11" s="186">
        <f t="shared" si="2"/>
        <v>1064.7880002439051</v>
      </c>
      <c r="L11" s="599"/>
      <c r="M11" s="185">
        <f>RANK(K11, K$7:$K$43)</f>
        <v>3</v>
      </c>
      <c r="N11" s="610"/>
      <c r="O11" s="600"/>
      <c r="P11" s="187">
        <v>3</v>
      </c>
      <c r="Q11" s="187">
        <v>3193.4382864460008</v>
      </c>
      <c r="R11" s="184">
        <f t="shared" si="3"/>
        <v>1064.4794288153337</v>
      </c>
      <c r="S11" s="181">
        <f t="shared" si="4"/>
        <v>3</v>
      </c>
      <c r="T11" s="596"/>
      <c r="U11" s="187">
        <v>3</v>
      </c>
      <c r="V11" s="187">
        <v>3193.7982864460009</v>
      </c>
      <c r="W11" s="184">
        <f t="shared" si="0"/>
        <v>1064.5994288153336</v>
      </c>
      <c r="X11" s="181">
        <f t="shared" si="5"/>
        <v>3</v>
      </c>
      <c r="Y11" s="596"/>
      <c r="Z11" s="187">
        <v>3</v>
      </c>
      <c r="AA11" s="187">
        <v>3193.4382864460008</v>
      </c>
      <c r="AB11" s="184">
        <f t="shared" si="6"/>
        <v>1064.4794288153337</v>
      </c>
      <c r="AC11" s="181">
        <f t="shared" si="7"/>
        <v>3</v>
      </c>
      <c r="AD11" s="596"/>
      <c r="AE11" s="187">
        <v>3</v>
      </c>
      <c r="AF11" s="187">
        <v>3193.4382864460008</v>
      </c>
      <c r="AG11" s="184">
        <f t="shared" si="8"/>
        <v>1064.4794288153337</v>
      </c>
      <c r="AH11" s="181">
        <f t="shared" si="9"/>
        <v>3</v>
      </c>
      <c r="AI11" s="596"/>
      <c r="AJ11" s="187">
        <v>3</v>
      </c>
      <c r="AK11" s="187">
        <v>3194.5182864460012</v>
      </c>
      <c r="AL11" s="184">
        <f t="shared" si="10"/>
        <v>1064.8394288153338</v>
      </c>
      <c r="AM11" s="181">
        <f t="shared" si="11"/>
        <v>3</v>
      </c>
      <c r="AN11" s="596"/>
      <c r="AO11" s="187">
        <v>3</v>
      </c>
      <c r="AP11" s="187">
        <v>3195.598286446002</v>
      </c>
      <c r="AQ11" s="184">
        <f t="shared" si="12"/>
        <v>1065.1994288153339</v>
      </c>
      <c r="AR11" s="181">
        <f t="shared" si="13"/>
        <v>3</v>
      </c>
      <c r="AS11" s="596"/>
      <c r="AT11" s="187">
        <v>3</v>
      </c>
      <c r="AU11" s="187">
        <v>3196.3182864460014</v>
      </c>
      <c r="AV11" s="184">
        <f t="shared" si="14"/>
        <v>1065.4394288153337</v>
      </c>
      <c r="AW11" s="181">
        <f t="shared" si="15"/>
        <v>2</v>
      </c>
      <c r="AX11" s="596"/>
    </row>
    <row r="12" spans="1:50" ht="14.25" customHeight="1">
      <c r="B12" s="597"/>
      <c r="C12" s="179">
        <v>6</v>
      </c>
      <c r="D12" s="182" t="s">
        <v>339</v>
      </c>
      <c r="E12" s="183">
        <v>4</v>
      </c>
      <c r="F12" s="179">
        <v>3600</v>
      </c>
      <c r="G12" s="184">
        <f t="shared" si="1"/>
        <v>900</v>
      </c>
      <c r="H12" s="598"/>
      <c r="I12" s="185">
        <f t="shared" si="16"/>
        <v>4</v>
      </c>
      <c r="J12" s="185">
        <f t="shared" si="2"/>
        <v>3192.4285714285734</v>
      </c>
      <c r="K12" s="186">
        <f t="shared" si="2"/>
        <v>798.10714285714334</v>
      </c>
      <c r="L12" s="599"/>
      <c r="M12" s="185">
        <f>RANK(K12, K$7:$K$43)</f>
        <v>17</v>
      </c>
      <c r="N12" s="610"/>
      <c r="O12" s="600"/>
      <c r="P12" s="187">
        <v>4</v>
      </c>
      <c r="Q12" s="187">
        <v>3193.2000000000021</v>
      </c>
      <c r="R12" s="184">
        <f t="shared" si="3"/>
        <v>798.30000000000052</v>
      </c>
      <c r="S12" s="181">
        <f t="shared" si="4"/>
        <v>17</v>
      </c>
      <c r="T12" s="596"/>
      <c r="U12" s="187">
        <v>4</v>
      </c>
      <c r="V12" s="187">
        <v>3193.2000000000021</v>
      </c>
      <c r="W12" s="184">
        <f t="shared" si="0"/>
        <v>798.30000000000052</v>
      </c>
      <c r="X12" s="181">
        <f t="shared" si="5"/>
        <v>16</v>
      </c>
      <c r="Y12" s="596"/>
      <c r="Z12" s="187">
        <v>4</v>
      </c>
      <c r="AA12" s="187">
        <v>3192.4800000000018</v>
      </c>
      <c r="AB12" s="184">
        <f t="shared" si="6"/>
        <v>798.12000000000046</v>
      </c>
      <c r="AC12" s="181">
        <f t="shared" si="7"/>
        <v>16</v>
      </c>
      <c r="AD12" s="596"/>
      <c r="AE12" s="187">
        <v>4</v>
      </c>
      <c r="AF12" s="187">
        <v>3191.4000000000019</v>
      </c>
      <c r="AG12" s="184">
        <f t="shared" si="8"/>
        <v>797.85000000000048</v>
      </c>
      <c r="AH12" s="181">
        <f t="shared" si="9"/>
        <v>17</v>
      </c>
      <c r="AI12" s="596"/>
      <c r="AJ12" s="187">
        <v>4</v>
      </c>
      <c r="AK12" s="187">
        <v>3191.7600000000016</v>
      </c>
      <c r="AL12" s="184">
        <f t="shared" si="10"/>
        <v>797.9400000000004</v>
      </c>
      <c r="AM12" s="181">
        <f t="shared" si="11"/>
        <v>17</v>
      </c>
      <c r="AN12" s="596"/>
      <c r="AO12" s="187">
        <v>4</v>
      </c>
      <c r="AP12" s="187">
        <v>3192.8400000000011</v>
      </c>
      <c r="AQ12" s="184">
        <f t="shared" si="12"/>
        <v>798.21000000000026</v>
      </c>
      <c r="AR12" s="181">
        <f t="shared" si="13"/>
        <v>17</v>
      </c>
      <c r="AS12" s="596"/>
      <c r="AT12" s="187">
        <v>4</v>
      </c>
      <c r="AU12" s="187">
        <v>3192.1200000000013</v>
      </c>
      <c r="AV12" s="184">
        <f t="shared" si="14"/>
        <v>798.03000000000031</v>
      </c>
      <c r="AW12" s="181">
        <f t="shared" si="15"/>
        <v>17</v>
      </c>
      <c r="AX12" s="596"/>
    </row>
    <row r="13" spans="1:50" ht="14.25" customHeight="1">
      <c r="B13" s="597"/>
      <c r="C13" s="179">
        <v>7</v>
      </c>
      <c r="D13" s="182" t="s">
        <v>390</v>
      </c>
      <c r="E13" s="183">
        <v>3</v>
      </c>
      <c r="F13" s="179">
        <v>3600</v>
      </c>
      <c r="G13" s="184">
        <f t="shared" si="1"/>
        <v>1200</v>
      </c>
      <c r="H13" s="598"/>
      <c r="I13" s="185">
        <f t="shared" si="16"/>
        <v>3</v>
      </c>
      <c r="J13" s="185">
        <f t="shared" si="2"/>
        <v>3187.6544787857465</v>
      </c>
      <c r="K13" s="186">
        <f t="shared" si="2"/>
        <v>1062.5514929285823</v>
      </c>
      <c r="L13" s="599"/>
      <c r="M13" s="185">
        <f>RANK(K13, K$7:$K$43)</f>
        <v>7</v>
      </c>
      <c r="N13" s="610"/>
      <c r="O13" s="600"/>
      <c r="P13" s="187">
        <v>3</v>
      </c>
      <c r="Q13" s="187">
        <v>3186.2659073571767</v>
      </c>
      <c r="R13" s="184">
        <f t="shared" si="3"/>
        <v>1062.0886357857255</v>
      </c>
      <c r="S13" s="181">
        <f t="shared" si="4"/>
        <v>8</v>
      </c>
      <c r="T13" s="596"/>
      <c r="U13" s="187">
        <v>3</v>
      </c>
      <c r="V13" s="187">
        <v>3187.3459073571762</v>
      </c>
      <c r="W13" s="184">
        <f t="shared" si="0"/>
        <v>1062.4486357857254</v>
      </c>
      <c r="X13" s="181">
        <f t="shared" si="5"/>
        <v>8</v>
      </c>
      <c r="Y13" s="596"/>
      <c r="Z13" s="187">
        <v>3</v>
      </c>
      <c r="AA13" s="187">
        <v>3188.4259073571761</v>
      </c>
      <c r="AB13" s="184">
        <f t="shared" si="6"/>
        <v>1062.8086357857253</v>
      </c>
      <c r="AC13" s="181">
        <f t="shared" si="7"/>
        <v>7</v>
      </c>
      <c r="AD13" s="596"/>
      <c r="AE13" s="187">
        <v>3</v>
      </c>
      <c r="AF13" s="187">
        <v>3187.7059073571754</v>
      </c>
      <c r="AG13" s="184">
        <f t="shared" si="8"/>
        <v>1062.5686357857251</v>
      </c>
      <c r="AH13" s="181">
        <f t="shared" si="9"/>
        <v>7</v>
      </c>
      <c r="AI13" s="596"/>
      <c r="AJ13" s="187">
        <v>3</v>
      </c>
      <c r="AK13" s="187">
        <v>3188.7859073571749</v>
      </c>
      <c r="AL13" s="184">
        <f t="shared" si="10"/>
        <v>1062.928635785725</v>
      </c>
      <c r="AM13" s="181">
        <f t="shared" si="11"/>
        <v>6</v>
      </c>
      <c r="AN13" s="596"/>
      <c r="AO13" s="187">
        <v>3</v>
      </c>
      <c r="AP13" s="187">
        <v>3188.0659073571751</v>
      </c>
      <c r="AQ13" s="184">
        <f t="shared" si="12"/>
        <v>1062.688635785725</v>
      </c>
      <c r="AR13" s="181">
        <f t="shared" si="13"/>
        <v>6</v>
      </c>
      <c r="AS13" s="596"/>
      <c r="AT13" s="187">
        <v>3</v>
      </c>
      <c r="AU13" s="187">
        <v>3186.9859073571752</v>
      </c>
      <c r="AV13" s="184">
        <f t="shared" si="14"/>
        <v>1062.3286357857251</v>
      </c>
      <c r="AW13" s="181">
        <f t="shared" si="15"/>
        <v>6</v>
      </c>
      <c r="AX13" s="596"/>
    </row>
    <row r="14" spans="1:50" ht="14.25" customHeight="1">
      <c r="B14" s="597"/>
      <c r="C14" s="179">
        <v>8</v>
      </c>
      <c r="D14" s="182" t="s">
        <v>389</v>
      </c>
      <c r="E14" s="183">
        <v>5</v>
      </c>
      <c r="F14" s="179">
        <v>3600</v>
      </c>
      <c r="G14" s="184">
        <f t="shared" si="1"/>
        <v>720</v>
      </c>
      <c r="H14" s="598"/>
      <c r="I14" s="185">
        <f t="shared" si="16"/>
        <v>5</v>
      </c>
      <c r="J14" s="185">
        <f t="shared" si="2"/>
        <v>3191.7990248403971</v>
      </c>
      <c r="K14" s="186">
        <f t="shared" si="2"/>
        <v>638.35980496807952</v>
      </c>
      <c r="L14" s="599"/>
      <c r="M14" s="185">
        <f>RANK(K14, K$7:$K$43)</f>
        <v>27</v>
      </c>
      <c r="N14" s="610"/>
      <c r="O14" s="600"/>
      <c r="P14" s="187">
        <v>5</v>
      </c>
      <c r="Q14" s="187">
        <v>3193.4961676975386</v>
      </c>
      <c r="R14" s="184">
        <f t="shared" si="3"/>
        <v>638.69923353950776</v>
      </c>
      <c r="S14" s="181">
        <f t="shared" si="4"/>
        <v>25</v>
      </c>
      <c r="T14" s="596"/>
      <c r="U14" s="187">
        <v>5</v>
      </c>
      <c r="V14" s="187">
        <v>3193.1361676975393</v>
      </c>
      <c r="W14" s="184">
        <f t="shared" si="0"/>
        <v>638.62723353950787</v>
      </c>
      <c r="X14" s="181">
        <f t="shared" si="5"/>
        <v>25</v>
      </c>
      <c r="Y14" s="596"/>
      <c r="Z14" s="187">
        <v>5</v>
      </c>
      <c r="AA14" s="187">
        <v>3191.6961676975397</v>
      </c>
      <c r="AB14" s="184">
        <f t="shared" si="6"/>
        <v>638.33923353950797</v>
      </c>
      <c r="AC14" s="181">
        <f t="shared" si="7"/>
        <v>28</v>
      </c>
      <c r="AD14" s="596"/>
      <c r="AE14" s="187">
        <v>5</v>
      </c>
      <c r="AF14" s="187">
        <v>3190.2561676975401</v>
      </c>
      <c r="AG14" s="184">
        <f t="shared" si="8"/>
        <v>638.05123353950808</v>
      </c>
      <c r="AH14" s="181">
        <f t="shared" si="9"/>
        <v>28</v>
      </c>
      <c r="AI14" s="596"/>
      <c r="AJ14" s="187">
        <v>5</v>
      </c>
      <c r="AK14" s="187">
        <v>3191.6961676975402</v>
      </c>
      <c r="AL14" s="184">
        <f t="shared" si="10"/>
        <v>638.33923353950809</v>
      </c>
      <c r="AM14" s="181">
        <f t="shared" si="11"/>
        <v>27</v>
      </c>
      <c r="AN14" s="596"/>
      <c r="AO14" s="187">
        <v>5</v>
      </c>
      <c r="AP14" s="187">
        <v>3190.9761676975404</v>
      </c>
      <c r="AQ14" s="184">
        <f t="shared" si="12"/>
        <v>638.19523353950808</v>
      </c>
      <c r="AR14" s="181">
        <f t="shared" si="13"/>
        <v>28</v>
      </c>
      <c r="AS14" s="596"/>
      <c r="AT14" s="187">
        <v>5</v>
      </c>
      <c r="AU14" s="187">
        <v>3191.3361676975405</v>
      </c>
      <c r="AV14" s="184">
        <f t="shared" si="14"/>
        <v>638.26723353950808</v>
      </c>
      <c r="AW14" s="181">
        <f t="shared" si="15"/>
        <v>28</v>
      </c>
      <c r="AX14" s="596"/>
    </row>
    <row r="15" spans="1:50" ht="14.25" customHeight="1">
      <c r="B15" s="597"/>
      <c r="C15" s="179">
        <v>9</v>
      </c>
      <c r="D15" s="182" t="s">
        <v>387</v>
      </c>
      <c r="E15" s="183">
        <v>5</v>
      </c>
      <c r="F15" s="179">
        <v>3600</v>
      </c>
      <c r="G15" s="184">
        <f t="shared" si="1"/>
        <v>720</v>
      </c>
      <c r="H15" s="598"/>
      <c r="I15" s="185">
        <f t="shared" si="16"/>
        <v>5</v>
      </c>
      <c r="J15" s="185">
        <f t="shared" si="2"/>
        <v>3197.9721358709162</v>
      </c>
      <c r="K15" s="186">
        <f t="shared" si="2"/>
        <v>639.59442717418301</v>
      </c>
      <c r="L15" s="599"/>
      <c r="M15" s="185">
        <f>RANK(K15, K$7:$K$43)</f>
        <v>23</v>
      </c>
      <c r="N15" s="610"/>
      <c r="O15" s="600"/>
      <c r="P15" s="187">
        <v>5</v>
      </c>
      <c r="Q15" s="187">
        <v>3200.78332875462</v>
      </c>
      <c r="R15" s="184">
        <f t="shared" si="3"/>
        <v>640.15666575092405</v>
      </c>
      <c r="S15" s="181">
        <f t="shared" si="4"/>
        <v>22</v>
      </c>
      <c r="T15" s="596"/>
      <c r="U15" s="187">
        <v>5</v>
      </c>
      <c r="V15" s="187">
        <v>3202.2233287546205</v>
      </c>
      <c r="W15" s="184">
        <f t="shared" si="0"/>
        <v>640.44466575092406</v>
      </c>
      <c r="X15" s="181">
        <f t="shared" si="5"/>
        <v>21</v>
      </c>
      <c r="Y15" s="596"/>
      <c r="Z15" s="187">
        <v>5</v>
      </c>
      <c r="AA15" s="187">
        <v>3196.8476587174341</v>
      </c>
      <c r="AB15" s="184">
        <f t="shared" si="6"/>
        <v>639.36953174348685</v>
      </c>
      <c r="AC15" s="181">
        <f t="shared" si="7"/>
        <v>22</v>
      </c>
      <c r="AD15" s="596"/>
      <c r="AE15" s="187">
        <v>5</v>
      </c>
      <c r="AF15" s="187">
        <v>3196.487658717434</v>
      </c>
      <c r="AG15" s="184">
        <f t="shared" si="8"/>
        <v>639.29753174348684</v>
      </c>
      <c r="AH15" s="181">
        <f t="shared" si="9"/>
        <v>24</v>
      </c>
      <c r="AI15" s="596"/>
      <c r="AJ15" s="187">
        <v>5</v>
      </c>
      <c r="AK15" s="187">
        <v>3196.8476587174341</v>
      </c>
      <c r="AL15" s="184">
        <f t="shared" si="10"/>
        <v>639.36953174348685</v>
      </c>
      <c r="AM15" s="181">
        <f t="shared" si="11"/>
        <v>23</v>
      </c>
      <c r="AN15" s="596"/>
      <c r="AO15" s="187">
        <v>5</v>
      </c>
      <c r="AP15" s="187">
        <v>3196.8476587174337</v>
      </c>
      <c r="AQ15" s="184">
        <f t="shared" si="12"/>
        <v>639.36953174348673</v>
      </c>
      <c r="AR15" s="181">
        <f t="shared" si="13"/>
        <v>23</v>
      </c>
      <c r="AS15" s="596"/>
      <c r="AT15" s="187">
        <v>5</v>
      </c>
      <c r="AU15" s="187">
        <v>3195.7676587174337</v>
      </c>
      <c r="AV15" s="184">
        <f t="shared" si="14"/>
        <v>639.15353174348672</v>
      </c>
      <c r="AW15" s="181">
        <f t="shared" si="15"/>
        <v>23</v>
      </c>
      <c r="AX15" s="596"/>
    </row>
    <row r="16" spans="1:50" ht="14.25" customHeight="1">
      <c r="B16" s="597"/>
      <c r="C16" s="179">
        <v>10</v>
      </c>
      <c r="D16" s="182" t="s">
        <v>228</v>
      </c>
      <c r="E16" s="183">
        <v>3</v>
      </c>
      <c r="F16" s="179">
        <v>3000</v>
      </c>
      <c r="G16" s="184">
        <f t="shared" si="1"/>
        <v>1000</v>
      </c>
      <c r="H16" s="598"/>
      <c r="I16" s="185">
        <f t="shared" si="16"/>
        <v>3</v>
      </c>
      <c r="J16" s="185">
        <f t="shared" si="2"/>
        <v>2718.2064514543795</v>
      </c>
      <c r="K16" s="186">
        <f t="shared" si="2"/>
        <v>906.06881715145994</v>
      </c>
      <c r="L16" s="599"/>
      <c r="M16" s="185">
        <f>RANK(K16, K$7:$K$43)</f>
        <v>13</v>
      </c>
      <c r="N16" s="610"/>
      <c r="O16" s="600"/>
      <c r="P16" s="187">
        <v>3</v>
      </c>
      <c r="Q16" s="187">
        <v>2717.9921657400932</v>
      </c>
      <c r="R16" s="184">
        <f t="shared" si="3"/>
        <v>905.99738858003104</v>
      </c>
      <c r="S16" s="181">
        <f t="shared" si="4"/>
        <v>13</v>
      </c>
      <c r="T16" s="596"/>
      <c r="U16" s="187">
        <v>3</v>
      </c>
      <c r="V16" s="187">
        <v>2719.1921657400931</v>
      </c>
      <c r="W16" s="184">
        <f t="shared" si="0"/>
        <v>906.39738858003102</v>
      </c>
      <c r="X16" s="181">
        <f t="shared" si="5"/>
        <v>13</v>
      </c>
      <c r="Y16" s="596"/>
      <c r="Z16" s="187">
        <v>3</v>
      </c>
      <c r="AA16" s="187">
        <v>2718.8921657400938</v>
      </c>
      <c r="AB16" s="184">
        <f t="shared" si="6"/>
        <v>906.29738858003122</v>
      </c>
      <c r="AC16" s="181">
        <f t="shared" si="7"/>
        <v>13</v>
      </c>
      <c r="AD16" s="596"/>
      <c r="AE16" s="187">
        <v>3</v>
      </c>
      <c r="AF16" s="187">
        <v>2717.9921657400937</v>
      </c>
      <c r="AG16" s="184">
        <f t="shared" si="8"/>
        <v>905.99738858003127</v>
      </c>
      <c r="AH16" s="181">
        <f t="shared" si="9"/>
        <v>13</v>
      </c>
      <c r="AI16" s="596"/>
      <c r="AJ16" s="187">
        <v>3</v>
      </c>
      <c r="AK16" s="187">
        <v>2718.2921657400939</v>
      </c>
      <c r="AL16" s="184">
        <f t="shared" si="10"/>
        <v>906.09738858003129</v>
      </c>
      <c r="AM16" s="181">
        <f t="shared" si="11"/>
        <v>14</v>
      </c>
      <c r="AN16" s="596"/>
      <c r="AO16" s="187">
        <v>3</v>
      </c>
      <c r="AP16" s="187">
        <v>2717.0921657400936</v>
      </c>
      <c r="AQ16" s="184">
        <f t="shared" si="12"/>
        <v>905.6973885800312</v>
      </c>
      <c r="AR16" s="181">
        <f t="shared" si="13"/>
        <v>15</v>
      </c>
      <c r="AS16" s="596"/>
      <c r="AT16" s="187">
        <v>3</v>
      </c>
      <c r="AU16" s="187">
        <v>2717.9921657400942</v>
      </c>
      <c r="AV16" s="184">
        <f t="shared" si="14"/>
        <v>905.99738858003138</v>
      </c>
      <c r="AW16" s="181">
        <f t="shared" si="15"/>
        <v>14</v>
      </c>
      <c r="AX16" s="596"/>
    </row>
    <row r="17" spans="2:50" ht="14.25" customHeight="1">
      <c r="B17" s="597"/>
      <c r="C17" s="179">
        <v>11</v>
      </c>
      <c r="D17" s="182" t="s">
        <v>439</v>
      </c>
      <c r="E17" s="183">
        <v>12</v>
      </c>
      <c r="F17" s="179">
        <v>3600</v>
      </c>
      <c r="G17" s="184">
        <f t="shared" si="1"/>
        <v>300</v>
      </c>
      <c r="H17" s="598"/>
      <c r="I17" s="185">
        <f t="shared" si="16"/>
        <v>12</v>
      </c>
      <c r="J17" s="185">
        <f t="shared" si="2"/>
        <v>3116.6325099237552</v>
      </c>
      <c r="K17" s="186">
        <f t="shared" si="2"/>
        <v>259.71937582697961</v>
      </c>
      <c r="L17" s="599"/>
      <c r="M17" s="185">
        <f>RANK(K17, K$7:$K$43)</f>
        <v>35</v>
      </c>
      <c r="N17" s="610"/>
      <c r="O17" s="600"/>
      <c r="P17" s="187">
        <v>12</v>
      </c>
      <c r="Q17" s="187">
        <v>3114.4210813523268</v>
      </c>
      <c r="R17" s="184">
        <f t="shared" si="3"/>
        <v>259.53509011269392</v>
      </c>
      <c r="S17" s="181">
        <f t="shared" si="4"/>
        <v>34</v>
      </c>
      <c r="T17" s="596"/>
      <c r="U17" s="187">
        <v>12</v>
      </c>
      <c r="V17" s="187">
        <v>3115.8610813523269</v>
      </c>
      <c r="W17" s="184">
        <f t="shared" si="0"/>
        <v>259.65509011269393</v>
      </c>
      <c r="X17" s="181">
        <f t="shared" si="5"/>
        <v>35</v>
      </c>
      <c r="Y17" s="596"/>
      <c r="Z17" s="187">
        <v>12</v>
      </c>
      <c r="AA17" s="187">
        <v>3116.9410813523268</v>
      </c>
      <c r="AB17" s="184">
        <f t="shared" si="6"/>
        <v>259.7450901126939</v>
      </c>
      <c r="AC17" s="181">
        <f t="shared" si="7"/>
        <v>34</v>
      </c>
      <c r="AD17" s="596"/>
      <c r="AE17" s="187">
        <v>12</v>
      </c>
      <c r="AF17" s="187">
        <v>3118.7410813523265</v>
      </c>
      <c r="AG17" s="184">
        <f t="shared" si="8"/>
        <v>259.89509011269388</v>
      </c>
      <c r="AH17" s="181">
        <f t="shared" si="9"/>
        <v>34</v>
      </c>
      <c r="AI17" s="596"/>
      <c r="AJ17" s="187">
        <v>12</v>
      </c>
      <c r="AK17" s="187">
        <v>3117.6610813523266</v>
      </c>
      <c r="AL17" s="184">
        <f t="shared" si="10"/>
        <v>259.8050901126939</v>
      </c>
      <c r="AM17" s="181">
        <f t="shared" si="11"/>
        <v>34</v>
      </c>
      <c r="AN17" s="596"/>
      <c r="AO17" s="187">
        <v>12</v>
      </c>
      <c r="AP17" s="187">
        <v>3115.8610813523269</v>
      </c>
      <c r="AQ17" s="184">
        <f t="shared" si="12"/>
        <v>259.65509011269393</v>
      </c>
      <c r="AR17" s="181">
        <f t="shared" si="13"/>
        <v>35</v>
      </c>
      <c r="AS17" s="596"/>
      <c r="AT17" s="187">
        <v>12</v>
      </c>
      <c r="AU17" s="187">
        <v>3116.9410813523264</v>
      </c>
      <c r="AV17" s="184">
        <f t="shared" si="14"/>
        <v>259.74509011269384</v>
      </c>
      <c r="AW17" s="181">
        <f t="shared" si="15"/>
        <v>35</v>
      </c>
      <c r="AX17" s="596"/>
    </row>
    <row r="18" spans="2:50" ht="14.25" customHeight="1">
      <c r="B18" s="597"/>
      <c r="C18" s="179">
        <v>12</v>
      </c>
      <c r="D18" s="182" t="s">
        <v>457</v>
      </c>
      <c r="E18" s="183">
        <v>3</v>
      </c>
      <c r="F18" s="179">
        <v>3300</v>
      </c>
      <c r="G18" s="184">
        <f t="shared" si="1"/>
        <v>1100</v>
      </c>
      <c r="H18" s="598"/>
      <c r="I18" s="185">
        <f t="shared" si="16"/>
        <v>3</v>
      </c>
      <c r="J18" s="185">
        <f t="shared" si="2"/>
        <v>2988.9164391041004</v>
      </c>
      <c r="K18" s="186">
        <f t="shared" si="2"/>
        <v>996.30547970136661</v>
      </c>
      <c r="L18" s="599"/>
      <c r="M18" s="185">
        <f>RANK(K18, K$7:$K$43)</f>
        <v>11</v>
      </c>
      <c r="N18" s="610"/>
      <c r="O18" s="600"/>
      <c r="P18" s="187">
        <v>3</v>
      </c>
      <c r="Q18" s="187">
        <v>2989.8592962469575</v>
      </c>
      <c r="R18" s="184">
        <f t="shared" si="3"/>
        <v>996.61976541565252</v>
      </c>
      <c r="S18" s="181">
        <f t="shared" si="4"/>
        <v>10</v>
      </c>
      <c r="T18" s="596"/>
      <c r="U18" s="187">
        <v>3</v>
      </c>
      <c r="V18" s="187">
        <v>2989.5292962469575</v>
      </c>
      <c r="W18" s="184">
        <f t="shared" si="0"/>
        <v>996.50976541565251</v>
      </c>
      <c r="X18" s="181">
        <f t="shared" si="5"/>
        <v>11</v>
      </c>
      <c r="Y18" s="596"/>
      <c r="Z18" s="187">
        <v>3</v>
      </c>
      <c r="AA18" s="187">
        <v>2989.1992962469576</v>
      </c>
      <c r="AB18" s="184">
        <f t="shared" si="6"/>
        <v>996.3997654156525</v>
      </c>
      <c r="AC18" s="181">
        <f t="shared" si="7"/>
        <v>10</v>
      </c>
      <c r="AD18" s="596"/>
      <c r="AE18" s="187">
        <v>3</v>
      </c>
      <c r="AF18" s="187">
        <v>2987.8792962469574</v>
      </c>
      <c r="AG18" s="184">
        <f t="shared" si="8"/>
        <v>995.95976541565244</v>
      </c>
      <c r="AH18" s="181">
        <f t="shared" si="9"/>
        <v>11</v>
      </c>
      <c r="AI18" s="596"/>
      <c r="AJ18" s="187">
        <v>3</v>
      </c>
      <c r="AK18" s="187">
        <v>2988.8692962469572</v>
      </c>
      <c r="AL18" s="184">
        <f t="shared" si="10"/>
        <v>996.28976541565237</v>
      </c>
      <c r="AM18" s="181">
        <f t="shared" si="11"/>
        <v>11</v>
      </c>
      <c r="AN18" s="596"/>
      <c r="AO18" s="187">
        <v>3</v>
      </c>
      <c r="AP18" s="187">
        <v>2989.1992962469571</v>
      </c>
      <c r="AQ18" s="184">
        <f t="shared" si="12"/>
        <v>996.39976541565238</v>
      </c>
      <c r="AR18" s="181">
        <f t="shared" si="13"/>
        <v>10</v>
      </c>
      <c r="AS18" s="596"/>
      <c r="AT18" s="187">
        <v>3</v>
      </c>
      <c r="AU18" s="187">
        <v>2987.8792962469574</v>
      </c>
      <c r="AV18" s="184">
        <f t="shared" si="14"/>
        <v>995.95976541565244</v>
      </c>
      <c r="AW18" s="181">
        <f t="shared" si="15"/>
        <v>11</v>
      </c>
      <c r="AX18" s="596"/>
    </row>
    <row r="19" spans="2:50" ht="14.25" customHeight="1">
      <c r="B19" s="597"/>
      <c r="C19" s="179">
        <v>13</v>
      </c>
      <c r="D19" s="182" t="s">
        <v>538</v>
      </c>
      <c r="E19" s="183">
        <v>3</v>
      </c>
      <c r="F19" s="179">
        <v>3600</v>
      </c>
      <c r="G19" s="184">
        <f t="shared" si="1"/>
        <v>1200</v>
      </c>
      <c r="H19" s="598"/>
      <c r="I19" s="185">
        <f t="shared" si="16"/>
        <v>3</v>
      </c>
      <c r="J19" s="185">
        <f t="shared" si="2"/>
        <v>3189.6593122287936</v>
      </c>
      <c r="K19" s="186">
        <f t="shared" si="2"/>
        <v>1063.2197707429314</v>
      </c>
      <c r="L19" s="599"/>
      <c r="M19" s="185">
        <f>RANK(K19, K$7:$K$43)</f>
        <v>5</v>
      </c>
      <c r="N19" s="610"/>
      <c r="O19" s="600"/>
      <c r="P19" s="187">
        <v>3</v>
      </c>
      <c r="Q19" s="187">
        <v>3187.7888959467377</v>
      </c>
      <c r="R19" s="184">
        <f t="shared" si="3"/>
        <v>1062.5962986489126</v>
      </c>
      <c r="S19" s="181">
        <f t="shared" si="4"/>
        <v>7</v>
      </c>
      <c r="T19" s="596"/>
      <c r="U19" s="187">
        <v>3</v>
      </c>
      <c r="V19" s="187">
        <v>3189.2288959467382</v>
      </c>
      <c r="W19" s="184">
        <f t="shared" si="0"/>
        <v>1063.0762986489128</v>
      </c>
      <c r="X19" s="181">
        <f t="shared" si="5"/>
        <v>6</v>
      </c>
      <c r="Y19" s="596"/>
      <c r="Z19" s="187">
        <v>3</v>
      </c>
      <c r="AA19" s="187">
        <v>3191.8474787416162</v>
      </c>
      <c r="AB19" s="184">
        <f t="shared" si="6"/>
        <v>1063.9491595805387</v>
      </c>
      <c r="AC19" s="181">
        <f t="shared" si="7"/>
        <v>4</v>
      </c>
      <c r="AD19" s="596"/>
      <c r="AE19" s="187">
        <v>3</v>
      </c>
      <c r="AF19" s="187">
        <v>3190.7674787416158</v>
      </c>
      <c r="AG19" s="184">
        <f t="shared" si="8"/>
        <v>1063.5891595805385</v>
      </c>
      <c r="AH19" s="181">
        <f t="shared" si="9"/>
        <v>5</v>
      </c>
      <c r="AI19" s="596"/>
      <c r="AJ19" s="187">
        <v>3</v>
      </c>
      <c r="AK19" s="187">
        <v>3189.6874787416164</v>
      </c>
      <c r="AL19" s="184">
        <f t="shared" si="10"/>
        <v>1063.2291595805389</v>
      </c>
      <c r="AM19" s="181">
        <f t="shared" si="11"/>
        <v>4</v>
      </c>
      <c r="AN19" s="596"/>
      <c r="AO19" s="187">
        <v>3</v>
      </c>
      <c r="AP19" s="187">
        <v>3188.9674787416166</v>
      </c>
      <c r="AQ19" s="184">
        <f t="shared" si="12"/>
        <v>1062.9891595805389</v>
      </c>
      <c r="AR19" s="181">
        <f t="shared" si="13"/>
        <v>5</v>
      </c>
      <c r="AS19" s="596"/>
      <c r="AT19" s="187">
        <v>3</v>
      </c>
      <c r="AU19" s="187">
        <v>3189.3274787416167</v>
      </c>
      <c r="AV19" s="184">
        <f t="shared" si="14"/>
        <v>1063.109159580539</v>
      </c>
      <c r="AW19" s="181">
        <f t="shared" si="15"/>
        <v>5</v>
      </c>
      <c r="AX19" s="596"/>
    </row>
    <row r="20" spans="2:50" ht="14.25" customHeight="1">
      <c r="B20" s="597"/>
      <c r="C20" s="179">
        <v>14</v>
      </c>
      <c r="D20" s="182" t="s">
        <v>530</v>
      </c>
      <c r="E20" s="183">
        <v>5</v>
      </c>
      <c r="F20" s="179">
        <v>3600</v>
      </c>
      <c r="G20" s="184">
        <f t="shared" si="1"/>
        <v>720</v>
      </c>
      <c r="H20" s="598"/>
      <c r="I20" s="185">
        <f t="shared" si="16"/>
        <v>5</v>
      </c>
      <c r="J20" s="185">
        <f t="shared" si="2"/>
        <v>3193.0825780563705</v>
      </c>
      <c r="K20" s="186">
        <f t="shared" si="2"/>
        <v>638.61651561127405</v>
      </c>
      <c r="L20" s="599"/>
      <c r="M20" s="185">
        <f>RANK(K20, K$7:$K$43)</f>
        <v>25</v>
      </c>
      <c r="N20" s="610"/>
      <c r="O20" s="600"/>
      <c r="P20" s="187">
        <v>5</v>
      </c>
      <c r="Q20" s="187">
        <v>3194.8311494849418</v>
      </c>
      <c r="R20" s="184">
        <f t="shared" si="3"/>
        <v>638.96622989698835</v>
      </c>
      <c r="S20" s="181">
        <f t="shared" si="4"/>
        <v>23</v>
      </c>
      <c r="T20" s="596"/>
      <c r="U20" s="187">
        <v>5</v>
      </c>
      <c r="V20" s="187">
        <v>3193.031149484942</v>
      </c>
      <c r="W20" s="184">
        <f t="shared" si="0"/>
        <v>638.60622989698845</v>
      </c>
      <c r="X20" s="181">
        <f t="shared" si="5"/>
        <v>26</v>
      </c>
      <c r="Y20" s="596"/>
      <c r="Z20" s="187">
        <v>5</v>
      </c>
      <c r="AA20" s="187">
        <v>3191.9511494849421</v>
      </c>
      <c r="AB20" s="184">
        <f t="shared" si="6"/>
        <v>638.39022989698844</v>
      </c>
      <c r="AC20" s="181">
        <f t="shared" si="7"/>
        <v>26</v>
      </c>
      <c r="AD20" s="596"/>
      <c r="AE20" s="187">
        <v>5</v>
      </c>
      <c r="AF20" s="187">
        <v>3191.5911494849424</v>
      </c>
      <c r="AG20" s="184">
        <f t="shared" si="8"/>
        <v>638.31822989698844</v>
      </c>
      <c r="AH20" s="181">
        <f t="shared" si="9"/>
        <v>27</v>
      </c>
      <c r="AI20" s="596"/>
      <c r="AJ20" s="187">
        <v>5</v>
      </c>
      <c r="AK20" s="187">
        <v>3191.9511494849421</v>
      </c>
      <c r="AL20" s="184">
        <f t="shared" si="10"/>
        <v>638.39022989698844</v>
      </c>
      <c r="AM20" s="181">
        <f t="shared" si="11"/>
        <v>25</v>
      </c>
      <c r="AN20" s="596"/>
      <c r="AO20" s="187">
        <v>5</v>
      </c>
      <c r="AP20" s="187">
        <v>3193.3911494849417</v>
      </c>
      <c r="AQ20" s="184">
        <f t="shared" si="12"/>
        <v>638.67822989698834</v>
      </c>
      <c r="AR20" s="181">
        <f t="shared" si="13"/>
        <v>25</v>
      </c>
      <c r="AS20" s="596"/>
      <c r="AT20" s="187">
        <v>5</v>
      </c>
      <c r="AU20" s="187">
        <v>3194.8311494849413</v>
      </c>
      <c r="AV20" s="184">
        <f t="shared" si="14"/>
        <v>638.96622989698824</v>
      </c>
      <c r="AW20" s="181">
        <f t="shared" si="15"/>
        <v>24</v>
      </c>
      <c r="AX20" s="596"/>
    </row>
    <row r="21" spans="2:50" ht="14.25" customHeight="1">
      <c r="B21" s="597"/>
      <c r="C21" s="179">
        <v>15</v>
      </c>
      <c r="D21" s="182" t="s">
        <v>595</v>
      </c>
      <c r="E21" s="183">
        <v>3</v>
      </c>
      <c r="F21" s="179">
        <v>3600</v>
      </c>
      <c r="G21" s="184">
        <f t="shared" si="1"/>
        <v>1200</v>
      </c>
      <c r="H21" s="598"/>
      <c r="I21" s="185">
        <f t="shared" si="16"/>
        <v>3</v>
      </c>
      <c r="J21" s="185">
        <f t="shared" si="2"/>
        <v>3197.3008393122423</v>
      </c>
      <c r="K21" s="186">
        <f t="shared" si="2"/>
        <v>1065.7669464374139</v>
      </c>
      <c r="L21" s="599"/>
      <c r="M21" s="185">
        <f>RANK(K21, K$7:$K$43)</f>
        <v>1</v>
      </c>
      <c r="N21" s="610"/>
      <c r="O21" s="600"/>
      <c r="P21" s="187">
        <v>3</v>
      </c>
      <c r="Q21" s="187">
        <v>3197.1979821693844</v>
      </c>
      <c r="R21" s="184">
        <f t="shared" si="3"/>
        <v>1065.7326607231282</v>
      </c>
      <c r="S21" s="181">
        <f t="shared" si="4"/>
        <v>1</v>
      </c>
      <c r="T21" s="596"/>
      <c r="U21" s="187">
        <v>3</v>
      </c>
      <c r="V21" s="187">
        <v>3198.2779821693848</v>
      </c>
      <c r="W21" s="184">
        <f t="shared" si="0"/>
        <v>1066.0926607231283</v>
      </c>
      <c r="X21" s="181">
        <f t="shared" si="5"/>
        <v>1</v>
      </c>
      <c r="Y21" s="596"/>
      <c r="Z21" s="187">
        <v>3</v>
      </c>
      <c r="AA21" s="187">
        <v>3199.7179821693849</v>
      </c>
      <c r="AB21" s="184">
        <f t="shared" si="6"/>
        <v>1066.5726607231284</v>
      </c>
      <c r="AC21" s="181">
        <f t="shared" si="7"/>
        <v>1</v>
      </c>
      <c r="AD21" s="596"/>
      <c r="AE21" s="187">
        <v>3</v>
      </c>
      <c r="AF21" s="187">
        <v>3198.2779821693853</v>
      </c>
      <c r="AG21" s="184">
        <f t="shared" si="8"/>
        <v>1066.0926607231283</v>
      </c>
      <c r="AH21" s="181">
        <f t="shared" si="9"/>
        <v>1</v>
      </c>
      <c r="AI21" s="596"/>
      <c r="AJ21" s="187">
        <v>3</v>
      </c>
      <c r="AK21" s="187">
        <v>3196.8379821693852</v>
      </c>
      <c r="AL21" s="184">
        <f t="shared" si="10"/>
        <v>1065.6126607231283</v>
      </c>
      <c r="AM21" s="181">
        <f t="shared" si="11"/>
        <v>2</v>
      </c>
      <c r="AN21" s="596"/>
      <c r="AO21" s="187">
        <v>3</v>
      </c>
      <c r="AP21" s="187">
        <v>3195.7579821693848</v>
      </c>
      <c r="AQ21" s="184">
        <f t="shared" si="12"/>
        <v>1065.2526607231282</v>
      </c>
      <c r="AR21" s="181">
        <f t="shared" si="13"/>
        <v>2</v>
      </c>
      <c r="AS21" s="596"/>
      <c r="AT21" s="187">
        <v>3</v>
      </c>
      <c r="AU21" s="187">
        <v>3195.0379821693846</v>
      </c>
      <c r="AV21" s="184">
        <f t="shared" si="14"/>
        <v>1065.0126607231282</v>
      </c>
      <c r="AW21" s="181">
        <f t="shared" si="15"/>
        <v>3</v>
      </c>
      <c r="AX21" s="596"/>
    </row>
    <row r="22" spans="2:50" ht="14.25" customHeight="1">
      <c r="B22" s="597"/>
      <c r="C22" s="179">
        <v>16</v>
      </c>
      <c r="D22" s="182" t="s">
        <v>577</v>
      </c>
      <c r="E22" s="183">
        <v>3</v>
      </c>
      <c r="F22" s="179">
        <v>3300</v>
      </c>
      <c r="G22" s="184">
        <f t="shared" si="1"/>
        <v>1100</v>
      </c>
      <c r="H22" s="598"/>
      <c r="I22" s="185">
        <f t="shared" si="16"/>
        <v>3</v>
      </c>
      <c r="J22" s="185">
        <f t="shared" si="2"/>
        <v>2976.3645245226871</v>
      </c>
      <c r="K22" s="186">
        <f t="shared" si="2"/>
        <v>992.12150817422901</v>
      </c>
      <c r="L22" s="599"/>
      <c r="M22" s="185">
        <f>RANK(K22, K$7:$K$43)</f>
        <v>12</v>
      </c>
      <c r="N22" s="610"/>
      <c r="O22" s="600"/>
      <c r="P22" s="187">
        <v>3</v>
      </c>
      <c r="Q22" s="187">
        <v>2976.4588102369735</v>
      </c>
      <c r="R22" s="184">
        <f t="shared" si="3"/>
        <v>992.15293674565783</v>
      </c>
      <c r="S22" s="181">
        <f t="shared" si="4"/>
        <v>12</v>
      </c>
      <c r="T22" s="596"/>
      <c r="U22" s="187">
        <v>3</v>
      </c>
      <c r="V22" s="187">
        <v>2976.7888102369734</v>
      </c>
      <c r="W22" s="184">
        <f t="shared" si="0"/>
        <v>992.26293674565784</v>
      </c>
      <c r="X22" s="181">
        <f t="shared" si="5"/>
        <v>12</v>
      </c>
      <c r="Y22" s="596"/>
      <c r="Z22" s="187">
        <v>3</v>
      </c>
      <c r="AA22" s="187">
        <v>2978.1088102369731</v>
      </c>
      <c r="AB22" s="184">
        <f t="shared" si="6"/>
        <v>992.70293674565767</v>
      </c>
      <c r="AC22" s="181">
        <f t="shared" si="7"/>
        <v>12</v>
      </c>
      <c r="AD22" s="596"/>
      <c r="AE22" s="187">
        <v>3</v>
      </c>
      <c r="AF22" s="187">
        <v>2977.1188102369724</v>
      </c>
      <c r="AG22" s="184">
        <f t="shared" si="8"/>
        <v>992.37293674565751</v>
      </c>
      <c r="AH22" s="181">
        <f t="shared" si="9"/>
        <v>12</v>
      </c>
      <c r="AI22" s="596"/>
      <c r="AJ22" s="187">
        <v>3</v>
      </c>
      <c r="AK22" s="187">
        <v>2976.788810236972</v>
      </c>
      <c r="AL22" s="184">
        <f t="shared" si="10"/>
        <v>992.26293674565738</v>
      </c>
      <c r="AM22" s="181">
        <f t="shared" si="11"/>
        <v>12</v>
      </c>
      <c r="AN22" s="596"/>
      <c r="AO22" s="187">
        <v>3</v>
      </c>
      <c r="AP22" s="187">
        <v>2975.1388102369719</v>
      </c>
      <c r="AQ22" s="184">
        <f t="shared" si="12"/>
        <v>991.71293674565732</v>
      </c>
      <c r="AR22" s="181">
        <f t="shared" si="13"/>
        <v>12</v>
      </c>
      <c r="AS22" s="596"/>
      <c r="AT22" s="187">
        <v>3</v>
      </c>
      <c r="AU22" s="187">
        <v>2974.1488102369722</v>
      </c>
      <c r="AV22" s="184">
        <f t="shared" si="14"/>
        <v>991.38293674565739</v>
      </c>
      <c r="AW22" s="181">
        <f t="shared" si="15"/>
        <v>12</v>
      </c>
      <c r="AX22" s="596"/>
    </row>
    <row r="23" spans="2:50" ht="14.25" customHeight="1">
      <c r="B23" s="597"/>
      <c r="C23" s="179">
        <v>17</v>
      </c>
      <c r="D23" s="182" t="s">
        <v>400</v>
      </c>
      <c r="E23" s="183">
        <v>5</v>
      </c>
      <c r="F23" s="179">
        <v>3600</v>
      </c>
      <c r="G23" s="184">
        <f t="shared" si="1"/>
        <v>720</v>
      </c>
      <c r="H23" s="598"/>
      <c r="I23" s="185">
        <f t="shared" si="16"/>
        <v>5</v>
      </c>
      <c r="J23" s="185">
        <f t="shared" si="2"/>
        <v>3192.2736116571677</v>
      </c>
      <c r="K23" s="186">
        <f t="shared" si="2"/>
        <v>638.45472233143357</v>
      </c>
      <c r="L23" s="599"/>
      <c r="M23" s="185">
        <f>RANK(K23, K$7:$K$43)</f>
        <v>26</v>
      </c>
      <c r="N23" s="610"/>
      <c r="O23" s="600"/>
      <c r="P23" s="187">
        <v>5</v>
      </c>
      <c r="Q23" s="187">
        <v>3192.0678973714535</v>
      </c>
      <c r="R23" s="184">
        <f t="shared" si="3"/>
        <v>638.41357947429071</v>
      </c>
      <c r="S23" s="181">
        <f t="shared" si="4"/>
        <v>26</v>
      </c>
      <c r="T23" s="596"/>
      <c r="U23" s="187">
        <v>5</v>
      </c>
      <c r="V23" s="187">
        <v>3193.1478973714534</v>
      </c>
      <c r="W23" s="184">
        <f t="shared" si="0"/>
        <v>638.62957947429072</v>
      </c>
      <c r="X23" s="181">
        <f t="shared" si="5"/>
        <v>24</v>
      </c>
      <c r="Y23" s="596"/>
      <c r="Z23" s="187">
        <v>5</v>
      </c>
      <c r="AA23" s="187">
        <v>3194.2278973714533</v>
      </c>
      <c r="AB23" s="184">
        <f t="shared" si="6"/>
        <v>638.84557947429062</v>
      </c>
      <c r="AC23" s="181">
        <f t="shared" si="7"/>
        <v>25</v>
      </c>
      <c r="AD23" s="596"/>
      <c r="AE23" s="187">
        <v>5</v>
      </c>
      <c r="AF23" s="187">
        <v>3192.7878973714528</v>
      </c>
      <c r="AG23" s="184">
        <f t="shared" si="8"/>
        <v>638.55757947429061</v>
      </c>
      <c r="AH23" s="181">
        <f t="shared" si="9"/>
        <v>25</v>
      </c>
      <c r="AI23" s="596"/>
      <c r="AJ23" s="187">
        <v>5</v>
      </c>
      <c r="AK23" s="187">
        <v>3191.3478973714537</v>
      </c>
      <c r="AL23" s="184">
        <f t="shared" si="10"/>
        <v>638.26957947429071</v>
      </c>
      <c r="AM23" s="181">
        <f t="shared" si="11"/>
        <v>28</v>
      </c>
      <c r="AN23" s="596"/>
      <c r="AO23" s="187">
        <v>5</v>
      </c>
      <c r="AP23" s="187">
        <v>3190.9878973714531</v>
      </c>
      <c r="AQ23" s="184">
        <f t="shared" si="12"/>
        <v>638.19757947429059</v>
      </c>
      <c r="AR23" s="181">
        <f t="shared" si="13"/>
        <v>27</v>
      </c>
      <c r="AS23" s="596"/>
      <c r="AT23" s="187">
        <v>5</v>
      </c>
      <c r="AU23" s="187">
        <v>3191.3478973714537</v>
      </c>
      <c r="AV23" s="184">
        <f t="shared" si="14"/>
        <v>638.26957947429071</v>
      </c>
      <c r="AW23" s="181">
        <f t="shared" si="15"/>
        <v>27</v>
      </c>
      <c r="AX23" s="596"/>
    </row>
    <row r="24" spans="2:50" ht="14.25" customHeight="1">
      <c r="B24" s="597"/>
      <c r="C24" s="179">
        <v>18</v>
      </c>
      <c r="D24" s="182" t="s">
        <v>399</v>
      </c>
      <c r="E24" s="183">
        <v>3</v>
      </c>
      <c r="F24" s="179">
        <v>3600</v>
      </c>
      <c r="G24" s="184">
        <f t="shared" si="1"/>
        <v>1200</v>
      </c>
      <c r="H24" s="598"/>
      <c r="I24" s="185">
        <f t="shared" si="16"/>
        <v>3</v>
      </c>
      <c r="J24" s="185">
        <f t="shared" si="2"/>
        <v>3185.8082678776441</v>
      </c>
      <c r="K24" s="186">
        <f t="shared" si="2"/>
        <v>1061.9360892925479</v>
      </c>
      <c r="L24" s="599"/>
      <c r="M24" s="185">
        <f>RANK(K24, K$7:$K$43)</f>
        <v>9</v>
      </c>
      <c r="N24" s="610"/>
      <c r="O24" s="600"/>
      <c r="P24" s="187">
        <v>3</v>
      </c>
      <c r="Q24" s="187">
        <v>3185.4482678776444</v>
      </c>
      <c r="R24" s="184">
        <f t="shared" si="3"/>
        <v>1061.8160892925482</v>
      </c>
      <c r="S24" s="181">
        <f t="shared" si="4"/>
        <v>9</v>
      </c>
      <c r="T24" s="596"/>
      <c r="U24" s="187">
        <v>3</v>
      </c>
      <c r="V24" s="187">
        <v>3184.7282678776446</v>
      </c>
      <c r="W24" s="184">
        <f t="shared" si="0"/>
        <v>1061.5760892925482</v>
      </c>
      <c r="X24" s="181">
        <f t="shared" si="5"/>
        <v>9</v>
      </c>
      <c r="Y24" s="596"/>
      <c r="Z24" s="187">
        <v>3</v>
      </c>
      <c r="AA24" s="187">
        <v>3186.1682678776438</v>
      </c>
      <c r="AB24" s="184">
        <f t="shared" si="6"/>
        <v>1062.056089292548</v>
      </c>
      <c r="AC24" s="181">
        <f t="shared" si="7"/>
        <v>9</v>
      </c>
      <c r="AD24" s="596"/>
      <c r="AE24" s="187">
        <v>3</v>
      </c>
      <c r="AF24" s="187">
        <v>3185.448267877644</v>
      </c>
      <c r="AG24" s="184">
        <f t="shared" si="8"/>
        <v>1061.816089292548</v>
      </c>
      <c r="AH24" s="181">
        <f t="shared" si="9"/>
        <v>9</v>
      </c>
      <c r="AI24" s="596"/>
      <c r="AJ24" s="187">
        <v>3</v>
      </c>
      <c r="AK24" s="187">
        <v>3186.5282678776439</v>
      </c>
      <c r="AL24" s="184">
        <f t="shared" si="10"/>
        <v>1062.1760892925479</v>
      </c>
      <c r="AM24" s="181">
        <f t="shared" si="11"/>
        <v>8</v>
      </c>
      <c r="AN24" s="596"/>
      <c r="AO24" s="187">
        <v>3</v>
      </c>
      <c r="AP24" s="187">
        <v>3186.1682678776438</v>
      </c>
      <c r="AQ24" s="184">
        <f t="shared" si="12"/>
        <v>1062.056089292548</v>
      </c>
      <c r="AR24" s="181">
        <f t="shared" si="13"/>
        <v>8</v>
      </c>
      <c r="AS24" s="596"/>
      <c r="AT24" s="187">
        <v>3</v>
      </c>
      <c r="AU24" s="187">
        <v>3186.1682678776438</v>
      </c>
      <c r="AV24" s="184">
        <f t="shared" si="14"/>
        <v>1062.056089292548</v>
      </c>
      <c r="AW24" s="181">
        <f t="shared" si="15"/>
        <v>9</v>
      </c>
      <c r="AX24" s="596"/>
    </row>
    <row r="25" spans="2:50" ht="14.25" customHeight="1">
      <c r="B25" s="597"/>
      <c r="C25" s="179">
        <v>19</v>
      </c>
      <c r="D25" s="182" t="s">
        <v>401</v>
      </c>
      <c r="E25" s="183">
        <v>4</v>
      </c>
      <c r="F25" s="179">
        <v>3300</v>
      </c>
      <c r="G25" s="184">
        <f t="shared" si="1"/>
        <v>825</v>
      </c>
      <c r="H25" s="598"/>
      <c r="I25" s="185">
        <f t="shared" si="16"/>
        <v>4</v>
      </c>
      <c r="J25" s="185">
        <f t="shared" si="2"/>
        <v>2989.7999999999997</v>
      </c>
      <c r="K25" s="186">
        <f t="shared" si="2"/>
        <v>747.44999999999993</v>
      </c>
      <c r="L25" s="599"/>
      <c r="M25" s="185">
        <f>RANK(K25, K$7:$K$43)</f>
        <v>18</v>
      </c>
      <c r="N25" s="610"/>
      <c r="O25" s="600"/>
      <c r="P25" s="187">
        <v>4</v>
      </c>
      <c r="Q25" s="187">
        <v>2989.8</v>
      </c>
      <c r="R25" s="184">
        <f t="shared" si="3"/>
        <v>747.45</v>
      </c>
      <c r="S25" s="181">
        <f t="shared" si="4"/>
        <v>18</v>
      </c>
      <c r="T25" s="596"/>
      <c r="U25" s="187">
        <v>4</v>
      </c>
      <c r="V25" s="187">
        <v>2989.8</v>
      </c>
      <c r="W25" s="184">
        <f t="shared" si="0"/>
        <v>747.45</v>
      </c>
      <c r="X25" s="181">
        <f t="shared" si="5"/>
        <v>18</v>
      </c>
      <c r="Y25" s="596"/>
      <c r="Z25" s="187">
        <v>4</v>
      </c>
      <c r="AA25" s="187">
        <v>2989.8</v>
      </c>
      <c r="AB25" s="184">
        <f t="shared" si="6"/>
        <v>747.45</v>
      </c>
      <c r="AC25" s="181">
        <f t="shared" si="7"/>
        <v>18</v>
      </c>
      <c r="AD25" s="596"/>
      <c r="AE25" s="187">
        <v>4</v>
      </c>
      <c r="AF25" s="187">
        <v>2989.7999999999997</v>
      </c>
      <c r="AG25" s="184">
        <f t="shared" si="8"/>
        <v>747.44999999999993</v>
      </c>
      <c r="AH25" s="181">
        <f t="shared" si="9"/>
        <v>19</v>
      </c>
      <c r="AI25" s="596"/>
      <c r="AJ25" s="187">
        <v>4</v>
      </c>
      <c r="AK25" s="187">
        <v>2989.8</v>
      </c>
      <c r="AL25" s="184">
        <f t="shared" si="10"/>
        <v>747.45</v>
      </c>
      <c r="AM25" s="181">
        <f t="shared" si="11"/>
        <v>18</v>
      </c>
      <c r="AN25" s="596"/>
      <c r="AO25" s="187">
        <v>4</v>
      </c>
      <c r="AP25" s="187">
        <v>2989.8</v>
      </c>
      <c r="AQ25" s="184">
        <f t="shared" si="12"/>
        <v>747.45</v>
      </c>
      <c r="AR25" s="181">
        <f t="shared" si="13"/>
        <v>18</v>
      </c>
      <c r="AS25" s="596"/>
      <c r="AT25" s="187">
        <v>4</v>
      </c>
      <c r="AU25" s="187">
        <v>2989.8</v>
      </c>
      <c r="AV25" s="184">
        <f t="shared" si="14"/>
        <v>747.45</v>
      </c>
      <c r="AW25" s="181">
        <f t="shared" si="15"/>
        <v>18</v>
      </c>
      <c r="AX25" s="596"/>
    </row>
    <row r="26" spans="2:50" ht="14.25" customHeight="1">
      <c r="B26" s="597"/>
      <c r="C26" s="179">
        <v>20</v>
      </c>
      <c r="D26" s="182" t="s">
        <v>344</v>
      </c>
      <c r="E26" s="183">
        <v>5</v>
      </c>
      <c r="F26" s="179">
        <v>3300</v>
      </c>
      <c r="G26" s="184">
        <f t="shared" si="1"/>
        <v>660</v>
      </c>
      <c r="H26" s="598"/>
      <c r="I26" s="185">
        <f t="shared" si="16"/>
        <v>5</v>
      </c>
      <c r="J26" s="185">
        <f t="shared" si="2"/>
        <v>2989.7999999999997</v>
      </c>
      <c r="K26" s="186">
        <f t="shared" si="2"/>
        <v>597.96</v>
      </c>
      <c r="L26" s="599"/>
      <c r="M26" s="185">
        <f>RANK(K26, K$7:$K$43)</f>
        <v>29</v>
      </c>
      <c r="N26" s="610"/>
      <c r="O26" s="600"/>
      <c r="P26" s="187">
        <v>5</v>
      </c>
      <c r="Q26" s="187">
        <v>2989.8</v>
      </c>
      <c r="R26" s="184">
        <f t="shared" si="3"/>
        <v>597.96</v>
      </c>
      <c r="S26" s="181">
        <f t="shared" si="4"/>
        <v>29</v>
      </c>
      <c r="T26" s="596"/>
      <c r="U26" s="187">
        <v>5</v>
      </c>
      <c r="V26" s="187">
        <v>2989.8</v>
      </c>
      <c r="W26" s="184">
        <f t="shared" si="0"/>
        <v>597.96</v>
      </c>
      <c r="X26" s="181">
        <f t="shared" si="5"/>
        <v>29</v>
      </c>
      <c r="Y26" s="596"/>
      <c r="Z26" s="187">
        <v>5</v>
      </c>
      <c r="AA26" s="187">
        <v>2989.7999999999997</v>
      </c>
      <c r="AB26" s="184">
        <f t="shared" si="6"/>
        <v>597.95999999999992</v>
      </c>
      <c r="AC26" s="181">
        <f t="shared" si="7"/>
        <v>30</v>
      </c>
      <c r="AD26" s="596"/>
      <c r="AE26" s="187">
        <v>5</v>
      </c>
      <c r="AF26" s="187">
        <v>2989.7999999999997</v>
      </c>
      <c r="AG26" s="184">
        <f t="shared" si="8"/>
        <v>597.95999999999992</v>
      </c>
      <c r="AH26" s="181">
        <f t="shared" si="9"/>
        <v>30</v>
      </c>
      <c r="AI26" s="596"/>
      <c r="AJ26" s="187">
        <v>5</v>
      </c>
      <c r="AK26" s="187">
        <v>2989.8000000000006</v>
      </c>
      <c r="AL26" s="184">
        <f t="shared" si="10"/>
        <v>597.96000000000015</v>
      </c>
      <c r="AM26" s="181">
        <f t="shared" si="11"/>
        <v>29</v>
      </c>
      <c r="AN26" s="596"/>
      <c r="AO26" s="187">
        <v>5</v>
      </c>
      <c r="AP26" s="187">
        <v>2989.8000000000006</v>
      </c>
      <c r="AQ26" s="184">
        <f t="shared" si="12"/>
        <v>597.96000000000015</v>
      </c>
      <c r="AR26" s="181">
        <f t="shared" si="13"/>
        <v>29</v>
      </c>
      <c r="AS26" s="596"/>
      <c r="AT26" s="187">
        <v>5</v>
      </c>
      <c r="AU26" s="187">
        <v>2989.7999999999997</v>
      </c>
      <c r="AV26" s="184">
        <f t="shared" si="14"/>
        <v>597.95999999999992</v>
      </c>
      <c r="AW26" s="181">
        <f t="shared" si="15"/>
        <v>30</v>
      </c>
      <c r="AX26" s="596"/>
    </row>
    <row r="27" spans="2:50" ht="14.25" customHeight="1">
      <c r="B27" s="597"/>
      <c r="C27" s="179">
        <v>21</v>
      </c>
      <c r="D27" s="182" t="s">
        <v>395</v>
      </c>
      <c r="E27" s="183">
        <v>3</v>
      </c>
      <c r="F27" s="179">
        <v>3600</v>
      </c>
      <c r="G27" s="184">
        <f t="shared" si="1"/>
        <v>1200</v>
      </c>
      <c r="H27" s="598"/>
      <c r="I27" s="185">
        <f t="shared" si="16"/>
        <v>3</v>
      </c>
      <c r="J27" s="185">
        <f t="shared" si="2"/>
        <v>3191.1263700988529</v>
      </c>
      <c r="K27" s="186">
        <f t="shared" si="2"/>
        <v>1063.7087900329511</v>
      </c>
      <c r="L27" s="599"/>
      <c r="M27" s="185">
        <f>RANK(K27, K$7:$K$43)</f>
        <v>4</v>
      </c>
      <c r="N27" s="610"/>
      <c r="O27" s="600"/>
      <c r="P27" s="187">
        <v>3</v>
      </c>
      <c r="Q27" s="187">
        <v>3193.3377986702817</v>
      </c>
      <c r="R27" s="184">
        <f t="shared" si="3"/>
        <v>1064.4459328900939</v>
      </c>
      <c r="S27" s="181">
        <f t="shared" si="4"/>
        <v>4</v>
      </c>
      <c r="T27" s="596"/>
      <c r="U27" s="187">
        <v>3</v>
      </c>
      <c r="V27" s="187">
        <v>3192.9777986702811</v>
      </c>
      <c r="W27" s="184">
        <f t="shared" si="0"/>
        <v>1064.3259328900938</v>
      </c>
      <c r="X27" s="181">
        <f t="shared" si="5"/>
        <v>4</v>
      </c>
      <c r="Y27" s="596"/>
      <c r="Z27" s="187">
        <v>3</v>
      </c>
      <c r="AA27" s="187">
        <v>3191.1777986702814</v>
      </c>
      <c r="AB27" s="184">
        <f t="shared" si="6"/>
        <v>1063.7259328900939</v>
      </c>
      <c r="AC27" s="181">
        <f t="shared" si="7"/>
        <v>5</v>
      </c>
      <c r="AD27" s="596"/>
      <c r="AE27" s="187">
        <v>3</v>
      </c>
      <c r="AF27" s="187">
        <v>3190.8177986702822</v>
      </c>
      <c r="AG27" s="184">
        <f t="shared" si="8"/>
        <v>1063.605932890094</v>
      </c>
      <c r="AH27" s="181">
        <f t="shared" si="9"/>
        <v>4</v>
      </c>
      <c r="AI27" s="596"/>
      <c r="AJ27" s="187">
        <v>3</v>
      </c>
      <c r="AK27" s="187">
        <v>3189.3777986702826</v>
      </c>
      <c r="AL27" s="184">
        <f t="shared" si="10"/>
        <v>1063.1259328900942</v>
      </c>
      <c r="AM27" s="181">
        <f t="shared" si="11"/>
        <v>5</v>
      </c>
      <c r="AN27" s="596"/>
      <c r="AO27" s="187">
        <v>3</v>
      </c>
      <c r="AP27" s="187">
        <v>3190.4577986702825</v>
      </c>
      <c r="AQ27" s="184">
        <f t="shared" si="12"/>
        <v>1063.4859328900941</v>
      </c>
      <c r="AR27" s="181">
        <f t="shared" si="13"/>
        <v>4</v>
      </c>
      <c r="AS27" s="596"/>
      <c r="AT27" s="187">
        <v>3</v>
      </c>
      <c r="AU27" s="187">
        <v>3189.7377986702822</v>
      </c>
      <c r="AV27" s="184">
        <f t="shared" si="14"/>
        <v>1063.2459328900941</v>
      </c>
      <c r="AW27" s="181">
        <f t="shared" si="15"/>
        <v>4</v>
      </c>
      <c r="AX27" s="596"/>
    </row>
    <row r="28" spans="2:50" ht="14.25" customHeight="1">
      <c r="B28" s="597"/>
      <c r="C28" s="179">
        <v>22</v>
      </c>
      <c r="D28" s="182" t="s">
        <v>519</v>
      </c>
      <c r="E28" s="183">
        <v>4</v>
      </c>
      <c r="F28" s="179">
        <v>3600</v>
      </c>
      <c r="G28" s="184">
        <f t="shared" si="1"/>
        <v>900</v>
      </c>
      <c r="H28" s="598"/>
      <c r="I28" s="185">
        <f t="shared" si="16"/>
        <v>4</v>
      </c>
      <c r="J28" s="185">
        <f t="shared" si="2"/>
        <v>3193.4057142857127</v>
      </c>
      <c r="K28" s="186">
        <f t="shared" si="2"/>
        <v>798.35142857142819</v>
      </c>
      <c r="L28" s="599"/>
      <c r="M28" s="185">
        <f>RANK(K28, K$7:$K$43)</f>
        <v>16</v>
      </c>
      <c r="N28" s="610"/>
      <c r="O28" s="600"/>
      <c r="P28" s="187">
        <v>4</v>
      </c>
      <c r="Q28" s="187">
        <v>3193.5599999999986</v>
      </c>
      <c r="R28" s="184">
        <f t="shared" si="3"/>
        <v>798.38999999999965</v>
      </c>
      <c r="S28" s="181">
        <f t="shared" si="4"/>
        <v>16</v>
      </c>
      <c r="T28" s="596"/>
      <c r="U28" s="187">
        <v>4</v>
      </c>
      <c r="V28" s="187">
        <v>3192.1199999999981</v>
      </c>
      <c r="W28" s="184">
        <f t="shared" si="0"/>
        <v>798.02999999999952</v>
      </c>
      <c r="X28" s="181">
        <f t="shared" si="5"/>
        <v>17</v>
      </c>
      <c r="Y28" s="596"/>
      <c r="Z28" s="187">
        <v>4</v>
      </c>
      <c r="AA28" s="187">
        <v>3192.4799999999982</v>
      </c>
      <c r="AB28" s="184">
        <f t="shared" si="6"/>
        <v>798.11999999999955</v>
      </c>
      <c r="AC28" s="181">
        <f t="shared" si="7"/>
        <v>17</v>
      </c>
      <c r="AD28" s="596"/>
      <c r="AE28" s="187">
        <v>4</v>
      </c>
      <c r="AF28" s="187">
        <v>3194.2799999999988</v>
      </c>
      <c r="AG28" s="184">
        <f t="shared" si="8"/>
        <v>798.56999999999971</v>
      </c>
      <c r="AH28" s="181">
        <f t="shared" si="9"/>
        <v>16</v>
      </c>
      <c r="AI28" s="596"/>
      <c r="AJ28" s="187">
        <v>4</v>
      </c>
      <c r="AK28" s="187">
        <v>3194.2799999999988</v>
      </c>
      <c r="AL28" s="184">
        <f t="shared" si="10"/>
        <v>798.56999999999971</v>
      </c>
      <c r="AM28" s="181">
        <f t="shared" si="11"/>
        <v>16</v>
      </c>
      <c r="AN28" s="596"/>
      <c r="AO28" s="187">
        <v>4</v>
      </c>
      <c r="AP28" s="187">
        <v>3193.9199999999992</v>
      </c>
      <c r="AQ28" s="184">
        <f t="shared" si="12"/>
        <v>798.47999999999979</v>
      </c>
      <c r="AR28" s="181">
        <f t="shared" si="13"/>
        <v>16</v>
      </c>
      <c r="AS28" s="596"/>
      <c r="AT28" s="187">
        <v>4</v>
      </c>
      <c r="AU28" s="187">
        <v>3193.1999999999989</v>
      </c>
      <c r="AV28" s="184">
        <f t="shared" si="14"/>
        <v>798.29999999999973</v>
      </c>
      <c r="AW28" s="181">
        <f t="shared" si="15"/>
        <v>16</v>
      </c>
      <c r="AX28" s="596"/>
    </row>
    <row r="29" spans="2:50" ht="14.25" customHeight="1">
      <c r="B29" s="597"/>
      <c r="C29" s="179">
        <v>23</v>
      </c>
      <c r="D29" s="182" t="s">
        <v>398</v>
      </c>
      <c r="E29" s="183">
        <v>3</v>
      </c>
      <c r="F29" s="179">
        <v>3600</v>
      </c>
      <c r="G29" s="184">
        <f t="shared" si="1"/>
        <v>1200</v>
      </c>
      <c r="H29" s="598"/>
      <c r="I29" s="185">
        <f t="shared" si="16"/>
        <v>3</v>
      </c>
      <c r="J29" s="185">
        <f t="shared" si="2"/>
        <v>3196.3160598015243</v>
      </c>
      <c r="K29" s="186">
        <f t="shared" si="2"/>
        <v>1065.4386866005082</v>
      </c>
      <c r="L29" s="599"/>
      <c r="M29" s="185">
        <f>RANK(K29, K$7:$K$43)</f>
        <v>2</v>
      </c>
      <c r="N29" s="610"/>
      <c r="O29" s="600"/>
      <c r="P29" s="187">
        <v>3</v>
      </c>
      <c r="Q29" s="187">
        <v>3194.1560598015249</v>
      </c>
      <c r="R29" s="184">
        <f t="shared" si="3"/>
        <v>1064.7186866005084</v>
      </c>
      <c r="S29" s="181">
        <f t="shared" si="4"/>
        <v>2</v>
      </c>
      <c r="T29" s="596"/>
      <c r="U29" s="187">
        <v>3</v>
      </c>
      <c r="V29" s="187">
        <v>3195.2360598015248</v>
      </c>
      <c r="W29" s="184">
        <f t="shared" si="0"/>
        <v>1065.0786866005083</v>
      </c>
      <c r="X29" s="181">
        <f t="shared" si="5"/>
        <v>2</v>
      </c>
      <c r="Y29" s="596"/>
      <c r="Z29" s="187">
        <v>3</v>
      </c>
      <c r="AA29" s="187">
        <v>3195.5960598015245</v>
      </c>
      <c r="AB29" s="184">
        <f t="shared" si="6"/>
        <v>1065.1986866005082</v>
      </c>
      <c r="AC29" s="181">
        <f t="shared" si="7"/>
        <v>2</v>
      </c>
      <c r="AD29" s="596"/>
      <c r="AE29" s="187">
        <v>3</v>
      </c>
      <c r="AF29" s="187">
        <v>3196.6760598015244</v>
      </c>
      <c r="AG29" s="184">
        <f t="shared" si="8"/>
        <v>1065.5586866005081</v>
      </c>
      <c r="AH29" s="181">
        <f t="shared" si="9"/>
        <v>2</v>
      </c>
      <c r="AI29" s="596"/>
      <c r="AJ29" s="187">
        <v>3</v>
      </c>
      <c r="AK29" s="187">
        <v>3197.0360598015241</v>
      </c>
      <c r="AL29" s="184">
        <f t="shared" si="10"/>
        <v>1065.6786866005079</v>
      </c>
      <c r="AM29" s="181">
        <f t="shared" si="11"/>
        <v>1</v>
      </c>
      <c r="AN29" s="596"/>
      <c r="AO29" s="187">
        <v>3</v>
      </c>
      <c r="AP29" s="187">
        <v>3198.116059801524</v>
      </c>
      <c r="AQ29" s="184">
        <f t="shared" si="12"/>
        <v>1066.0386866005081</v>
      </c>
      <c r="AR29" s="181">
        <f t="shared" si="13"/>
        <v>1</v>
      </c>
      <c r="AS29" s="596"/>
      <c r="AT29" s="187">
        <v>3</v>
      </c>
      <c r="AU29" s="187">
        <v>3197.3960598015246</v>
      </c>
      <c r="AV29" s="184">
        <f t="shared" si="14"/>
        <v>1065.7986866005083</v>
      </c>
      <c r="AW29" s="181">
        <f t="shared" si="15"/>
        <v>1</v>
      </c>
      <c r="AX29" s="596"/>
    </row>
    <row r="30" spans="2:50" ht="14.25" customHeight="1">
      <c r="B30" s="597"/>
      <c r="C30" s="179">
        <v>24</v>
      </c>
      <c r="D30" s="182" t="s">
        <v>397</v>
      </c>
      <c r="E30" s="183">
        <v>5</v>
      </c>
      <c r="F30" s="179">
        <v>3600</v>
      </c>
      <c r="G30" s="184">
        <f t="shared" si="1"/>
        <v>720</v>
      </c>
      <c r="H30" s="598"/>
      <c r="I30" s="185">
        <f t="shared" si="16"/>
        <v>5</v>
      </c>
      <c r="J30" s="185">
        <f t="shared" si="2"/>
        <v>3198.353182000897</v>
      </c>
      <c r="K30" s="186">
        <f t="shared" si="2"/>
        <v>639.67063640017943</v>
      </c>
      <c r="L30" s="599"/>
      <c r="M30" s="185">
        <f>RANK(K30, K$7:$K$43)</f>
        <v>22</v>
      </c>
      <c r="N30" s="610"/>
      <c r="O30" s="600"/>
      <c r="P30" s="187">
        <v>5</v>
      </c>
      <c r="Q30" s="187">
        <v>3201.2903265899226</v>
      </c>
      <c r="R30" s="184">
        <f t="shared" si="3"/>
        <v>640.25806531798457</v>
      </c>
      <c r="S30" s="181">
        <f t="shared" si="4"/>
        <v>21</v>
      </c>
      <c r="T30" s="596"/>
      <c r="U30" s="187">
        <v>5</v>
      </c>
      <c r="V30" s="187">
        <v>3202.0103265899229</v>
      </c>
      <c r="W30" s="184">
        <f t="shared" si="0"/>
        <v>640.40206531798458</v>
      </c>
      <c r="X30" s="181">
        <f t="shared" si="5"/>
        <v>22</v>
      </c>
      <c r="Y30" s="596"/>
      <c r="Z30" s="187">
        <v>5</v>
      </c>
      <c r="AA30" s="187">
        <v>3196.8166460265934</v>
      </c>
      <c r="AB30" s="184">
        <f t="shared" si="6"/>
        <v>639.36332920531868</v>
      </c>
      <c r="AC30" s="181">
        <f t="shared" si="7"/>
        <v>23</v>
      </c>
      <c r="AD30" s="596"/>
      <c r="AE30" s="187">
        <v>5</v>
      </c>
      <c r="AF30" s="187">
        <v>3197.6287436999605</v>
      </c>
      <c r="AG30" s="184">
        <f t="shared" si="8"/>
        <v>639.52574873999208</v>
      </c>
      <c r="AH30" s="181">
        <f t="shared" si="9"/>
        <v>22</v>
      </c>
      <c r="AI30" s="596"/>
      <c r="AJ30" s="187">
        <v>5</v>
      </c>
      <c r="AK30" s="187">
        <v>3197.2687436999604</v>
      </c>
      <c r="AL30" s="184">
        <f t="shared" si="10"/>
        <v>639.45374873999208</v>
      </c>
      <c r="AM30" s="181">
        <f t="shared" si="11"/>
        <v>22</v>
      </c>
      <c r="AN30" s="596"/>
      <c r="AO30" s="187">
        <v>5</v>
      </c>
      <c r="AP30" s="187">
        <v>3197.2687436999604</v>
      </c>
      <c r="AQ30" s="184">
        <f t="shared" si="12"/>
        <v>639.45374873999208</v>
      </c>
      <c r="AR30" s="181">
        <f t="shared" si="13"/>
        <v>22</v>
      </c>
      <c r="AS30" s="596"/>
      <c r="AT30" s="187">
        <v>5</v>
      </c>
      <c r="AU30" s="187">
        <v>3196.18874369996</v>
      </c>
      <c r="AV30" s="184">
        <f t="shared" si="14"/>
        <v>639.23774873999196</v>
      </c>
      <c r="AW30" s="181">
        <f t="shared" si="15"/>
        <v>22</v>
      </c>
      <c r="AX30" s="596"/>
    </row>
    <row r="31" spans="2:50" ht="14.25" customHeight="1">
      <c r="B31" s="597"/>
      <c r="C31" s="179">
        <v>25</v>
      </c>
      <c r="D31" s="182" t="s">
        <v>394</v>
      </c>
      <c r="E31" s="183">
        <v>5</v>
      </c>
      <c r="F31" s="179">
        <v>3600</v>
      </c>
      <c r="G31" s="184">
        <f t="shared" si="1"/>
        <v>720</v>
      </c>
      <c r="H31" s="598"/>
      <c r="I31" s="185">
        <f t="shared" si="16"/>
        <v>5</v>
      </c>
      <c r="J31" s="185">
        <f t="shared" si="2"/>
        <v>3191.3054312284366</v>
      </c>
      <c r="K31" s="186">
        <f t="shared" si="2"/>
        <v>638.26108624568747</v>
      </c>
      <c r="L31" s="599"/>
      <c r="M31" s="185">
        <f>RANK(K31, K$7:$K$43)</f>
        <v>28</v>
      </c>
      <c r="N31" s="610"/>
      <c r="O31" s="600"/>
      <c r="P31" s="187">
        <v>5</v>
      </c>
      <c r="Q31" s="187">
        <v>3189.9682883712944</v>
      </c>
      <c r="R31" s="184">
        <f t="shared" si="3"/>
        <v>637.99365767425888</v>
      </c>
      <c r="S31" s="181">
        <f t="shared" si="4"/>
        <v>27</v>
      </c>
      <c r="T31" s="596"/>
      <c r="U31" s="187">
        <v>5</v>
      </c>
      <c r="V31" s="187">
        <v>3190.6882883712938</v>
      </c>
      <c r="W31" s="184">
        <f t="shared" si="0"/>
        <v>638.13765767425878</v>
      </c>
      <c r="X31" s="181">
        <f t="shared" si="5"/>
        <v>27</v>
      </c>
      <c r="Y31" s="596"/>
      <c r="Z31" s="187">
        <v>5</v>
      </c>
      <c r="AA31" s="187">
        <v>3191.7682883712937</v>
      </c>
      <c r="AB31" s="184">
        <f t="shared" si="6"/>
        <v>638.35365767425878</v>
      </c>
      <c r="AC31" s="181">
        <f t="shared" si="7"/>
        <v>27</v>
      </c>
      <c r="AD31" s="596"/>
      <c r="AE31" s="187">
        <v>5</v>
      </c>
      <c r="AF31" s="187">
        <v>3191.7682883712941</v>
      </c>
      <c r="AG31" s="184">
        <f t="shared" si="8"/>
        <v>638.35365767425878</v>
      </c>
      <c r="AH31" s="181">
        <f t="shared" si="9"/>
        <v>26</v>
      </c>
      <c r="AI31" s="596"/>
      <c r="AJ31" s="187">
        <v>5</v>
      </c>
      <c r="AK31" s="187">
        <v>3191.7682883712937</v>
      </c>
      <c r="AL31" s="184">
        <f t="shared" si="10"/>
        <v>638.35365767425878</v>
      </c>
      <c r="AM31" s="181">
        <f t="shared" si="11"/>
        <v>26</v>
      </c>
      <c r="AN31" s="596"/>
      <c r="AO31" s="187">
        <v>5</v>
      </c>
      <c r="AP31" s="187">
        <v>3191.7682883712937</v>
      </c>
      <c r="AQ31" s="184">
        <f t="shared" si="12"/>
        <v>638.35365767425878</v>
      </c>
      <c r="AR31" s="181">
        <f t="shared" si="13"/>
        <v>26</v>
      </c>
      <c r="AS31" s="596"/>
      <c r="AT31" s="187">
        <v>5</v>
      </c>
      <c r="AU31" s="187">
        <v>3191.4082883712945</v>
      </c>
      <c r="AV31" s="184">
        <f t="shared" si="14"/>
        <v>638.28165767425889</v>
      </c>
      <c r="AW31" s="181">
        <f t="shared" si="15"/>
        <v>26</v>
      </c>
      <c r="AX31" s="596"/>
    </row>
    <row r="32" spans="2:50" ht="14.25" customHeight="1">
      <c r="B32" s="597"/>
      <c r="C32" s="179">
        <v>26</v>
      </c>
      <c r="D32" s="182" t="s">
        <v>396</v>
      </c>
      <c r="E32" s="183">
        <v>3</v>
      </c>
      <c r="F32" s="179">
        <v>3000</v>
      </c>
      <c r="G32" s="184">
        <f t="shared" si="1"/>
        <v>1000</v>
      </c>
      <c r="H32" s="598"/>
      <c r="I32" s="185">
        <f t="shared" si="16"/>
        <v>3</v>
      </c>
      <c r="J32" s="185">
        <f t="shared" si="2"/>
        <v>2717.1231661141105</v>
      </c>
      <c r="K32" s="186">
        <f t="shared" si="2"/>
        <v>905.70772203803676</v>
      </c>
      <c r="L32" s="599"/>
      <c r="M32" s="185">
        <f>RANK(K32, K$7:$K$43)</f>
        <v>15</v>
      </c>
      <c r="N32" s="610"/>
      <c r="O32" s="600"/>
      <c r="P32" s="187">
        <v>3</v>
      </c>
      <c r="Q32" s="187">
        <v>2716.0088803998251</v>
      </c>
      <c r="R32" s="184">
        <f t="shared" si="3"/>
        <v>905.33629346660837</v>
      </c>
      <c r="S32" s="181">
        <f t="shared" si="4"/>
        <v>14</v>
      </c>
      <c r="T32" s="596"/>
      <c r="U32" s="187">
        <v>3</v>
      </c>
      <c r="V32" s="187">
        <v>2717.2088803998249</v>
      </c>
      <c r="W32" s="184">
        <f t="shared" si="0"/>
        <v>905.73629346660834</v>
      </c>
      <c r="X32" s="181">
        <f t="shared" si="5"/>
        <v>14</v>
      </c>
      <c r="Y32" s="596"/>
      <c r="Z32" s="187">
        <v>3</v>
      </c>
      <c r="AA32" s="187">
        <v>2716.9088803998247</v>
      </c>
      <c r="AB32" s="184">
        <f t="shared" si="6"/>
        <v>905.63629346660821</v>
      </c>
      <c r="AC32" s="181">
        <f t="shared" si="7"/>
        <v>14</v>
      </c>
      <c r="AD32" s="596"/>
      <c r="AE32" s="187">
        <v>3</v>
      </c>
      <c r="AF32" s="187">
        <v>2716.3088803998253</v>
      </c>
      <c r="AG32" s="184">
        <f t="shared" si="8"/>
        <v>905.43629346660839</v>
      </c>
      <c r="AH32" s="181">
        <f t="shared" si="9"/>
        <v>15</v>
      </c>
      <c r="AI32" s="596"/>
      <c r="AJ32" s="187">
        <v>3</v>
      </c>
      <c r="AK32" s="187">
        <v>2717.5088803998246</v>
      </c>
      <c r="AL32" s="184">
        <f t="shared" si="10"/>
        <v>905.83629346660825</v>
      </c>
      <c r="AM32" s="181">
        <f t="shared" si="11"/>
        <v>15</v>
      </c>
      <c r="AN32" s="596"/>
      <c r="AO32" s="187">
        <v>3</v>
      </c>
      <c r="AP32" s="187">
        <v>2717.2088803998245</v>
      </c>
      <c r="AQ32" s="184">
        <f t="shared" si="12"/>
        <v>905.73629346660812</v>
      </c>
      <c r="AR32" s="181">
        <f t="shared" si="13"/>
        <v>14</v>
      </c>
      <c r="AS32" s="596"/>
      <c r="AT32" s="187">
        <v>3</v>
      </c>
      <c r="AU32" s="187">
        <v>2718.708880399824</v>
      </c>
      <c r="AV32" s="184">
        <f t="shared" si="14"/>
        <v>906.236293466608</v>
      </c>
      <c r="AW32" s="181">
        <f t="shared" si="15"/>
        <v>13</v>
      </c>
      <c r="AX32" s="596"/>
    </row>
    <row r="33" spans="1:50" ht="14.25" customHeight="1">
      <c r="B33" s="597"/>
      <c r="C33" s="179">
        <v>27</v>
      </c>
      <c r="D33" s="182" t="s">
        <v>434</v>
      </c>
      <c r="E33" s="183">
        <v>3</v>
      </c>
      <c r="F33" s="179">
        <v>3600</v>
      </c>
      <c r="G33" s="184">
        <f t="shared" si="1"/>
        <v>1200</v>
      </c>
      <c r="H33" s="598"/>
      <c r="I33" s="185">
        <f t="shared" si="16"/>
        <v>3</v>
      </c>
      <c r="J33" s="185">
        <f t="shared" si="2"/>
        <v>3188.599642251048</v>
      </c>
      <c r="K33" s="186">
        <f t="shared" si="2"/>
        <v>1062.8665474170159</v>
      </c>
      <c r="L33" s="599"/>
      <c r="M33" s="185">
        <f>RANK(K33, K$7:$K$43)</f>
        <v>6</v>
      </c>
      <c r="N33" s="610"/>
      <c r="O33" s="600"/>
      <c r="P33" s="187">
        <v>3</v>
      </c>
      <c r="Q33" s="187">
        <v>3190.6053565367615</v>
      </c>
      <c r="R33" s="184">
        <f t="shared" si="3"/>
        <v>1063.5351188455872</v>
      </c>
      <c r="S33" s="181">
        <f t="shared" si="4"/>
        <v>5</v>
      </c>
      <c r="T33" s="596"/>
      <c r="U33" s="187">
        <v>3</v>
      </c>
      <c r="V33" s="187">
        <v>3189.525356536762</v>
      </c>
      <c r="W33" s="184">
        <f t="shared" si="0"/>
        <v>1063.1751188455873</v>
      </c>
      <c r="X33" s="181">
        <f t="shared" si="5"/>
        <v>5</v>
      </c>
      <c r="Y33" s="596"/>
      <c r="Z33" s="187">
        <v>3</v>
      </c>
      <c r="AA33" s="187">
        <v>3189.8853565367617</v>
      </c>
      <c r="AB33" s="184">
        <f t="shared" si="6"/>
        <v>1063.2951188455872</v>
      </c>
      <c r="AC33" s="181">
        <f t="shared" si="7"/>
        <v>6</v>
      </c>
      <c r="AD33" s="596"/>
      <c r="AE33" s="187">
        <v>3</v>
      </c>
      <c r="AF33" s="187">
        <v>3188.8053565367618</v>
      </c>
      <c r="AG33" s="184">
        <f t="shared" si="8"/>
        <v>1062.9351188455873</v>
      </c>
      <c r="AH33" s="181">
        <f t="shared" si="9"/>
        <v>6</v>
      </c>
      <c r="AI33" s="596"/>
      <c r="AJ33" s="187">
        <v>3</v>
      </c>
      <c r="AK33" s="187">
        <v>3187.7253565367628</v>
      </c>
      <c r="AL33" s="184">
        <f t="shared" si="10"/>
        <v>1062.5751188455877</v>
      </c>
      <c r="AM33" s="181">
        <f t="shared" si="11"/>
        <v>7</v>
      </c>
      <c r="AN33" s="596"/>
      <c r="AO33" s="187">
        <v>3</v>
      </c>
      <c r="AP33" s="187">
        <v>3187.0053565367625</v>
      </c>
      <c r="AQ33" s="184">
        <f t="shared" si="12"/>
        <v>1062.3351188455874</v>
      </c>
      <c r="AR33" s="181">
        <f t="shared" si="13"/>
        <v>7</v>
      </c>
      <c r="AS33" s="596"/>
      <c r="AT33" s="187">
        <v>3</v>
      </c>
      <c r="AU33" s="187">
        <v>3186.6453565367624</v>
      </c>
      <c r="AV33" s="184">
        <f t="shared" si="14"/>
        <v>1062.2151188455875</v>
      </c>
      <c r="AW33" s="181">
        <f t="shared" si="15"/>
        <v>8</v>
      </c>
      <c r="AX33" s="596"/>
    </row>
    <row r="34" spans="1:50" ht="14.25" customHeight="1">
      <c r="B34" s="597"/>
      <c r="C34" s="179">
        <v>28</v>
      </c>
      <c r="D34" s="182" t="s">
        <v>440</v>
      </c>
      <c r="E34" s="183">
        <v>4</v>
      </c>
      <c r="F34" s="179">
        <v>3000</v>
      </c>
      <c r="G34" s="184">
        <f t="shared" si="1"/>
        <v>750</v>
      </c>
      <c r="H34" s="598"/>
      <c r="I34" s="185">
        <f t="shared" si="16"/>
        <v>4</v>
      </c>
      <c r="J34" s="185">
        <f t="shared" si="2"/>
        <v>2710.7000901652987</v>
      </c>
      <c r="K34" s="186">
        <f t="shared" si="2"/>
        <v>677.67502254132467</v>
      </c>
      <c r="L34" s="599"/>
      <c r="M34" s="185">
        <f>RANK(K34, K$7:$K$43)</f>
        <v>20</v>
      </c>
      <c r="N34" s="610"/>
      <c r="O34" s="600"/>
      <c r="P34" s="187">
        <v>4</v>
      </c>
      <c r="Q34" s="187">
        <v>2707.2757488864636</v>
      </c>
      <c r="R34" s="184">
        <f t="shared" si="3"/>
        <v>676.8189372216159</v>
      </c>
      <c r="S34" s="181">
        <f t="shared" si="4"/>
        <v>20</v>
      </c>
      <c r="T34" s="596"/>
      <c r="U34" s="187">
        <v>4</v>
      </c>
      <c r="V34" s="187">
        <v>2707.875748886464</v>
      </c>
      <c r="W34" s="184">
        <f t="shared" si="0"/>
        <v>676.96893722161599</v>
      </c>
      <c r="X34" s="181">
        <f t="shared" si="5"/>
        <v>20</v>
      </c>
      <c r="Y34" s="596"/>
      <c r="Z34" s="187">
        <v>4</v>
      </c>
      <c r="AA34" s="187">
        <v>2710.6806526204678</v>
      </c>
      <c r="AB34" s="184">
        <f t="shared" si="6"/>
        <v>677.67016315511694</v>
      </c>
      <c r="AC34" s="181">
        <f t="shared" si="7"/>
        <v>20</v>
      </c>
      <c r="AD34" s="596"/>
      <c r="AE34" s="187">
        <v>4</v>
      </c>
      <c r="AF34" s="187">
        <v>2710.380652620468</v>
      </c>
      <c r="AG34" s="184">
        <f t="shared" si="8"/>
        <v>677.59516315511701</v>
      </c>
      <c r="AH34" s="181">
        <f t="shared" si="9"/>
        <v>20</v>
      </c>
      <c r="AI34" s="596"/>
      <c r="AJ34" s="187">
        <v>4</v>
      </c>
      <c r="AK34" s="187">
        <v>2710.6806526204682</v>
      </c>
      <c r="AL34" s="184">
        <f t="shared" si="10"/>
        <v>677.67016315511705</v>
      </c>
      <c r="AM34" s="181">
        <f t="shared" si="11"/>
        <v>21</v>
      </c>
      <c r="AN34" s="596"/>
      <c r="AO34" s="187">
        <v>4</v>
      </c>
      <c r="AP34" s="187">
        <v>2714.4535877613812</v>
      </c>
      <c r="AQ34" s="184">
        <f t="shared" si="12"/>
        <v>678.6133969403453</v>
      </c>
      <c r="AR34" s="181">
        <f t="shared" si="13"/>
        <v>21</v>
      </c>
      <c r="AS34" s="596"/>
      <c r="AT34" s="187">
        <v>4</v>
      </c>
      <c r="AU34" s="187">
        <v>2713.5535877613806</v>
      </c>
      <c r="AV34" s="184">
        <f t="shared" si="14"/>
        <v>678.38839694034516</v>
      </c>
      <c r="AW34" s="181">
        <f t="shared" si="15"/>
        <v>21</v>
      </c>
      <c r="AX34" s="596"/>
    </row>
    <row r="35" spans="1:50" ht="14.25" customHeight="1">
      <c r="B35" s="597"/>
      <c r="C35" s="179">
        <v>29</v>
      </c>
      <c r="D35" s="182" t="s">
        <v>507</v>
      </c>
      <c r="E35" s="183">
        <v>5</v>
      </c>
      <c r="F35" s="179">
        <v>3000</v>
      </c>
      <c r="G35" s="184">
        <f t="shared" si="1"/>
        <v>600</v>
      </c>
      <c r="H35" s="598"/>
      <c r="I35" s="185">
        <f t="shared" si="16"/>
        <v>5</v>
      </c>
      <c r="J35" s="185">
        <f t="shared" si="2"/>
        <v>2712.3874695745867</v>
      </c>
      <c r="K35" s="186">
        <f t="shared" si="2"/>
        <v>542.47749391491732</v>
      </c>
      <c r="L35" s="599"/>
      <c r="M35" s="185">
        <f>RANK(K35, K$7:$K$43)</f>
        <v>32</v>
      </c>
      <c r="N35" s="610"/>
      <c r="O35" s="600"/>
      <c r="P35" s="187">
        <v>5</v>
      </c>
      <c r="Q35" s="187">
        <v>2710.2286603923676</v>
      </c>
      <c r="R35" s="184">
        <f t="shared" si="3"/>
        <v>542.04573207847352</v>
      </c>
      <c r="S35" s="181">
        <f t="shared" si="4"/>
        <v>32</v>
      </c>
      <c r="T35" s="596"/>
      <c r="U35" s="187">
        <v>5</v>
      </c>
      <c r="V35" s="187">
        <v>2710.8286603923675</v>
      </c>
      <c r="W35" s="184">
        <f t="shared" si="0"/>
        <v>542.16573207847352</v>
      </c>
      <c r="X35" s="181">
        <f t="shared" si="5"/>
        <v>32</v>
      </c>
      <c r="Y35" s="596"/>
      <c r="Z35" s="187">
        <v>5</v>
      </c>
      <c r="AA35" s="187">
        <v>2712.3286603923675</v>
      </c>
      <c r="AB35" s="184">
        <f t="shared" si="6"/>
        <v>542.46573207847348</v>
      </c>
      <c r="AC35" s="181">
        <f t="shared" si="7"/>
        <v>32</v>
      </c>
      <c r="AD35" s="596"/>
      <c r="AE35" s="187">
        <v>5</v>
      </c>
      <c r="AF35" s="187">
        <v>2711.1286603923677</v>
      </c>
      <c r="AG35" s="184">
        <f t="shared" si="8"/>
        <v>542.22573207847358</v>
      </c>
      <c r="AH35" s="181">
        <f t="shared" si="9"/>
        <v>32</v>
      </c>
      <c r="AI35" s="596"/>
      <c r="AJ35" s="187">
        <v>5</v>
      </c>
      <c r="AK35" s="187">
        <v>2711.1286603923672</v>
      </c>
      <c r="AL35" s="184">
        <f t="shared" si="10"/>
        <v>542.22573207847347</v>
      </c>
      <c r="AM35" s="181">
        <f t="shared" si="11"/>
        <v>33</v>
      </c>
      <c r="AN35" s="596"/>
      <c r="AO35" s="187">
        <v>5</v>
      </c>
      <c r="AP35" s="187">
        <v>2714.0485198654724</v>
      </c>
      <c r="AQ35" s="184">
        <f t="shared" si="12"/>
        <v>542.80970397309443</v>
      </c>
      <c r="AR35" s="181">
        <f t="shared" si="13"/>
        <v>33</v>
      </c>
      <c r="AS35" s="596"/>
      <c r="AT35" s="187">
        <v>5</v>
      </c>
      <c r="AU35" s="187">
        <v>2717.0204651947952</v>
      </c>
      <c r="AV35" s="184">
        <f t="shared" si="14"/>
        <v>543.40409303895899</v>
      </c>
      <c r="AW35" s="181">
        <f t="shared" si="15"/>
        <v>32</v>
      </c>
      <c r="AX35" s="596"/>
    </row>
    <row r="36" spans="1:50" ht="14.25" customHeight="1">
      <c r="B36" s="597"/>
      <c r="C36" s="179">
        <v>30</v>
      </c>
      <c r="D36" s="182" t="s">
        <v>520</v>
      </c>
      <c r="E36" s="183">
        <v>3</v>
      </c>
      <c r="F36" s="179">
        <v>3300</v>
      </c>
      <c r="G36" s="184">
        <f t="shared" si="1"/>
        <v>1100</v>
      </c>
      <c r="H36" s="598"/>
      <c r="I36" s="185">
        <f t="shared" si="16"/>
        <v>3</v>
      </c>
      <c r="J36" s="185">
        <f t="shared" si="2"/>
        <v>2989.7564000322418</v>
      </c>
      <c r="K36" s="186">
        <f t="shared" si="2"/>
        <v>996.58546667741382</v>
      </c>
      <c r="L36" s="599"/>
      <c r="M36" s="185">
        <f>RANK(K36, K$7:$K$43)</f>
        <v>10</v>
      </c>
      <c r="N36" s="610"/>
      <c r="O36" s="600"/>
      <c r="P36" s="187">
        <v>3</v>
      </c>
      <c r="Q36" s="187">
        <v>2989.4264000322419</v>
      </c>
      <c r="R36" s="184">
        <f t="shared" si="3"/>
        <v>996.47546667741392</v>
      </c>
      <c r="S36" s="181">
        <f t="shared" si="4"/>
        <v>11</v>
      </c>
      <c r="T36" s="596"/>
      <c r="U36" s="187">
        <v>3</v>
      </c>
      <c r="V36" s="187">
        <v>2990.4164000322417</v>
      </c>
      <c r="W36" s="184">
        <f t="shared" si="0"/>
        <v>996.80546667741385</v>
      </c>
      <c r="X36" s="181">
        <f t="shared" si="5"/>
        <v>10</v>
      </c>
      <c r="Y36" s="596"/>
      <c r="Z36" s="187">
        <v>3</v>
      </c>
      <c r="AA36" s="187">
        <v>2989.0964000322415</v>
      </c>
      <c r="AB36" s="184">
        <f t="shared" si="6"/>
        <v>996.36546667741379</v>
      </c>
      <c r="AC36" s="181">
        <f t="shared" si="7"/>
        <v>11</v>
      </c>
      <c r="AD36" s="596"/>
      <c r="AE36" s="187">
        <v>3</v>
      </c>
      <c r="AF36" s="187">
        <v>2990.4164000322417</v>
      </c>
      <c r="AG36" s="184">
        <f t="shared" si="8"/>
        <v>996.80546667741385</v>
      </c>
      <c r="AH36" s="181">
        <f t="shared" si="9"/>
        <v>10</v>
      </c>
      <c r="AI36" s="596"/>
      <c r="AJ36" s="187">
        <v>3</v>
      </c>
      <c r="AK36" s="187">
        <v>2990.0864000322413</v>
      </c>
      <c r="AL36" s="184">
        <f t="shared" si="10"/>
        <v>996.69546667741372</v>
      </c>
      <c r="AM36" s="181">
        <f t="shared" si="11"/>
        <v>10</v>
      </c>
      <c r="AN36" s="596"/>
      <c r="AO36" s="187">
        <v>3</v>
      </c>
      <c r="AP36" s="187">
        <v>2989.0964000322406</v>
      </c>
      <c r="AQ36" s="184">
        <f t="shared" si="12"/>
        <v>996.36546667741356</v>
      </c>
      <c r="AR36" s="181">
        <f t="shared" si="13"/>
        <v>11</v>
      </c>
      <c r="AS36" s="596"/>
      <c r="AT36" s="187">
        <v>3</v>
      </c>
      <c r="AU36" s="187">
        <v>2989.7564000322409</v>
      </c>
      <c r="AV36" s="184">
        <f t="shared" si="14"/>
        <v>996.58546667741359</v>
      </c>
      <c r="AW36" s="181">
        <f t="shared" si="15"/>
        <v>10</v>
      </c>
      <c r="AX36" s="596"/>
    </row>
    <row r="37" spans="1:50" ht="14.25" customHeight="1">
      <c r="B37" s="597"/>
      <c r="C37" s="179">
        <v>31</v>
      </c>
      <c r="D37" s="182" t="s">
        <v>663</v>
      </c>
      <c r="E37" s="179">
        <v>6</v>
      </c>
      <c r="F37" s="179">
        <v>3600</v>
      </c>
      <c r="G37" s="184">
        <f t="shared" si="1"/>
        <v>600</v>
      </c>
      <c r="H37" s="598"/>
      <c r="I37" s="185">
        <f t="shared" si="16"/>
        <v>6</v>
      </c>
      <c r="J37" s="185">
        <f t="shared" si="2"/>
        <v>3262.3717115807426</v>
      </c>
      <c r="K37" s="186">
        <f t="shared" si="2"/>
        <v>543.72861859679051</v>
      </c>
      <c r="L37" s="599"/>
      <c r="M37" s="185">
        <f>RANK(K37, K$7:$K$43)</f>
        <v>31</v>
      </c>
      <c r="N37" s="610"/>
      <c r="O37" s="600"/>
      <c r="P37" s="187">
        <v>6</v>
      </c>
      <c r="Q37" s="187">
        <v>3261.3892396527285</v>
      </c>
      <c r="R37" s="184">
        <f t="shared" si="3"/>
        <v>543.56487327545472</v>
      </c>
      <c r="S37" s="181">
        <f t="shared" si="4"/>
        <v>31</v>
      </c>
      <c r="T37" s="596"/>
      <c r="U37" s="187">
        <v>6</v>
      </c>
      <c r="V37" s="187">
        <v>3262.8292396527281</v>
      </c>
      <c r="W37" s="184">
        <f t="shared" si="0"/>
        <v>543.80487327545472</v>
      </c>
      <c r="X37" s="181">
        <f t="shared" si="5"/>
        <v>31</v>
      </c>
      <c r="Y37" s="596"/>
      <c r="Z37" s="187">
        <v>6</v>
      </c>
      <c r="AA37" s="187">
        <v>3264.2692396527282</v>
      </c>
      <c r="AB37" s="184">
        <f t="shared" si="6"/>
        <v>544.04487327545473</v>
      </c>
      <c r="AC37" s="181">
        <f t="shared" si="7"/>
        <v>31</v>
      </c>
      <c r="AD37" s="596"/>
      <c r="AE37" s="187">
        <v>6</v>
      </c>
      <c r="AF37" s="187">
        <v>3262.8292396527286</v>
      </c>
      <c r="AG37" s="184">
        <f t="shared" si="8"/>
        <v>543.80487327545472</v>
      </c>
      <c r="AH37" s="181">
        <f t="shared" si="9"/>
        <v>31</v>
      </c>
      <c r="AI37" s="596"/>
      <c r="AJ37" s="187">
        <v>6</v>
      </c>
      <c r="AK37" s="187">
        <v>3262.0016741514282</v>
      </c>
      <c r="AL37" s="184">
        <f t="shared" si="10"/>
        <v>543.66694569190474</v>
      </c>
      <c r="AM37" s="181">
        <f t="shared" si="11"/>
        <v>31</v>
      </c>
      <c r="AN37" s="596"/>
      <c r="AO37" s="187">
        <v>6</v>
      </c>
      <c r="AP37" s="187">
        <v>3262.0016741514287</v>
      </c>
      <c r="AQ37" s="184">
        <f t="shared" si="12"/>
        <v>543.66694569190474</v>
      </c>
      <c r="AR37" s="181">
        <f t="shared" si="13"/>
        <v>31</v>
      </c>
      <c r="AS37" s="596"/>
      <c r="AT37" s="187">
        <v>6</v>
      </c>
      <c r="AU37" s="187">
        <v>3261.2816741514289</v>
      </c>
      <c r="AV37" s="184">
        <f t="shared" si="14"/>
        <v>543.54694569190485</v>
      </c>
      <c r="AW37" s="181">
        <f t="shared" si="15"/>
        <v>31</v>
      </c>
      <c r="AX37" s="596"/>
    </row>
    <row r="38" spans="1:50" ht="14.25" customHeight="1">
      <c r="B38" s="597"/>
      <c r="C38" s="179">
        <v>32</v>
      </c>
      <c r="D38" s="182" t="s">
        <v>690</v>
      </c>
      <c r="E38" s="179">
        <v>4</v>
      </c>
      <c r="F38" s="179">
        <v>3000</v>
      </c>
      <c r="G38" s="184">
        <f t="shared" si="1"/>
        <v>750</v>
      </c>
      <c r="H38" s="598"/>
      <c r="I38" s="185">
        <f t="shared" si="16"/>
        <v>4</v>
      </c>
      <c r="J38" s="185">
        <f t="shared" si="16"/>
        <v>2638.7211402004082</v>
      </c>
      <c r="K38" s="186">
        <f t="shared" si="16"/>
        <v>659.68028505010204</v>
      </c>
      <c r="L38" s="599"/>
      <c r="M38" s="185">
        <f>RANK(K38, K$7:$K$43)</f>
        <v>21</v>
      </c>
      <c r="N38" s="610"/>
      <c r="O38" s="600"/>
      <c r="P38" s="187">
        <v>4</v>
      </c>
      <c r="Q38" s="187">
        <v>2500.9380000000001</v>
      </c>
      <c r="R38" s="184">
        <f t="shared" si="3"/>
        <v>625.23450000000003</v>
      </c>
      <c r="S38" s="181">
        <f t="shared" si="4"/>
        <v>28</v>
      </c>
      <c r="T38" s="596"/>
      <c r="U38" s="187">
        <v>4</v>
      </c>
      <c r="V38" s="187">
        <v>2550.95676</v>
      </c>
      <c r="W38" s="184">
        <f t="shared" si="0"/>
        <v>637.73919000000001</v>
      </c>
      <c r="X38" s="181">
        <f t="shared" si="5"/>
        <v>28</v>
      </c>
      <c r="Y38" s="596"/>
      <c r="Z38" s="187">
        <v>4</v>
      </c>
      <c r="AA38" s="187">
        <v>2605.7520519599998</v>
      </c>
      <c r="AB38" s="184">
        <f t="shared" si="6"/>
        <v>651.43801298999995</v>
      </c>
      <c r="AC38" s="181">
        <f t="shared" si="7"/>
        <v>21</v>
      </c>
      <c r="AD38" s="596"/>
      <c r="AE38" s="187">
        <v>4</v>
      </c>
      <c r="AF38" s="187">
        <v>2660.4728450511593</v>
      </c>
      <c r="AG38" s="184">
        <f t="shared" si="8"/>
        <v>665.11821126278983</v>
      </c>
      <c r="AH38" s="181">
        <f t="shared" si="9"/>
        <v>21</v>
      </c>
      <c r="AI38" s="596"/>
      <c r="AJ38" s="187">
        <v>4</v>
      </c>
      <c r="AK38" s="187">
        <v>2716.3427747972332</v>
      </c>
      <c r="AL38" s="184">
        <f t="shared" si="10"/>
        <v>679.08569369930831</v>
      </c>
      <c r="AM38" s="181">
        <f t="shared" si="11"/>
        <v>20</v>
      </c>
      <c r="AN38" s="596"/>
      <c r="AO38" s="187">
        <v>4</v>
      </c>
      <c r="AP38" s="187">
        <v>2717.8427747972328</v>
      </c>
      <c r="AQ38" s="184">
        <f t="shared" si="12"/>
        <v>679.46069369930819</v>
      </c>
      <c r="AR38" s="181">
        <f t="shared" si="13"/>
        <v>20</v>
      </c>
      <c r="AS38" s="596"/>
      <c r="AT38" s="187">
        <v>4</v>
      </c>
      <c r="AU38" s="187">
        <v>2718.7427747972324</v>
      </c>
      <c r="AV38" s="184">
        <f t="shared" si="14"/>
        <v>679.6856936993081</v>
      </c>
      <c r="AW38" s="181">
        <f t="shared" si="15"/>
        <v>20</v>
      </c>
      <c r="AX38" s="596"/>
    </row>
    <row r="39" spans="1:50" ht="14.25" customHeight="1">
      <c r="B39" s="597"/>
      <c r="C39" s="179">
        <v>33</v>
      </c>
      <c r="D39" s="182" t="s">
        <v>691</v>
      </c>
      <c r="E39" s="179">
        <v>6</v>
      </c>
      <c r="F39" s="179">
        <v>3600</v>
      </c>
      <c r="G39" s="184">
        <f t="shared" si="1"/>
        <v>600</v>
      </c>
      <c r="H39" s="598"/>
      <c r="I39" s="185">
        <f t="shared" ref="I39:K42" si="17">AVERAGE(P39,U39,Z39,AE39,AJ39,AO39,AT39)</f>
        <v>6</v>
      </c>
      <c r="J39" s="185">
        <f t="shared" si="17"/>
        <v>3182.8012443380135</v>
      </c>
      <c r="K39" s="186">
        <f t="shared" si="17"/>
        <v>530.46687405633566</v>
      </c>
      <c r="L39" s="599"/>
      <c r="M39" s="185">
        <f>RANK(K39, K$7:$K$43)</f>
        <v>33</v>
      </c>
      <c r="N39" s="610"/>
      <c r="O39" s="600"/>
      <c r="P39" s="187">
        <v>6</v>
      </c>
      <c r="Q39" s="187">
        <v>3023.3621600000001</v>
      </c>
      <c r="R39" s="184">
        <f t="shared" si="3"/>
        <v>503.89369333333337</v>
      </c>
      <c r="S39" s="181">
        <f t="shared" si="4"/>
        <v>33</v>
      </c>
      <c r="T39" s="596"/>
      <c r="U39" s="187">
        <v>6</v>
      </c>
      <c r="V39" s="187">
        <v>3091.3478075200001</v>
      </c>
      <c r="W39" s="184">
        <f t="shared" si="0"/>
        <v>515.22463458666664</v>
      </c>
      <c r="X39" s="181">
        <f t="shared" si="5"/>
        <v>33</v>
      </c>
      <c r="Y39" s="596"/>
      <c r="Z39" s="187">
        <v>6</v>
      </c>
      <c r="AA39" s="187">
        <v>3158.9306820661918</v>
      </c>
      <c r="AB39" s="184">
        <f t="shared" si="6"/>
        <v>526.48844701103201</v>
      </c>
      <c r="AC39" s="181">
        <f t="shared" si="7"/>
        <v>33</v>
      </c>
      <c r="AD39" s="596"/>
      <c r="AE39" s="187">
        <v>6</v>
      </c>
      <c r="AF39" s="187">
        <v>3226.9032701398551</v>
      </c>
      <c r="AG39" s="184">
        <f t="shared" si="8"/>
        <v>537.81721168997581</v>
      </c>
      <c r="AH39" s="181">
        <f t="shared" si="9"/>
        <v>33</v>
      </c>
      <c r="AI39" s="596"/>
      <c r="AJ39" s="187">
        <v>6</v>
      </c>
      <c r="AK39" s="187">
        <v>3260.0482635466824</v>
      </c>
      <c r="AL39" s="184">
        <f t="shared" si="10"/>
        <v>543.34137725778044</v>
      </c>
      <c r="AM39" s="181">
        <f t="shared" si="11"/>
        <v>32</v>
      </c>
      <c r="AN39" s="596"/>
      <c r="AO39" s="187">
        <v>6</v>
      </c>
      <c r="AP39" s="187">
        <v>3260.0482635466833</v>
      </c>
      <c r="AQ39" s="184">
        <f t="shared" si="12"/>
        <v>543.34137725778055</v>
      </c>
      <c r="AR39" s="181">
        <f t="shared" si="13"/>
        <v>32</v>
      </c>
      <c r="AS39" s="596"/>
      <c r="AT39" s="187">
        <v>6</v>
      </c>
      <c r="AU39" s="187">
        <v>3258.9682635466829</v>
      </c>
      <c r="AV39" s="184">
        <f t="shared" si="14"/>
        <v>543.16137725778049</v>
      </c>
      <c r="AW39" s="181">
        <f t="shared" si="15"/>
        <v>33</v>
      </c>
      <c r="AX39" s="596"/>
    </row>
    <row r="40" spans="1:50" ht="14.25" customHeight="1">
      <c r="B40" s="597"/>
      <c r="C40" s="179">
        <v>34</v>
      </c>
      <c r="D40" s="182" t="s">
        <v>484</v>
      </c>
      <c r="E40" s="179">
        <v>13</v>
      </c>
      <c r="F40" s="179">
        <v>3600</v>
      </c>
      <c r="G40" s="184">
        <f t="shared" si="1"/>
        <v>276.92307692307691</v>
      </c>
      <c r="H40" s="598"/>
      <c r="I40" s="185">
        <f t="shared" si="17"/>
        <v>13</v>
      </c>
      <c r="J40" s="185">
        <f t="shared" si="17"/>
        <v>3259.6066255692626</v>
      </c>
      <c r="K40" s="186">
        <f t="shared" si="17"/>
        <v>250.73897119763555</v>
      </c>
      <c r="L40" s="599"/>
      <c r="M40" s="185">
        <f>RANK(K40, K$7:$K$43)</f>
        <v>36</v>
      </c>
      <c r="N40" s="610"/>
      <c r="O40" s="600"/>
      <c r="P40" s="187">
        <v>13</v>
      </c>
      <c r="Q40" s="187">
        <v>3261.3037684264045</v>
      </c>
      <c r="R40" s="184">
        <f t="shared" si="3"/>
        <v>250.86952064818496</v>
      </c>
      <c r="S40" s="181">
        <f t="shared" si="4"/>
        <v>36</v>
      </c>
      <c r="T40" s="596"/>
      <c r="U40" s="187">
        <v>13</v>
      </c>
      <c r="V40" s="187">
        <v>3259.5037684264048</v>
      </c>
      <c r="W40" s="184">
        <f t="shared" si="0"/>
        <v>250.73105910972345</v>
      </c>
      <c r="X40" s="181">
        <f t="shared" si="5"/>
        <v>36</v>
      </c>
      <c r="Y40" s="596"/>
      <c r="Z40" s="187">
        <v>13</v>
      </c>
      <c r="AA40" s="187">
        <v>3260.5837684264043</v>
      </c>
      <c r="AB40" s="184">
        <f t="shared" si="6"/>
        <v>250.81413603280032</v>
      </c>
      <c r="AC40" s="181">
        <f t="shared" si="7"/>
        <v>36</v>
      </c>
      <c r="AD40" s="596"/>
      <c r="AE40" s="187">
        <v>13</v>
      </c>
      <c r="AF40" s="187">
        <v>3260.2237684264046</v>
      </c>
      <c r="AG40" s="184">
        <f t="shared" si="8"/>
        <v>250.78644372510806</v>
      </c>
      <c r="AH40" s="181">
        <f t="shared" si="9"/>
        <v>36</v>
      </c>
      <c r="AI40" s="596"/>
      <c r="AJ40" s="187">
        <v>13</v>
      </c>
      <c r="AK40" s="187">
        <v>3258.4237684264053</v>
      </c>
      <c r="AL40" s="184">
        <f t="shared" si="10"/>
        <v>250.64798218664657</v>
      </c>
      <c r="AM40" s="181">
        <f t="shared" si="11"/>
        <v>36</v>
      </c>
      <c r="AN40" s="596"/>
      <c r="AO40" s="187">
        <v>13</v>
      </c>
      <c r="AP40" s="187">
        <v>3258.0637684264061</v>
      </c>
      <c r="AQ40" s="184">
        <f t="shared" si="12"/>
        <v>250.62028987895431</v>
      </c>
      <c r="AR40" s="181">
        <f t="shared" si="13"/>
        <v>36</v>
      </c>
      <c r="AS40" s="596"/>
      <c r="AT40" s="187">
        <v>13</v>
      </c>
      <c r="AU40" s="187">
        <v>3259.143768426406</v>
      </c>
      <c r="AV40" s="184">
        <f t="shared" si="14"/>
        <v>250.70336680203124</v>
      </c>
      <c r="AW40" s="181">
        <f t="shared" si="15"/>
        <v>36</v>
      </c>
      <c r="AX40" s="596"/>
    </row>
    <row r="41" spans="1:50" ht="14.25" customHeight="1">
      <c r="B41" s="597"/>
      <c r="C41" s="179">
        <v>35</v>
      </c>
      <c r="D41" s="182" t="s">
        <v>345</v>
      </c>
      <c r="E41" s="179">
        <v>3</v>
      </c>
      <c r="F41" s="179">
        <v>3000</v>
      </c>
      <c r="G41" s="184">
        <f t="shared" si="1"/>
        <v>1000</v>
      </c>
      <c r="H41" s="598"/>
      <c r="I41" s="185">
        <f t="shared" si="17"/>
        <v>3</v>
      </c>
      <c r="J41" s="185">
        <f t="shared" si="17"/>
        <v>2717.2536075350808</v>
      </c>
      <c r="K41" s="186">
        <f t="shared" si="17"/>
        <v>905.75120251169369</v>
      </c>
      <c r="L41" s="599"/>
      <c r="M41" s="185">
        <f>RANK(K41, K$7:$K$43)</f>
        <v>14</v>
      </c>
      <c r="N41" s="610"/>
      <c r="O41" s="600"/>
      <c r="P41" s="187">
        <v>3</v>
      </c>
      <c r="Q41" s="187">
        <v>2714.7250361065094</v>
      </c>
      <c r="R41" s="184">
        <f t="shared" si="3"/>
        <v>904.90834536883642</v>
      </c>
      <c r="S41" s="181">
        <f t="shared" si="4"/>
        <v>15</v>
      </c>
      <c r="T41" s="596"/>
      <c r="U41" s="187">
        <v>3</v>
      </c>
      <c r="V41" s="187">
        <v>2716.2250361065094</v>
      </c>
      <c r="W41" s="184">
        <f t="shared" si="0"/>
        <v>905.40834536883642</v>
      </c>
      <c r="X41" s="181">
        <f t="shared" si="5"/>
        <v>15</v>
      </c>
      <c r="Y41" s="596"/>
      <c r="Z41" s="187">
        <v>3</v>
      </c>
      <c r="AA41" s="187">
        <v>2716.8250361065093</v>
      </c>
      <c r="AB41" s="184">
        <f t="shared" si="6"/>
        <v>905.60834536883647</v>
      </c>
      <c r="AC41" s="181">
        <f t="shared" si="7"/>
        <v>15</v>
      </c>
      <c r="AD41" s="596"/>
      <c r="AE41" s="187">
        <v>3</v>
      </c>
      <c r="AF41" s="187">
        <v>2717.7250361065094</v>
      </c>
      <c r="AG41" s="184">
        <f t="shared" si="8"/>
        <v>905.90834536883642</v>
      </c>
      <c r="AH41" s="181">
        <f t="shared" si="9"/>
        <v>14</v>
      </c>
      <c r="AI41" s="596"/>
      <c r="AJ41" s="187">
        <v>3</v>
      </c>
      <c r="AK41" s="187">
        <v>2718.6250361065095</v>
      </c>
      <c r="AL41" s="184">
        <f t="shared" si="10"/>
        <v>906.20834536883649</v>
      </c>
      <c r="AM41" s="181">
        <f t="shared" si="11"/>
        <v>13</v>
      </c>
      <c r="AN41" s="596"/>
      <c r="AO41" s="187">
        <v>3</v>
      </c>
      <c r="AP41" s="187">
        <v>2718.9250361065097</v>
      </c>
      <c r="AQ41" s="184">
        <f t="shared" si="12"/>
        <v>906.30834536883651</v>
      </c>
      <c r="AR41" s="181">
        <f t="shared" si="13"/>
        <v>13</v>
      </c>
      <c r="AS41" s="596"/>
      <c r="AT41" s="187">
        <v>3</v>
      </c>
      <c r="AU41" s="187">
        <v>2717.7250361065103</v>
      </c>
      <c r="AV41" s="184">
        <f t="shared" si="14"/>
        <v>905.90834536883676</v>
      </c>
      <c r="AW41" s="181">
        <f t="shared" si="15"/>
        <v>15</v>
      </c>
      <c r="AX41" s="596"/>
    </row>
    <row r="42" spans="1:50" ht="14.25" customHeight="1">
      <c r="B42" s="597"/>
      <c r="C42" s="179">
        <v>36</v>
      </c>
      <c r="D42" s="182" t="s">
        <v>436</v>
      </c>
      <c r="E42" s="179">
        <v>12</v>
      </c>
      <c r="F42" s="179">
        <v>3600</v>
      </c>
      <c r="G42" s="184">
        <f t="shared" si="1"/>
        <v>300</v>
      </c>
      <c r="H42" s="598"/>
      <c r="I42" s="185">
        <f t="shared" si="17"/>
        <v>12</v>
      </c>
      <c r="J42" s="185">
        <f t="shared" si="17"/>
        <v>3117.4577302189086</v>
      </c>
      <c r="K42" s="186">
        <f t="shared" si="17"/>
        <v>259.78814418490907</v>
      </c>
      <c r="L42" s="599"/>
      <c r="M42" s="185">
        <f>RANK(K42, K$7:$K$43)</f>
        <v>34</v>
      </c>
      <c r="N42" s="610"/>
      <c r="O42" s="600"/>
      <c r="P42" s="187">
        <v>12</v>
      </c>
      <c r="Q42" s="187">
        <v>3114.2225748615342</v>
      </c>
      <c r="R42" s="184">
        <f t="shared" si="3"/>
        <v>259.51854790512783</v>
      </c>
      <c r="S42" s="181">
        <f t="shared" si="4"/>
        <v>35</v>
      </c>
      <c r="T42" s="596"/>
      <c r="U42" s="187">
        <v>12</v>
      </c>
      <c r="V42" s="187">
        <v>3116.022574861533</v>
      </c>
      <c r="W42" s="184">
        <f t="shared" si="0"/>
        <v>259.66854790512775</v>
      </c>
      <c r="X42" s="181">
        <f t="shared" si="5"/>
        <v>34</v>
      </c>
      <c r="Y42" s="596"/>
      <c r="Z42" s="187">
        <v>12</v>
      </c>
      <c r="AA42" s="187">
        <v>3116.7425748615333</v>
      </c>
      <c r="AB42" s="184">
        <f t="shared" si="6"/>
        <v>259.72854790512775</v>
      </c>
      <c r="AC42" s="181">
        <f t="shared" si="7"/>
        <v>35</v>
      </c>
      <c r="AD42" s="596"/>
      <c r="AE42" s="187">
        <v>12</v>
      </c>
      <c r="AF42" s="187">
        <v>3118.1825748615329</v>
      </c>
      <c r="AG42" s="184">
        <f t="shared" si="8"/>
        <v>259.84854790512776</v>
      </c>
      <c r="AH42" s="181">
        <f t="shared" si="9"/>
        <v>35</v>
      </c>
      <c r="AI42" s="596"/>
      <c r="AJ42" s="187">
        <v>12</v>
      </c>
      <c r="AK42" s="187">
        <v>3117.4512706954083</v>
      </c>
      <c r="AL42" s="184">
        <f t="shared" si="10"/>
        <v>259.78760589128404</v>
      </c>
      <c r="AM42" s="181">
        <f t="shared" si="11"/>
        <v>35</v>
      </c>
      <c r="AN42" s="596"/>
      <c r="AO42" s="187">
        <v>12</v>
      </c>
      <c r="AP42" s="187">
        <v>3118.8912706954084</v>
      </c>
      <c r="AQ42" s="184">
        <f t="shared" si="12"/>
        <v>259.90760589128405</v>
      </c>
      <c r="AR42" s="181">
        <f t="shared" si="13"/>
        <v>34</v>
      </c>
      <c r="AS42" s="596"/>
      <c r="AT42" s="187">
        <v>12</v>
      </c>
      <c r="AU42" s="187">
        <v>3120.6912706954085</v>
      </c>
      <c r="AV42" s="184">
        <f t="shared" si="14"/>
        <v>260.05760589128403</v>
      </c>
      <c r="AW42" s="181">
        <f t="shared" si="15"/>
        <v>34</v>
      </c>
      <c r="AX42" s="596"/>
    </row>
    <row r="43" spans="1:50" ht="14.25" customHeight="1">
      <c r="B43" s="597"/>
      <c r="C43" s="179">
        <v>37</v>
      </c>
      <c r="D43" s="182"/>
      <c r="E43" s="179"/>
      <c r="F43" s="179"/>
      <c r="G43" s="184"/>
      <c r="H43" s="598"/>
      <c r="I43" s="185"/>
      <c r="J43" s="185"/>
      <c r="K43" s="186"/>
      <c r="L43" s="599"/>
      <c r="M43" s="185"/>
      <c r="N43" s="610"/>
      <c r="O43" s="600"/>
      <c r="P43" s="187"/>
      <c r="Q43" s="187"/>
      <c r="R43" s="184"/>
      <c r="S43" s="181"/>
      <c r="T43" s="596"/>
      <c r="U43" s="187"/>
      <c r="V43" s="187"/>
      <c r="W43" s="184"/>
      <c r="X43" s="181"/>
      <c r="Y43" s="596"/>
      <c r="Z43" s="187"/>
      <c r="AA43" s="187"/>
      <c r="AB43" s="184"/>
      <c r="AC43" s="181"/>
      <c r="AD43" s="596"/>
      <c r="AE43" s="187"/>
      <c r="AF43" s="187"/>
      <c r="AG43" s="184"/>
      <c r="AH43" s="181"/>
      <c r="AI43" s="596"/>
      <c r="AJ43" s="187"/>
      <c r="AK43" s="187"/>
      <c r="AL43" s="184"/>
      <c r="AM43" s="181"/>
      <c r="AN43" s="596"/>
      <c r="AO43" s="187"/>
      <c r="AP43" s="187"/>
      <c r="AQ43" s="184"/>
      <c r="AR43" s="181"/>
      <c r="AS43" s="596"/>
      <c r="AT43" s="187"/>
      <c r="AU43" s="187"/>
      <c r="AV43" s="184"/>
      <c r="AW43" s="181"/>
      <c r="AX43" s="596"/>
    </row>
    <row r="44" spans="1:50" ht="14.25" customHeight="1">
      <c r="B44" s="611" t="s">
        <v>772</v>
      </c>
      <c r="C44" s="611"/>
      <c r="D44" s="611"/>
      <c r="E44" s="611"/>
      <c r="F44" s="611"/>
      <c r="G44" s="611"/>
      <c r="H44" s="611"/>
      <c r="I44" s="611"/>
      <c r="J44" s="611"/>
      <c r="K44" s="611"/>
      <c r="L44" s="611"/>
      <c r="M44" s="612"/>
      <c r="N44" s="615" t="s">
        <v>363</v>
      </c>
      <c r="O44" s="615" t="s">
        <v>105</v>
      </c>
      <c r="P44" s="617">
        <v>46210</v>
      </c>
      <c r="Q44" s="618"/>
      <c r="R44" s="618"/>
      <c r="S44" s="618"/>
      <c r="T44" s="618"/>
      <c r="U44" s="619">
        <v>46211</v>
      </c>
      <c r="V44" s="620"/>
      <c r="W44" s="620"/>
      <c r="X44" s="620"/>
      <c r="Y44" s="620"/>
      <c r="Z44" s="617">
        <v>46212</v>
      </c>
      <c r="AA44" s="618"/>
      <c r="AB44" s="618"/>
      <c r="AC44" s="618"/>
      <c r="AD44" s="618"/>
      <c r="AE44" s="619">
        <v>46213</v>
      </c>
      <c r="AF44" s="620"/>
      <c r="AG44" s="620"/>
      <c r="AH44" s="620"/>
      <c r="AI44" s="620"/>
      <c r="AJ44" s="602">
        <v>46214</v>
      </c>
      <c r="AK44" s="603"/>
      <c r="AL44" s="603"/>
      <c r="AM44" s="603"/>
      <c r="AN44" s="604"/>
      <c r="AO44" s="619">
        <v>46215</v>
      </c>
      <c r="AP44" s="620"/>
      <c r="AQ44" s="620"/>
      <c r="AR44" s="620"/>
      <c r="AS44" s="620"/>
      <c r="AT44" s="602">
        <v>46216</v>
      </c>
      <c r="AU44" s="603"/>
      <c r="AV44" s="603"/>
      <c r="AW44" s="603"/>
      <c r="AX44" s="604"/>
    </row>
    <row r="45" spans="1:50" ht="14.25" customHeight="1">
      <c r="B45" s="613"/>
      <c r="C45" s="613"/>
      <c r="D45" s="613"/>
      <c r="E45" s="613"/>
      <c r="F45" s="613"/>
      <c r="G45" s="613"/>
      <c r="H45" s="613"/>
      <c r="I45" s="613"/>
      <c r="J45" s="613"/>
      <c r="K45" s="613"/>
      <c r="L45" s="613"/>
      <c r="M45" s="614"/>
      <c r="N45" s="616"/>
      <c r="O45" s="616"/>
      <c r="P45" s="605">
        <v>46196</v>
      </c>
      <c r="Q45" s="605"/>
      <c r="R45" s="605"/>
      <c r="S45" s="605"/>
      <c r="T45" s="605"/>
      <c r="U45" s="606">
        <v>46197</v>
      </c>
      <c r="V45" s="606"/>
      <c r="W45" s="606"/>
      <c r="X45" s="606"/>
      <c r="Y45" s="606"/>
      <c r="Z45" s="605">
        <v>46198</v>
      </c>
      <c r="AA45" s="605"/>
      <c r="AB45" s="605"/>
      <c r="AC45" s="605"/>
      <c r="AD45" s="605"/>
      <c r="AE45" s="606">
        <v>46199</v>
      </c>
      <c r="AF45" s="606"/>
      <c r="AG45" s="606"/>
      <c r="AH45" s="606"/>
      <c r="AI45" s="606"/>
      <c r="AJ45" s="607">
        <v>46200</v>
      </c>
      <c r="AK45" s="608"/>
      <c r="AL45" s="608"/>
      <c r="AM45" s="608"/>
      <c r="AN45" s="609"/>
      <c r="AO45" s="606">
        <v>46201</v>
      </c>
      <c r="AP45" s="606"/>
      <c r="AQ45" s="606"/>
      <c r="AR45" s="606"/>
      <c r="AS45" s="606"/>
      <c r="AT45" s="607">
        <v>46202</v>
      </c>
      <c r="AU45" s="608"/>
      <c r="AV45" s="608"/>
      <c r="AW45" s="608"/>
      <c r="AX45" s="609"/>
    </row>
    <row r="46" spans="1:50" ht="14.25" customHeight="1">
      <c r="B46" s="597" t="s">
        <v>162</v>
      </c>
      <c r="C46" s="597" t="s">
        <v>157</v>
      </c>
      <c r="D46" s="597"/>
      <c r="E46" s="597" t="s">
        <v>158</v>
      </c>
      <c r="F46" s="597"/>
      <c r="G46" s="597"/>
      <c r="H46" s="597" t="s">
        <v>163</v>
      </c>
      <c r="I46" s="601" t="s">
        <v>364</v>
      </c>
      <c r="J46" s="601"/>
      <c r="K46" s="601"/>
      <c r="L46" s="601" t="s">
        <v>163</v>
      </c>
      <c r="M46" s="601" t="s">
        <v>165</v>
      </c>
      <c r="N46" s="610"/>
      <c r="O46" s="600" t="s">
        <v>164</v>
      </c>
      <c r="P46" s="600" t="s">
        <v>160</v>
      </c>
      <c r="Q46" s="600"/>
      <c r="R46" s="600"/>
      <c r="S46" s="600"/>
      <c r="T46" s="600" t="s">
        <v>163</v>
      </c>
      <c r="U46" s="600" t="s">
        <v>160</v>
      </c>
      <c r="V46" s="600"/>
      <c r="W46" s="600"/>
      <c r="X46" s="600"/>
      <c r="Y46" s="600" t="s">
        <v>163</v>
      </c>
      <c r="Z46" s="600" t="s">
        <v>160</v>
      </c>
      <c r="AA46" s="600"/>
      <c r="AB46" s="600"/>
      <c r="AC46" s="600"/>
      <c r="AD46" s="600" t="s">
        <v>163</v>
      </c>
      <c r="AE46" s="600" t="s">
        <v>160</v>
      </c>
      <c r="AF46" s="600"/>
      <c r="AG46" s="600"/>
      <c r="AH46" s="600"/>
      <c r="AI46" s="600" t="s">
        <v>163</v>
      </c>
      <c r="AJ46" s="600" t="s">
        <v>160</v>
      </c>
      <c r="AK46" s="600"/>
      <c r="AL46" s="600"/>
      <c r="AM46" s="600"/>
      <c r="AN46" s="600" t="s">
        <v>163</v>
      </c>
      <c r="AO46" s="600" t="s">
        <v>160</v>
      </c>
      <c r="AP46" s="600"/>
      <c r="AQ46" s="600"/>
      <c r="AR46" s="600"/>
      <c r="AS46" s="600" t="s">
        <v>163</v>
      </c>
      <c r="AT46" s="600" t="s">
        <v>160</v>
      </c>
      <c r="AU46" s="600"/>
      <c r="AV46" s="600"/>
      <c r="AW46" s="600"/>
      <c r="AX46" s="600" t="s">
        <v>163</v>
      </c>
    </row>
    <row r="47" spans="1:50" ht="14.25" customHeight="1">
      <c r="B47" s="597"/>
      <c r="C47" s="597"/>
      <c r="D47" s="597"/>
      <c r="E47" s="597" t="s">
        <v>365</v>
      </c>
      <c r="F47" s="597"/>
      <c r="G47" s="597"/>
      <c r="H47" s="597"/>
      <c r="I47" s="601" t="s">
        <v>365</v>
      </c>
      <c r="J47" s="601"/>
      <c r="K47" s="601"/>
      <c r="L47" s="601"/>
      <c r="M47" s="601"/>
      <c r="N47" s="610"/>
      <c r="O47" s="600"/>
      <c r="P47" s="600" t="s">
        <v>366</v>
      </c>
      <c r="Q47" s="600"/>
      <c r="R47" s="600"/>
      <c r="S47" s="600"/>
      <c r="T47" s="600"/>
      <c r="U47" s="600" t="s">
        <v>366</v>
      </c>
      <c r="V47" s="600"/>
      <c r="W47" s="600"/>
      <c r="X47" s="600"/>
      <c r="Y47" s="600"/>
      <c r="Z47" s="600" t="s">
        <v>366</v>
      </c>
      <c r="AA47" s="600"/>
      <c r="AB47" s="600"/>
      <c r="AC47" s="600"/>
      <c r="AD47" s="600"/>
      <c r="AE47" s="600" t="s">
        <v>366</v>
      </c>
      <c r="AF47" s="600"/>
      <c r="AG47" s="600"/>
      <c r="AH47" s="600"/>
      <c r="AI47" s="600"/>
      <c r="AJ47" s="600" t="s">
        <v>366</v>
      </c>
      <c r="AK47" s="600"/>
      <c r="AL47" s="600"/>
      <c r="AM47" s="600"/>
      <c r="AN47" s="600"/>
      <c r="AO47" s="600" t="s">
        <v>366</v>
      </c>
      <c r="AP47" s="600"/>
      <c r="AQ47" s="600"/>
      <c r="AR47" s="600"/>
      <c r="AS47" s="600"/>
      <c r="AT47" s="600" t="s">
        <v>366</v>
      </c>
      <c r="AU47" s="600"/>
      <c r="AV47" s="600"/>
      <c r="AW47" s="600"/>
      <c r="AX47" s="600"/>
    </row>
    <row r="48" spans="1:50" ht="14.25" customHeight="1">
      <c r="A48" s="176"/>
      <c r="B48" s="597"/>
      <c r="C48" s="597"/>
      <c r="D48" s="597"/>
      <c r="E48" s="179" t="s">
        <v>159</v>
      </c>
      <c r="F48" s="179" t="s">
        <v>367</v>
      </c>
      <c r="G48" s="179" t="s">
        <v>161</v>
      </c>
      <c r="H48" s="597"/>
      <c r="I48" s="180" t="s">
        <v>159</v>
      </c>
      <c r="J48" s="180" t="s">
        <v>367</v>
      </c>
      <c r="K48" s="180" t="s">
        <v>161</v>
      </c>
      <c r="L48" s="601"/>
      <c r="M48" s="601"/>
      <c r="N48" s="610"/>
      <c r="O48" s="600"/>
      <c r="P48" s="181" t="s">
        <v>159</v>
      </c>
      <c r="Q48" s="181" t="s">
        <v>367</v>
      </c>
      <c r="R48" s="181" t="s">
        <v>161</v>
      </c>
      <c r="S48" s="181" t="s">
        <v>165</v>
      </c>
      <c r="T48" s="600"/>
      <c r="U48" s="181" t="s">
        <v>159</v>
      </c>
      <c r="V48" s="181" t="s">
        <v>367</v>
      </c>
      <c r="W48" s="181" t="s">
        <v>161</v>
      </c>
      <c r="X48" s="181" t="s">
        <v>165</v>
      </c>
      <c r="Y48" s="600"/>
      <c r="Z48" s="181" t="s">
        <v>159</v>
      </c>
      <c r="AA48" s="181" t="s">
        <v>367</v>
      </c>
      <c r="AB48" s="181" t="s">
        <v>161</v>
      </c>
      <c r="AC48" s="181" t="s">
        <v>165</v>
      </c>
      <c r="AD48" s="600"/>
      <c r="AE48" s="181" t="s">
        <v>159</v>
      </c>
      <c r="AF48" s="181" t="s">
        <v>367</v>
      </c>
      <c r="AG48" s="181" t="s">
        <v>161</v>
      </c>
      <c r="AH48" s="181" t="s">
        <v>165</v>
      </c>
      <c r="AI48" s="600"/>
      <c r="AJ48" s="181" t="s">
        <v>159</v>
      </c>
      <c r="AK48" s="181" t="s">
        <v>367</v>
      </c>
      <c r="AL48" s="181" t="s">
        <v>161</v>
      </c>
      <c r="AM48" s="181" t="s">
        <v>165</v>
      </c>
      <c r="AN48" s="600"/>
      <c r="AO48" s="181" t="s">
        <v>159</v>
      </c>
      <c r="AP48" s="181" t="s">
        <v>367</v>
      </c>
      <c r="AQ48" s="181" t="s">
        <v>161</v>
      </c>
      <c r="AR48" s="181" t="s">
        <v>165</v>
      </c>
      <c r="AS48" s="600"/>
      <c r="AT48" s="181" t="s">
        <v>159</v>
      </c>
      <c r="AU48" s="181" t="s">
        <v>367</v>
      </c>
      <c r="AV48" s="181" t="s">
        <v>161</v>
      </c>
      <c r="AW48" s="181" t="s">
        <v>165</v>
      </c>
      <c r="AX48" s="600"/>
    </row>
    <row r="49" spans="2:50" ht="14.25" customHeight="1">
      <c r="B49" s="597" t="s">
        <v>368</v>
      </c>
      <c r="C49" s="179">
        <v>1</v>
      </c>
      <c r="D49" s="182" t="s">
        <v>393</v>
      </c>
      <c r="E49" s="183">
        <v>4</v>
      </c>
      <c r="F49" s="179">
        <v>3300</v>
      </c>
      <c r="G49" s="184">
        <f>IFERROR(F49/E49,"")</f>
        <v>825</v>
      </c>
      <c r="H49" s="598">
        <f>AVERAGE(G49:G85)</f>
        <v>856.76923076923083</v>
      </c>
      <c r="I49" s="185">
        <f>AVERAGE(P49,U49,Z49,AE49,AJ49,AO49,AT49)</f>
        <v>4</v>
      </c>
      <c r="J49" s="185">
        <f>AVERAGE(Q49,V49,AA49,AF49,AK49,AP49,AU49)</f>
        <v>2989.7999999999993</v>
      </c>
      <c r="K49" s="186">
        <f>AVERAGE(R49,W49,AB49,AG49,AL49,AQ49,AV49)</f>
        <v>747.44999999999982</v>
      </c>
      <c r="L49" s="599">
        <f>IFERROR(AVERAGE(K49:K85),"-")</f>
        <v>765.61007204064788</v>
      </c>
      <c r="M49" s="185">
        <f>RANK(K49, K$49:$K$85)</f>
        <v>18</v>
      </c>
      <c r="N49" s="610"/>
      <c r="O49" s="600"/>
      <c r="P49" s="187">
        <v>4</v>
      </c>
      <c r="Q49" s="187">
        <v>2989.7999999999997</v>
      </c>
      <c r="R49" s="184">
        <f>IFERROR(Q49/P49,"")</f>
        <v>747.44999999999993</v>
      </c>
      <c r="S49" s="181">
        <f>RANK(R49, R$49:R$85)</f>
        <v>18</v>
      </c>
      <c r="T49" s="596">
        <f>AVERAGE(R49:R85)</f>
        <v>765.56827656378641</v>
      </c>
      <c r="U49" s="187">
        <v>4</v>
      </c>
      <c r="V49" s="187">
        <v>2989.7999999999993</v>
      </c>
      <c r="W49" s="184">
        <f t="shared" ref="W49:W83" si="18">IFERROR(V49/U49,"")</f>
        <v>747.44999999999982</v>
      </c>
      <c r="X49" s="181">
        <f>RANK(W49, W$49:W$85)</f>
        <v>18</v>
      </c>
      <c r="Y49" s="596">
        <f>AVERAGE(W49:W85)</f>
        <v>765.53823920114905</v>
      </c>
      <c r="Z49" s="187">
        <v>4</v>
      </c>
      <c r="AA49" s="187">
        <v>2989.8</v>
      </c>
      <c r="AB49" s="184">
        <f>IFERROR(AA49/Z49,"")</f>
        <v>747.45</v>
      </c>
      <c r="AC49" s="181">
        <f>RANK(AB49, AB$49:AB$85)</f>
        <v>17</v>
      </c>
      <c r="AD49" s="596">
        <f>AVERAGE(AB49:AB85)</f>
        <v>765.60832711323678</v>
      </c>
      <c r="AE49" s="187">
        <v>4</v>
      </c>
      <c r="AF49" s="187">
        <v>2989.8</v>
      </c>
      <c r="AG49" s="184">
        <f>IFERROR(AF49/AE49,"")</f>
        <v>747.45</v>
      </c>
      <c r="AH49" s="181">
        <f>RANK(AG49, AG$49:AG$85)</f>
        <v>17</v>
      </c>
      <c r="AI49" s="596">
        <f>AVERAGE(AG49:AG85)</f>
        <v>765.6200787615885</v>
      </c>
      <c r="AJ49" s="187">
        <v>4</v>
      </c>
      <c r="AK49" s="187">
        <v>2989.7999999999997</v>
      </c>
      <c r="AL49" s="184">
        <f>IFERROR(AK49/AJ49,"")</f>
        <v>747.44999999999993</v>
      </c>
      <c r="AM49" s="181">
        <f>RANK(AL49, AL$49:AL$85)</f>
        <v>18</v>
      </c>
      <c r="AN49" s="596">
        <f>AVERAGE(AL49:AL85)</f>
        <v>765.64865204219348</v>
      </c>
      <c r="AO49" s="187">
        <v>4</v>
      </c>
      <c r="AP49" s="187">
        <v>2989.8</v>
      </c>
      <c r="AQ49" s="184">
        <f>IFERROR(AP49/AO49,"")</f>
        <v>747.45</v>
      </c>
      <c r="AR49" s="181">
        <f>RANK(AQ49, AQ$49:AQ$85)</f>
        <v>17</v>
      </c>
      <c r="AS49" s="596">
        <f>AVERAGE(AQ49:AQ85)</f>
        <v>765.61713936417073</v>
      </c>
      <c r="AT49" s="187">
        <v>4</v>
      </c>
      <c r="AU49" s="187">
        <v>2989.8</v>
      </c>
      <c r="AV49" s="184">
        <f>IFERROR(AU49/AT49,"")</f>
        <v>747.45</v>
      </c>
      <c r="AW49" s="181">
        <f>RANK(AV49, AV$49:AV$85)</f>
        <v>17</v>
      </c>
      <c r="AX49" s="596">
        <f>AVERAGE(AV49:AV85)</f>
        <v>765.66979123840929</v>
      </c>
    </row>
    <row r="50" spans="2:50" ht="14.25" customHeight="1">
      <c r="B50" s="597"/>
      <c r="C50" s="179">
        <v>2</v>
      </c>
      <c r="D50" s="182" t="s">
        <v>391</v>
      </c>
      <c r="E50" s="183">
        <v>3</v>
      </c>
      <c r="F50" s="179">
        <v>3600</v>
      </c>
      <c r="G50" s="184">
        <f t="shared" ref="G50:G83" si="19">IFERROR(F50/E50,"")</f>
        <v>1200</v>
      </c>
      <c r="H50" s="598"/>
      <c r="I50" s="185">
        <f t="shared" ref="I50:K79" si="20">AVERAGE(P50,U50,Z50,AE50,AJ50,AO50,AT50)</f>
        <v>3</v>
      </c>
      <c r="J50" s="185">
        <f t="shared" si="20"/>
        <v>3185.3526635797739</v>
      </c>
      <c r="K50" s="186">
        <f t="shared" si="20"/>
        <v>1061.784221193258</v>
      </c>
      <c r="L50" s="599"/>
      <c r="M50" s="185">
        <f>RANK(K50, K$49:$K$85)</f>
        <v>9</v>
      </c>
      <c r="N50" s="610"/>
      <c r="O50" s="600"/>
      <c r="P50" s="187">
        <v>3</v>
      </c>
      <c r="Q50" s="187">
        <v>3185.7640921512025</v>
      </c>
      <c r="R50" s="184">
        <f t="shared" ref="R50:R83" si="21">IFERROR(Q50/P50,"")</f>
        <v>1061.9213640504008</v>
      </c>
      <c r="S50" s="181">
        <f t="shared" ref="S50:S83" si="22">RANK(R50, R$49:R$85)</f>
        <v>8</v>
      </c>
      <c r="T50" s="596"/>
      <c r="U50" s="187">
        <v>3</v>
      </c>
      <c r="V50" s="187">
        <v>3185.0440921512022</v>
      </c>
      <c r="W50" s="184">
        <f t="shared" si="18"/>
        <v>1061.6813640504008</v>
      </c>
      <c r="X50" s="181">
        <f t="shared" ref="X50:X83" si="23">RANK(W50, W$49:W$85)</f>
        <v>8</v>
      </c>
      <c r="Y50" s="596"/>
      <c r="Z50" s="187">
        <v>3</v>
      </c>
      <c r="AA50" s="187">
        <v>3184.6840921512025</v>
      </c>
      <c r="AB50" s="184">
        <f t="shared" ref="AB50:AB83" si="24">IFERROR(AA50/Z50,"")</f>
        <v>1061.5613640504009</v>
      </c>
      <c r="AC50" s="181">
        <f t="shared" ref="AC50:AC83" si="25">RANK(AB50, AB$49:AB$85)</f>
        <v>9</v>
      </c>
      <c r="AD50" s="596"/>
      <c r="AE50" s="187">
        <v>3</v>
      </c>
      <c r="AF50" s="187">
        <v>3186.4840921512027</v>
      </c>
      <c r="AG50" s="184">
        <f t="shared" ref="AG50:AG83" si="26">IFERROR(AF50/AE50,"")</f>
        <v>1062.1613640504008</v>
      </c>
      <c r="AH50" s="181">
        <f t="shared" ref="AH50:AH83" si="27">RANK(AG50, AG$49:AG$85)</f>
        <v>6</v>
      </c>
      <c r="AI50" s="596"/>
      <c r="AJ50" s="187">
        <v>3</v>
      </c>
      <c r="AK50" s="187">
        <v>3185.0440921512027</v>
      </c>
      <c r="AL50" s="184">
        <f t="shared" ref="AL50:AL83" si="28">IFERROR(AK50/AJ50,"")</f>
        <v>1061.6813640504008</v>
      </c>
      <c r="AM50" s="181">
        <f t="shared" ref="AM50:AM83" si="29">RANK(AL50, AL$49:AL$85)</f>
        <v>8</v>
      </c>
      <c r="AN50" s="596"/>
      <c r="AO50" s="187">
        <v>3</v>
      </c>
      <c r="AP50" s="187">
        <v>3184.3240921512024</v>
      </c>
      <c r="AQ50" s="184">
        <f t="shared" ref="AQ50:AQ83" si="30">IFERROR(AP50/AO50,"")</f>
        <v>1061.4413640504008</v>
      </c>
      <c r="AR50" s="181">
        <f t="shared" ref="AR50:AR83" si="31">RANK(AQ50, AQ$49:AQ$85)</f>
        <v>9</v>
      </c>
      <c r="AS50" s="596"/>
      <c r="AT50" s="187">
        <v>3</v>
      </c>
      <c r="AU50" s="187">
        <v>3186.1240921512021</v>
      </c>
      <c r="AV50" s="184">
        <f t="shared" ref="AV50:AV83" si="32">IFERROR(AU50/AT50,"")</f>
        <v>1062.0413640504007</v>
      </c>
      <c r="AW50" s="181">
        <f t="shared" ref="AW50:AW83" si="33">RANK(AV50, AV$49:AV$85)</f>
        <v>9</v>
      </c>
      <c r="AX50" s="596"/>
    </row>
    <row r="51" spans="2:50" ht="14.25" customHeight="1">
      <c r="B51" s="597"/>
      <c r="C51" s="179">
        <v>3</v>
      </c>
      <c r="D51" s="182" t="s">
        <v>392</v>
      </c>
      <c r="E51" s="183">
        <v>5</v>
      </c>
      <c r="F51" s="179">
        <v>3600</v>
      </c>
      <c r="G51" s="184">
        <f t="shared" si="19"/>
        <v>720</v>
      </c>
      <c r="H51" s="598"/>
      <c r="I51" s="185">
        <f t="shared" si="20"/>
        <v>5</v>
      </c>
      <c r="J51" s="185">
        <f t="shared" si="20"/>
        <v>3195.7015419550485</v>
      </c>
      <c r="K51" s="186">
        <f t="shared" si="20"/>
        <v>639.14030839100974</v>
      </c>
      <c r="L51" s="599"/>
      <c r="M51" s="185">
        <f>RANK(K51, K$49:$K$85)</f>
        <v>24</v>
      </c>
      <c r="N51" s="610"/>
      <c r="O51" s="600"/>
      <c r="P51" s="187">
        <v>5</v>
      </c>
      <c r="Q51" s="187">
        <v>3196.2158276693344</v>
      </c>
      <c r="R51" s="184">
        <f t="shared" si="21"/>
        <v>639.24316553386689</v>
      </c>
      <c r="S51" s="181">
        <f t="shared" si="22"/>
        <v>23</v>
      </c>
      <c r="T51" s="596"/>
      <c r="U51" s="187">
        <v>5</v>
      </c>
      <c r="V51" s="187">
        <v>3194.7758276693348</v>
      </c>
      <c r="W51" s="184">
        <f t="shared" si="18"/>
        <v>638.95516553386699</v>
      </c>
      <c r="X51" s="181">
        <f t="shared" si="23"/>
        <v>24</v>
      </c>
      <c r="Y51" s="596"/>
      <c r="Z51" s="187">
        <v>5</v>
      </c>
      <c r="AA51" s="187">
        <v>3195.1358276693345</v>
      </c>
      <c r="AB51" s="184">
        <f t="shared" si="24"/>
        <v>639.02716553386688</v>
      </c>
      <c r="AC51" s="181">
        <f t="shared" si="25"/>
        <v>24</v>
      </c>
      <c r="AD51" s="596"/>
      <c r="AE51" s="187">
        <v>5</v>
      </c>
      <c r="AF51" s="187">
        <v>3194.4158276693342</v>
      </c>
      <c r="AG51" s="184">
        <f t="shared" si="26"/>
        <v>638.88316553386687</v>
      </c>
      <c r="AH51" s="181">
        <f t="shared" si="27"/>
        <v>24</v>
      </c>
      <c r="AI51" s="596"/>
      <c r="AJ51" s="187">
        <v>5</v>
      </c>
      <c r="AK51" s="187">
        <v>3196.2158276693344</v>
      </c>
      <c r="AL51" s="184">
        <f t="shared" si="28"/>
        <v>639.24316553386689</v>
      </c>
      <c r="AM51" s="181">
        <f t="shared" si="29"/>
        <v>24</v>
      </c>
      <c r="AN51" s="596"/>
      <c r="AO51" s="187">
        <v>5</v>
      </c>
      <c r="AP51" s="187">
        <v>3196.2158276693344</v>
      </c>
      <c r="AQ51" s="184">
        <f t="shared" si="30"/>
        <v>639.24316553386689</v>
      </c>
      <c r="AR51" s="181">
        <f t="shared" si="31"/>
        <v>24</v>
      </c>
      <c r="AS51" s="596"/>
      <c r="AT51" s="187">
        <v>5</v>
      </c>
      <c r="AU51" s="187">
        <v>3196.9358276693342</v>
      </c>
      <c r="AV51" s="184">
        <f t="shared" si="32"/>
        <v>639.38716553386689</v>
      </c>
      <c r="AW51" s="181">
        <f t="shared" si="33"/>
        <v>22</v>
      </c>
      <c r="AX51" s="596"/>
    </row>
    <row r="52" spans="2:50" ht="14.25" customHeight="1">
      <c r="B52" s="597"/>
      <c r="C52" s="179">
        <v>4</v>
      </c>
      <c r="D52" s="182" t="s">
        <v>229</v>
      </c>
      <c r="E52" s="183">
        <v>5</v>
      </c>
      <c r="F52" s="179">
        <v>3300</v>
      </c>
      <c r="G52" s="184">
        <f t="shared" si="19"/>
        <v>660</v>
      </c>
      <c r="H52" s="598"/>
      <c r="I52" s="185">
        <f t="shared" si="20"/>
        <v>5</v>
      </c>
      <c r="J52" s="185">
        <f t="shared" si="20"/>
        <v>2989.7999999999997</v>
      </c>
      <c r="K52" s="186">
        <f t="shared" si="20"/>
        <v>597.96</v>
      </c>
      <c r="L52" s="599"/>
      <c r="M52" s="185">
        <f>RANK(K52, K$49:$K$85)</f>
        <v>28</v>
      </c>
      <c r="N52" s="610"/>
      <c r="O52" s="600"/>
      <c r="P52" s="187">
        <v>5</v>
      </c>
      <c r="Q52" s="187">
        <v>2989.7999999999997</v>
      </c>
      <c r="R52" s="184">
        <f t="shared" si="21"/>
        <v>597.95999999999992</v>
      </c>
      <c r="S52" s="181">
        <f t="shared" si="22"/>
        <v>28</v>
      </c>
      <c r="T52" s="596"/>
      <c r="U52" s="187">
        <v>5</v>
      </c>
      <c r="V52" s="187">
        <v>2989.8</v>
      </c>
      <c r="W52" s="184">
        <f t="shared" si="18"/>
        <v>597.96</v>
      </c>
      <c r="X52" s="181">
        <f t="shared" si="23"/>
        <v>28</v>
      </c>
      <c r="Y52" s="596"/>
      <c r="Z52" s="187">
        <v>5</v>
      </c>
      <c r="AA52" s="187">
        <v>2989.7999999999997</v>
      </c>
      <c r="AB52" s="184">
        <f t="shared" si="24"/>
        <v>597.95999999999992</v>
      </c>
      <c r="AC52" s="181">
        <f t="shared" si="25"/>
        <v>29</v>
      </c>
      <c r="AD52" s="596"/>
      <c r="AE52" s="187">
        <v>5</v>
      </c>
      <c r="AF52" s="187">
        <v>2989.8</v>
      </c>
      <c r="AG52" s="184">
        <f t="shared" si="26"/>
        <v>597.96</v>
      </c>
      <c r="AH52" s="181">
        <f t="shared" si="27"/>
        <v>28</v>
      </c>
      <c r="AI52" s="596"/>
      <c r="AJ52" s="187">
        <v>5</v>
      </c>
      <c r="AK52" s="187">
        <v>2989.7999999999997</v>
      </c>
      <c r="AL52" s="184">
        <f t="shared" si="28"/>
        <v>597.95999999999992</v>
      </c>
      <c r="AM52" s="181">
        <f t="shared" si="29"/>
        <v>29</v>
      </c>
      <c r="AN52" s="596"/>
      <c r="AO52" s="187">
        <v>5</v>
      </c>
      <c r="AP52" s="187">
        <v>2989.8</v>
      </c>
      <c r="AQ52" s="184">
        <f t="shared" si="30"/>
        <v>597.96</v>
      </c>
      <c r="AR52" s="181">
        <f t="shared" si="31"/>
        <v>28</v>
      </c>
      <c r="AS52" s="596"/>
      <c r="AT52" s="187">
        <v>5</v>
      </c>
      <c r="AU52" s="187">
        <v>2989.7999999999997</v>
      </c>
      <c r="AV52" s="184">
        <f t="shared" si="32"/>
        <v>597.95999999999992</v>
      </c>
      <c r="AW52" s="181">
        <f t="shared" si="33"/>
        <v>28</v>
      </c>
      <c r="AX52" s="596"/>
    </row>
    <row r="53" spans="2:50" ht="14.25" customHeight="1">
      <c r="B53" s="597"/>
      <c r="C53" s="179">
        <v>5</v>
      </c>
      <c r="D53" s="182" t="s">
        <v>388</v>
      </c>
      <c r="E53" s="183">
        <v>3</v>
      </c>
      <c r="F53" s="179">
        <v>3600</v>
      </c>
      <c r="G53" s="184">
        <f t="shared" si="19"/>
        <v>1200</v>
      </c>
      <c r="H53" s="598"/>
      <c r="I53" s="185">
        <f t="shared" si="20"/>
        <v>3</v>
      </c>
      <c r="J53" s="185">
        <f t="shared" si="20"/>
        <v>3197.0382864459998</v>
      </c>
      <c r="K53" s="186">
        <f t="shared" si="20"/>
        <v>1065.6794288153333</v>
      </c>
      <c r="L53" s="599"/>
      <c r="M53" s="185">
        <f>RANK(K53, K$49:$K$85)</f>
        <v>2</v>
      </c>
      <c r="N53" s="610"/>
      <c r="O53" s="600"/>
      <c r="P53" s="187">
        <v>3</v>
      </c>
      <c r="Q53" s="187">
        <v>3196.3182864460005</v>
      </c>
      <c r="R53" s="184">
        <f t="shared" si="21"/>
        <v>1065.4394288153335</v>
      </c>
      <c r="S53" s="181">
        <f t="shared" si="22"/>
        <v>2</v>
      </c>
      <c r="T53" s="596"/>
      <c r="U53" s="187">
        <v>3</v>
      </c>
      <c r="V53" s="187">
        <v>3196.6782864460001</v>
      </c>
      <c r="W53" s="184">
        <f t="shared" si="18"/>
        <v>1065.5594288153334</v>
      </c>
      <c r="X53" s="181">
        <f t="shared" si="23"/>
        <v>2</v>
      </c>
      <c r="Y53" s="596"/>
      <c r="Z53" s="187">
        <v>3</v>
      </c>
      <c r="AA53" s="187">
        <v>3196.6782864460001</v>
      </c>
      <c r="AB53" s="184">
        <f t="shared" si="24"/>
        <v>1065.5594288153334</v>
      </c>
      <c r="AC53" s="181">
        <f t="shared" si="25"/>
        <v>2</v>
      </c>
      <c r="AD53" s="596"/>
      <c r="AE53" s="187">
        <v>3</v>
      </c>
      <c r="AF53" s="187">
        <v>3198.4782864459999</v>
      </c>
      <c r="AG53" s="184">
        <f t="shared" si="26"/>
        <v>1066.1594288153333</v>
      </c>
      <c r="AH53" s="181">
        <f t="shared" si="27"/>
        <v>2</v>
      </c>
      <c r="AI53" s="596"/>
      <c r="AJ53" s="187">
        <v>3</v>
      </c>
      <c r="AK53" s="187">
        <v>3197.7582864460001</v>
      </c>
      <c r="AL53" s="184">
        <f t="shared" si="28"/>
        <v>1065.9194288153333</v>
      </c>
      <c r="AM53" s="181">
        <f t="shared" si="29"/>
        <v>2</v>
      </c>
      <c r="AN53" s="596"/>
      <c r="AO53" s="187">
        <v>3</v>
      </c>
      <c r="AP53" s="187">
        <v>3196.6782864459997</v>
      </c>
      <c r="AQ53" s="184">
        <f t="shared" si="30"/>
        <v>1065.5594288153331</v>
      </c>
      <c r="AR53" s="181">
        <f t="shared" si="31"/>
        <v>2</v>
      </c>
      <c r="AS53" s="596"/>
      <c r="AT53" s="187">
        <v>3</v>
      </c>
      <c r="AU53" s="187">
        <v>3196.6782864459992</v>
      </c>
      <c r="AV53" s="184">
        <f t="shared" si="32"/>
        <v>1065.5594288153331</v>
      </c>
      <c r="AW53" s="181">
        <f t="shared" si="33"/>
        <v>2</v>
      </c>
      <c r="AX53" s="596"/>
    </row>
    <row r="54" spans="2:50" ht="14.25" customHeight="1">
      <c r="B54" s="597"/>
      <c r="C54" s="179">
        <v>6</v>
      </c>
      <c r="D54" s="182" t="s">
        <v>339</v>
      </c>
      <c r="E54" s="183">
        <v>4</v>
      </c>
      <c r="F54" s="179">
        <v>3600</v>
      </c>
      <c r="G54" s="184">
        <f t="shared" si="19"/>
        <v>900</v>
      </c>
      <c r="H54" s="598"/>
      <c r="I54" s="185">
        <f t="shared" si="20"/>
        <v>4</v>
      </c>
      <c r="J54" s="185">
        <f t="shared" si="20"/>
        <v>3192.2228571428582</v>
      </c>
      <c r="K54" s="186">
        <f t="shared" si="20"/>
        <v>798.05571428571454</v>
      </c>
      <c r="L54" s="599"/>
      <c r="M54" s="185">
        <f>RANK(K54, K$49:$K$85)</f>
        <v>15</v>
      </c>
      <c r="N54" s="610"/>
      <c r="O54" s="600"/>
      <c r="P54" s="187">
        <v>4</v>
      </c>
      <c r="Q54" s="187">
        <v>3193.5600000000013</v>
      </c>
      <c r="R54" s="184">
        <f t="shared" si="21"/>
        <v>798.39000000000033</v>
      </c>
      <c r="S54" s="181">
        <f t="shared" si="22"/>
        <v>15</v>
      </c>
      <c r="T54" s="596"/>
      <c r="U54" s="187">
        <v>4</v>
      </c>
      <c r="V54" s="187">
        <v>3192.1200000000013</v>
      </c>
      <c r="W54" s="184">
        <f t="shared" si="18"/>
        <v>798.03000000000031</v>
      </c>
      <c r="X54" s="181">
        <f t="shared" si="23"/>
        <v>15</v>
      </c>
      <c r="Y54" s="596"/>
      <c r="Z54" s="187">
        <v>4</v>
      </c>
      <c r="AA54" s="187">
        <v>3192.1200000000017</v>
      </c>
      <c r="AB54" s="184">
        <f t="shared" si="24"/>
        <v>798.03000000000043</v>
      </c>
      <c r="AC54" s="181">
        <f t="shared" si="25"/>
        <v>15</v>
      </c>
      <c r="AD54" s="596"/>
      <c r="AE54" s="187">
        <v>4</v>
      </c>
      <c r="AF54" s="187">
        <v>3193.2000000000016</v>
      </c>
      <c r="AG54" s="184">
        <f t="shared" si="26"/>
        <v>798.30000000000041</v>
      </c>
      <c r="AH54" s="181">
        <f t="shared" si="27"/>
        <v>15</v>
      </c>
      <c r="AI54" s="596"/>
      <c r="AJ54" s="187">
        <v>4</v>
      </c>
      <c r="AK54" s="187">
        <v>3192.1200000000022</v>
      </c>
      <c r="AL54" s="184">
        <f t="shared" si="28"/>
        <v>798.03000000000054</v>
      </c>
      <c r="AM54" s="181">
        <f t="shared" si="29"/>
        <v>15</v>
      </c>
      <c r="AN54" s="596"/>
      <c r="AO54" s="187">
        <v>4</v>
      </c>
      <c r="AP54" s="187">
        <v>3191.4000000000024</v>
      </c>
      <c r="AQ54" s="184">
        <f t="shared" si="30"/>
        <v>797.85000000000059</v>
      </c>
      <c r="AR54" s="181">
        <f t="shared" si="31"/>
        <v>16</v>
      </c>
      <c r="AS54" s="596"/>
      <c r="AT54" s="187">
        <v>4</v>
      </c>
      <c r="AU54" s="187">
        <v>3191.0400000000018</v>
      </c>
      <c r="AV54" s="184">
        <f t="shared" si="32"/>
        <v>797.76000000000045</v>
      </c>
      <c r="AW54" s="181">
        <f t="shared" si="33"/>
        <v>16</v>
      </c>
      <c r="AX54" s="596"/>
    </row>
    <row r="55" spans="2:50" ht="14.25" customHeight="1">
      <c r="B55" s="597"/>
      <c r="C55" s="179">
        <v>7</v>
      </c>
      <c r="D55" s="182" t="s">
        <v>390</v>
      </c>
      <c r="E55" s="183">
        <v>3</v>
      </c>
      <c r="F55" s="179">
        <v>3600</v>
      </c>
      <c r="G55" s="184">
        <f t="shared" si="19"/>
        <v>1200</v>
      </c>
      <c r="H55" s="598"/>
      <c r="I55" s="185">
        <f t="shared" si="20"/>
        <v>3</v>
      </c>
      <c r="J55" s="185">
        <f t="shared" si="20"/>
        <v>3187.0173906044906</v>
      </c>
      <c r="K55" s="186">
        <f t="shared" si="20"/>
        <v>1062.3391302014968</v>
      </c>
      <c r="L55" s="599"/>
      <c r="M55" s="185">
        <f>RANK(K55, K$49:$K$85)</f>
        <v>6</v>
      </c>
      <c r="N55" s="610"/>
      <c r="O55" s="600"/>
      <c r="P55" s="187">
        <v>3</v>
      </c>
      <c r="Q55" s="187">
        <v>3186.625907357175</v>
      </c>
      <c r="R55" s="184">
        <f t="shared" si="21"/>
        <v>1062.2086357857249</v>
      </c>
      <c r="S55" s="181">
        <f t="shared" si="22"/>
        <v>6</v>
      </c>
      <c r="T55" s="596"/>
      <c r="U55" s="187">
        <v>3</v>
      </c>
      <c r="V55" s="187">
        <v>3186.2659073571749</v>
      </c>
      <c r="W55" s="184">
        <f t="shared" si="18"/>
        <v>1062.088635785725</v>
      </c>
      <c r="X55" s="181">
        <f t="shared" si="23"/>
        <v>6</v>
      </c>
      <c r="Y55" s="596"/>
      <c r="Z55" s="187">
        <v>3</v>
      </c>
      <c r="AA55" s="187">
        <v>3185.9059073571757</v>
      </c>
      <c r="AB55" s="184">
        <f t="shared" si="24"/>
        <v>1061.9686357857252</v>
      </c>
      <c r="AC55" s="181">
        <f t="shared" si="25"/>
        <v>7</v>
      </c>
      <c r="AD55" s="596"/>
      <c r="AE55" s="187">
        <v>3</v>
      </c>
      <c r="AF55" s="187">
        <v>3184.4659073571752</v>
      </c>
      <c r="AG55" s="184">
        <f t="shared" si="26"/>
        <v>1061.4886357857251</v>
      </c>
      <c r="AH55" s="181">
        <f t="shared" si="27"/>
        <v>9</v>
      </c>
      <c r="AI55" s="596"/>
      <c r="AJ55" s="187">
        <v>3</v>
      </c>
      <c r="AK55" s="187">
        <v>3188.8593682675787</v>
      </c>
      <c r="AL55" s="184">
        <f t="shared" si="28"/>
        <v>1062.9531227558596</v>
      </c>
      <c r="AM55" s="181">
        <f t="shared" si="29"/>
        <v>6</v>
      </c>
      <c r="AN55" s="596"/>
      <c r="AO55" s="187">
        <v>3</v>
      </c>
      <c r="AP55" s="187">
        <v>3188.499368267579</v>
      </c>
      <c r="AQ55" s="184">
        <f t="shared" si="30"/>
        <v>1062.8331227558597</v>
      </c>
      <c r="AR55" s="181">
        <f t="shared" si="31"/>
        <v>6</v>
      </c>
      <c r="AS55" s="596"/>
      <c r="AT55" s="187">
        <v>3</v>
      </c>
      <c r="AU55" s="187">
        <v>3188.499368267579</v>
      </c>
      <c r="AV55" s="184">
        <f t="shared" si="32"/>
        <v>1062.8331227558597</v>
      </c>
      <c r="AW55" s="181">
        <f t="shared" si="33"/>
        <v>6</v>
      </c>
      <c r="AX55" s="596"/>
    </row>
    <row r="56" spans="2:50" ht="14.25" customHeight="1">
      <c r="B56" s="597"/>
      <c r="C56" s="179">
        <v>8</v>
      </c>
      <c r="D56" s="182" t="s">
        <v>389</v>
      </c>
      <c r="E56" s="183">
        <v>5</v>
      </c>
      <c r="F56" s="179">
        <v>3600</v>
      </c>
      <c r="G56" s="184">
        <f t="shared" si="19"/>
        <v>720</v>
      </c>
      <c r="H56" s="598"/>
      <c r="I56" s="185">
        <f t="shared" si="20"/>
        <v>5</v>
      </c>
      <c r="J56" s="185">
        <f t="shared" si="20"/>
        <v>3192.7247391261103</v>
      </c>
      <c r="K56" s="186">
        <f t="shared" si="20"/>
        <v>638.54494782522204</v>
      </c>
      <c r="L56" s="599"/>
      <c r="M56" s="185">
        <f>RANK(K56, K$49:$K$85)</f>
        <v>25</v>
      </c>
      <c r="N56" s="610"/>
      <c r="O56" s="600"/>
      <c r="P56" s="187">
        <v>5</v>
      </c>
      <c r="Q56" s="187">
        <v>3192.7761676975401</v>
      </c>
      <c r="R56" s="184">
        <f t="shared" si="21"/>
        <v>638.55523353950798</v>
      </c>
      <c r="S56" s="181">
        <f t="shared" si="22"/>
        <v>25</v>
      </c>
      <c r="T56" s="596"/>
      <c r="U56" s="187">
        <v>5</v>
      </c>
      <c r="V56" s="187">
        <v>3191.3361676975396</v>
      </c>
      <c r="W56" s="184">
        <f t="shared" si="18"/>
        <v>638.26723353950797</v>
      </c>
      <c r="X56" s="181">
        <f t="shared" si="23"/>
        <v>25</v>
      </c>
      <c r="Y56" s="596"/>
      <c r="Z56" s="187">
        <v>5</v>
      </c>
      <c r="AA56" s="187">
        <v>3192.4161676975395</v>
      </c>
      <c r="AB56" s="184">
        <f t="shared" si="24"/>
        <v>638.48323353950786</v>
      </c>
      <c r="AC56" s="181">
        <f t="shared" si="25"/>
        <v>25</v>
      </c>
      <c r="AD56" s="596"/>
      <c r="AE56" s="187">
        <v>5</v>
      </c>
      <c r="AF56" s="187">
        <v>3193.496167697539</v>
      </c>
      <c r="AG56" s="184">
        <f t="shared" si="26"/>
        <v>638.69923353950776</v>
      </c>
      <c r="AH56" s="181">
        <f t="shared" si="27"/>
        <v>25</v>
      </c>
      <c r="AI56" s="596"/>
      <c r="AJ56" s="187">
        <v>5</v>
      </c>
      <c r="AK56" s="187">
        <v>3192.4161676975391</v>
      </c>
      <c r="AL56" s="184">
        <f t="shared" si="28"/>
        <v>638.48323353950786</v>
      </c>
      <c r="AM56" s="181">
        <f t="shared" si="29"/>
        <v>25</v>
      </c>
      <c r="AN56" s="596"/>
      <c r="AO56" s="187">
        <v>5</v>
      </c>
      <c r="AP56" s="187">
        <v>3192.7761676975388</v>
      </c>
      <c r="AQ56" s="184">
        <f t="shared" si="30"/>
        <v>638.55523353950775</v>
      </c>
      <c r="AR56" s="181">
        <f t="shared" si="31"/>
        <v>25</v>
      </c>
      <c r="AS56" s="596"/>
      <c r="AT56" s="187">
        <v>5</v>
      </c>
      <c r="AU56" s="187">
        <v>3193.8561676975382</v>
      </c>
      <c r="AV56" s="184">
        <f t="shared" si="32"/>
        <v>638.77123353950765</v>
      </c>
      <c r="AW56" s="181">
        <f t="shared" si="33"/>
        <v>25</v>
      </c>
      <c r="AX56" s="596"/>
    </row>
    <row r="57" spans="2:50" ht="14.25" customHeight="1">
      <c r="B57" s="597"/>
      <c r="C57" s="179">
        <v>9</v>
      </c>
      <c r="D57" s="182" t="s">
        <v>387</v>
      </c>
      <c r="E57" s="183">
        <v>5</v>
      </c>
      <c r="F57" s="179">
        <v>3600</v>
      </c>
      <c r="G57" s="184">
        <f t="shared" si="19"/>
        <v>720</v>
      </c>
      <c r="H57" s="598"/>
      <c r="I57" s="185">
        <f t="shared" si="20"/>
        <v>5</v>
      </c>
      <c r="J57" s="185">
        <f t="shared" si="20"/>
        <v>3198.493373003148</v>
      </c>
      <c r="K57" s="186">
        <f t="shared" si="20"/>
        <v>639.69867460062949</v>
      </c>
      <c r="L57" s="599"/>
      <c r="M57" s="185">
        <f>RANK(K57, K$49:$K$85)</f>
        <v>21</v>
      </c>
      <c r="N57" s="610"/>
      <c r="O57" s="600"/>
      <c r="P57" s="187">
        <v>5</v>
      </c>
      <c r="Q57" s="187">
        <v>3196.8476587174332</v>
      </c>
      <c r="R57" s="184">
        <f t="shared" si="21"/>
        <v>639.36953174348662</v>
      </c>
      <c r="S57" s="181">
        <f t="shared" si="22"/>
        <v>22</v>
      </c>
      <c r="T57" s="596"/>
      <c r="U57" s="187">
        <v>5</v>
      </c>
      <c r="V57" s="187">
        <v>3198.6476587174329</v>
      </c>
      <c r="W57" s="184">
        <f t="shared" si="18"/>
        <v>639.72953174348663</v>
      </c>
      <c r="X57" s="181">
        <f t="shared" si="23"/>
        <v>21</v>
      </c>
      <c r="Y57" s="596"/>
      <c r="Z57" s="187">
        <v>5</v>
      </c>
      <c r="AA57" s="187">
        <v>3199.0076587174331</v>
      </c>
      <c r="AB57" s="184">
        <f t="shared" si="24"/>
        <v>639.80153174348663</v>
      </c>
      <c r="AC57" s="181">
        <f t="shared" si="25"/>
        <v>21</v>
      </c>
      <c r="AD57" s="596"/>
      <c r="AE57" s="187">
        <v>5</v>
      </c>
      <c r="AF57" s="187">
        <v>3199.0076587174335</v>
      </c>
      <c r="AG57" s="184">
        <f t="shared" si="26"/>
        <v>639.80153174348675</v>
      </c>
      <c r="AH57" s="181">
        <f t="shared" si="27"/>
        <v>21</v>
      </c>
      <c r="AI57" s="596"/>
      <c r="AJ57" s="187">
        <v>5</v>
      </c>
      <c r="AK57" s="187">
        <v>3197.5676587174339</v>
      </c>
      <c r="AL57" s="184">
        <f t="shared" si="28"/>
        <v>639.51353174348674</v>
      </c>
      <c r="AM57" s="181">
        <f t="shared" si="29"/>
        <v>22</v>
      </c>
      <c r="AN57" s="596"/>
      <c r="AO57" s="187">
        <v>5</v>
      </c>
      <c r="AP57" s="187">
        <v>3199.3676587174336</v>
      </c>
      <c r="AQ57" s="184">
        <f t="shared" si="30"/>
        <v>639.87353174348675</v>
      </c>
      <c r="AR57" s="181">
        <f t="shared" si="31"/>
        <v>21</v>
      </c>
      <c r="AS57" s="596"/>
      <c r="AT57" s="187">
        <v>5</v>
      </c>
      <c r="AU57" s="187">
        <v>3199.007658717434</v>
      </c>
      <c r="AV57" s="184">
        <f t="shared" si="32"/>
        <v>639.80153174348675</v>
      </c>
      <c r="AW57" s="181">
        <f t="shared" si="33"/>
        <v>21</v>
      </c>
      <c r="AX57" s="596"/>
    </row>
    <row r="58" spans="2:50" ht="14.25" customHeight="1">
      <c r="B58" s="597"/>
      <c r="C58" s="179">
        <v>10</v>
      </c>
      <c r="D58" s="182" t="s">
        <v>228</v>
      </c>
      <c r="E58" s="183">
        <v>3</v>
      </c>
      <c r="F58" s="179">
        <v>3000</v>
      </c>
      <c r="G58" s="184">
        <f t="shared" si="19"/>
        <v>1000</v>
      </c>
      <c r="H58" s="598"/>
      <c r="I58" s="185">
        <f t="shared" si="20"/>
        <v>3</v>
      </c>
      <c r="J58" s="185">
        <f t="shared" si="20"/>
        <v>2719.6207371686655</v>
      </c>
      <c r="K58" s="186">
        <f t="shared" si="20"/>
        <v>906.54024572288859</v>
      </c>
      <c r="L58" s="599"/>
      <c r="M58" s="185">
        <f>RANK(K58, K$49:$K$85)</f>
        <v>12</v>
      </c>
      <c r="N58" s="610"/>
      <c r="O58" s="600"/>
      <c r="P58" s="187">
        <v>3</v>
      </c>
      <c r="Q58" s="187">
        <v>2717.9921657400942</v>
      </c>
      <c r="R58" s="184">
        <f t="shared" si="21"/>
        <v>905.99738858003138</v>
      </c>
      <c r="S58" s="181">
        <f t="shared" si="22"/>
        <v>12</v>
      </c>
      <c r="T58" s="596"/>
      <c r="U58" s="187">
        <v>3</v>
      </c>
      <c r="V58" s="187">
        <v>2717.6921657400944</v>
      </c>
      <c r="W58" s="184">
        <f t="shared" si="18"/>
        <v>905.89738858003147</v>
      </c>
      <c r="X58" s="181">
        <f t="shared" si="23"/>
        <v>13</v>
      </c>
      <c r="Y58" s="596"/>
      <c r="Z58" s="187">
        <v>3</v>
      </c>
      <c r="AA58" s="187">
        <v>2718.8921657400947</v>
      </c>
      <c r="AB58" s="184">
        <f t="shared" si="24"/>
        <v>906.29738858003157</v>
      </c>
      <c r="AC58" s="181">
        <f t="shared" si="25"/>
        <v>13</v>
      </c>
      <c r="AD58" s="596"/>
      <c r="AE58" s="187">
        <v>3</v>
      </c>
      <c r="AF58" s="187">
        <v>2720.0921657400945</v>
      </c>
      <c r="AG58" s="184">
        <f t="shared" si="26"/>
        <v>906.69738858003154</v>
      </c>
      <c r="AH58" s="181">
        <f t="shared" si="27"/>
        <v>12</v>
      </c>
      <c r="AI58" s="596"/>
      <c r="AJ58" s="187">
        <v>3</v>
      </c>
      <c r="AK58" s="187">
        <v>2720.692165740094</v>
      </c>
      <c r="AL58" s="184">
        <f t="shared" si="28"/>
        <v>906.89738858003136</v>
      </c>
      <c r="AM58" s="181">
        <f t="shared" si="29"/>
        <v>12</v>
      </c>
      <c r="AN58" s="596"/>
      <c r="AO58" s="187">
        <v>3</v>
      </c>
      <c r="AP58" s="187">
        <v>2721.5921657400936</v>
      </c>
      <c r="AQ58" s="184">
        <f t="shared" si="30"/>
        <v>907.1973885800312</v>
      </c>
      <c r="AR58" s="181">
        <f t="shared" si="31"/>
        <v>12</v>
      </c>
      <c r="AS58" s="596"/>
      <c r="AT58" s="187">
        <v>3</v>
      </c>
      <c r="AU58" s="187">
        <v>2720.3921657400938</v>
      </c>
      <c r="AV58" s="184">
        <f t="shared" si="32"/>
        <v>906.79738858003122</v>
      </c>
      <c r="AW58" s="181">
        <f t="shared" si="33"/>
        <v>12</v>
      </c>
      <c r="AX58" s="596"/>
    </row>
    <row r="59" spans="2:50" ht="14.25" customHeight="1">
      <c r="B59" s="597"/>
      <c r="C59" s="179">
        <v>11</v>
      </c>
      <c r="D59" s="182" t="s">
        <v>439</v>
      </c>
      <c r="E59" s="183">
        <v>12</v>
      </c>
      <c r="F59" s="179">
        <v>3600</v>
      </c>
      <c r="G59" s="184">
        <f t="shared" si="19"/>
        <v>300</v>
      </c>
      <c r="H59" s="598"/>
      <c r="I59" s="185">
        <f t="shared" si="20"/>
        <v>12</v>
      </c>
      <c r="J59" s="185">
        <f t="shared" si="20"/>
        <v>3118.8366160509859</v>
      </c>
      <c r="K59" s="186">
        <f t="shared" si="20"/>
        <v>259.90305133758216</v>
      </c>
      <c r="L59" s="599"/>
      <c r="M59" s="185">
        <f>RANK(K59, K$49:$K$85)</f>
        <v>34</v>
      </c>
      <c r="N59" s="610"/>
      <c r="O59" s="600"/>
      <c r="P59" s="187">
        <v>12</v>
      </c>
      <c r="Q59" s="187">
        <v>3118.381081352326</v>
      </c>
      <c r="R59" s="184">
        <f t="shared" si="21"/>
        <v>259.86509011269385</v>
      </c>
      <c r="S59" s="181">
        <f t="shared" si="22"/>
        <v>34</v>
      </c>
      <c r="T59" s="596"/>
      <c r="U59" s="187">
        <v>12</v>
      </c>
      <c r="V59" s="187">
        <v>3119.1010813523267</v>
      </c>
      <c r="W59" s="184">
        <f t="shared" si="18"/>
        <v>259.92509011269391</v>
      </c>
      <c r="X59" s="181">
        <f t="shared" si="23"/>
        <v>34</v>
      </c>
      <c r="Y59" s="596"/>
      <c r="Z59" s="187">
        <v>12</v>
      </c>
      <c r="AA59" s="187">
        <v>3117.6610813523266</v>
      </c>
      <c r="AB59" s="184">
        <f t="shared" si="24"/>
        <v>259.8050901126939</v>
      </c>
      <c r="AC59" s="181">
        <f t="shared" si="25"/>
        <v>34</v>
      </c>
      <c r="AD59" s="596"/>
      <c r="AE59" s="187">
        <v>12</v>
      </c>
      <c r="AF59" s="187">
        <v>3119.4610813523268</v>
      </c>
      <c r="AG59" s="184">
        <f t="shared" si="26"/>
        <v>259.95509011269388</v>
      </c>
      <c r="AH59" s="181">
        <f t="shared" si="27"/>
        <v>34</v>
      </c>
      <c r="AI59" s="596"/>
      <c r="AJ59" s="187">
        <v>12</v>
      </c>
      <c r="AK59" s="187">
        <v>3118.7410813523265</v>
      </c>
      <c r="AL59" s="184">
        <f t="shared" si="28"/>
        <v>259.89509011269388</v>
      </c>
      <c r="AM59" s="181">
        <f t="shared" si="29"/>
        <v>34</v>
      </c>
      <c r="AN59" s="596"/>
      <c r="AO59" s="187">
        <v>12</v>
      </c>
      <c r="AP59" s="187">
        <v>3117.6610813523266</v>
      </c>
      <c r="AQ59" s="184">
        <f t="shared" si="30"/>
        <v>259.8050901126939</v>
      </c>
      <c r="AR59" s="181">
        <f t="shared" si="31"/>
        <v>34</v>
      </c>
      <c r="AS59" s="596"/>
      <c r="AT59" s="187">
        <v>12</v>
      </c>
      <c r="AU59" s="187">
        <v>3120.84982424294</v>
      </c>
      <c r="AV59" s="184">
        <f t="shared" si="32"/>
        <v>260.07081868691165</v>
      </c>
      <c r="AW59" s="181">
        <f t="shared" si="33"/>
        <v>33</v>
      </c>
      <c r="AX59" s="596"/>
    </row>
    <row r="60" spans="2:50" ht="14.25" customHeight="1">
      <c r="B60" s="597"/>
      <c r="C60" s="179">
        <v>12</v>
      </c>
      <c r="D60" s="182" t="s">
        <v>457</v>
      </c>
      <c r="E60" s="183">
        <v>3</v>
      </c>
      <c r="F60" s="179">
        <v>3300</v>
      </c>
      <c r="G60" s="184">
        <f t="shared" si="19"/>
        <v>1100</v>
      </c>
      <c r="H60" s="598"/>
      <c r="I60" s="185">
        <f t="shared" si="20"/>
        <v>3</v>
      </c>
      <c r="J60" s="185">
        <f t="shared" si="20"/>
        <v>2987.0778676755285</v>
      </c>
      <c r="K60" s="186">
        <f t="shared" si="20"/>
        <v>995.69262255850947</v>
      </c>
      <c r="L60" s="599"/>
      <c r="M60" s="185">
        <f>RANK(K60, K$49:$K$85)</f>
        <v>10</v>
      </c>
      <c r="N60" s="610"/>
      <c r="O60" s="600"/>
      <c r="P60" s="187">
        <v>3</v>
      </c>
      <c r="Q60" s="187">
        <v>2988.2092962469574</v>
      </c>
      <c r="R60" s="184">
        <f t="shared" si="21"/>
        <v>996.06976541565245</v>
      </c>
      <c r="S60" s="181">
        <f t="shared" si="22"/>
        <v>10</v>
      </c>
      <c r="T60" s="596"/>
      <c r="U60" s="187">
        <v>3</v>
      </c>
      <c r="V60" s="187">
        <v>2986.5592962469573</v>
      </c>
      <c r="W60" s="184">
        <f t="shared" si="18"/>
        <v>995.51976541565239</v>
      </c>
      <c r="X60" s="181">
        <f t="shared" si="23"/>
        <v>10</v>
      </c>
      <c r="Y60" s="596"/>
      <c r="Z60" s="187">
        <v>3</v>
      </c>
      <c r="AA60" s="187">
        <v>2988.2092962469569</v>
      </c>
      <c r="AB60" s="184">
        <f t="shared" si="24"/>
        <v>996.06976541565234</v>
      </c>
      <c r="AC60" s="181">
        <f t="shared" si="25"/>
        <v>10</v>
      </c>
      <c r="AD60" s="596"/>
      <c r="AE60" s="187">
        <v>3</v>
      </c>
      <c r="AF60" s="187">
        <v>2986.5592962469573</v>
      </c>
      <c r="AG60" s="184">
        <f t="shared" si="26"/>
        <v>995.51976541565239</v>
      </c>
      <c r="AH60" s="181">
        <f t="shared" si="27"/>
        <v>10</v>
      </c>
      <c r="AI60" s="596"/>
      <c r="AJ60" s="187">
        <v>3</v>
      </c>
      <c r="AK60" s="187">
        <v>2986.5592962469573</v>
      </c>
      <c r="AL60" s="184">
        <f t="shared" si="28"/>
        <v>995.51976541565239</v>
      </c>
      <c r="AM60" s="181">
        <f t="shared" si="29"/>
        <v>10</v>
      </c>
      <c r="AN60" s="596"/>
      <c r="AO60" s="187">
        <v>3</v>
      </c>
      <c r="AP60" s="187">
        <v>2987.2192962469571</v>
      </c>
      <c r="AQ60" s="184">
        <f t="shared" si="30"/>
        <v>995.73976541565241</v>
      </c>
      <c r="AR60" s="181">
        <f t="shared" si="31"/>
        <v>10</v>
      </c>
      <c r="AS60" s="596"/>
      <c r="AT60" s="187">
        <v>3</v>
      </c>
      <c r="AU60" s="187">
        <v>2986.2292962469573</v>
      </c>
      <c r="AV60" s="184">
        <f t="shared" si="32"/>
        <v>995.40976541565249</v>
      </c>
      <c r="AW60" s="181">
        <f t="shared" si="33"/>
        <v>10</v>
      </c>
      <c r="AX60" s="596"/>
    </row>
    <row r="61" spans="2:50" ht="14.25" customHeight="1">
      <c r="B61" s="597"/>
      <c r="C61" s="179">
        <v>13</v>
      </c>
      <c r="D61" s="182" t="s">
        <v>538</v>
      </c>
      <c r="E61" s="183">
        <v>3</v>
      </c>
      <c r="F61" s="179">
        <v>3600</v>
      </c>
      <c r="G61" s="184">
        <f t="shared" si="19"/>
        <v>1200</v>
      </c>
      <c r="H61" s="598"/>
      <c r="I61" s="185">
        <f t="shared" si="20"/>
        <v>3</v>
      </c>
      <c r="J61" s="185">
        <f t="shared" si="20"/>
        <v>3190.4589073130455</v>
      </c>
      <c r="K61" s="186">
        <f t="shared" si="20"/>
        <v>1063.4863024376821</v>
      </c>
      <c r="L61" s="599"/>
      <c r="M61" s="185">
        <f>RANK(K61, K$49:$K$85)</f>
        <v>5</v>
      </c>
      <c r="N61" s="610"/>
      <c r="O61" s="600"/>
      <c r="P61" s="187">
        <v>3</v>
      </c>
      <c r="Q61" s="187">
        <v>3190.4074787416171</v>
      </c>
      <c r="R61" s="184">
        <f t="shared" si="21"/>
        <v>1063.4691595805391</v>
      </c>
      <c r="S61" s="181">
        <f t="shared" si="22"/>
        <v>5</v>
      </c>
      <c r="T61" s="596"/>
      <c r="U61" s="187">
        <v>3</v>
      </c>
      <c r="V61" s="187">
        <v>3190.0474787416174</v>
      </c>
      <c r="W61" s="184">
        <f t="shared" si="18"/>
        <v>1063.3491595805392</v>
      </c>
      <c r="X61" s="181">
        <f t="shared" si="23"/>
        <v>5</v>
      </c>
      <c r="Y61" s="596"/>
      <c r="Z61" s="187">
        <v>3</v>
      </c>
      <c r="AA61" s="187">
        <v>3189.3274787416176</v>
      </c>
      <c r="AB61" s="184">
        <f t="shared" si="24"/>
        <v>1063.1091595805392</v>
      </c>
      <c r="AC61" s="181">
        <f t="shared" si="25"/>
        <v>5</v>
      </c>
      <c r="AD61" s="596"/>
      <c r="AE61" s="187">
        <v>3</v>
      </c>
      <c r="AF61" s="187">
        <v>3190.0474787416174</v>
      </c>
      <c r="AG61" s="184">
        <f t="shared" si="26"/>
        <v>1063.3491595805392</v>
      </c>
      <c r="AH61" s="181">
        <f t="shared" si="27"/>
        <v>5</v>
      </c>
      <c r="AI61" s="596"/>
      <c r="AJ61" s="187">
        <v>3</v>
      </c>
      <c r="AK61" s="187">
        <v>3191.1274787416173</v>
      </c>
      <c r="AL61" s="184">
        <f t="shared" si="28"/>
        <v>1063.7091595805391</v>
      </c>
      <c r="AM61" s="181">
        <f t="shared" si="29"/>
        <v>5</v>
      </c>
      <c r="AN61" s="596"/>
      <c r="AO61" s="187">
        <v>3</v>
      </c>
      <c r="AP61" s="187">
        <v>3191.487478741617</v>
      </c>
      <c r="AQ61" s="184">
        <f t="shared" si="30"/>
        <v>1063.829159580539</v>
      </c>
      <c r="AR61" s="181">
        <f t="shared" si="31"/>
        <v>5</v>
      </c>
      <c r="AS61" s="596"/>
      <c r="AT61" s="187">
        <v>3</v>
      </c>
      <c r="AU61" s="187">
        <v>3190.7674787416172</v>
      </c>
      <c r="AV61" s="184">
        <f t="shared" si="32"/>
        <v>1063.589159580539</v>
      </c>
      <c r="AW61" s="181">
        <f t="shared" si="33"/>
        <v>5</v>
      </c>
      <c r="AX61" s="596"/>
    </row>
    <row r="62" spans="2:50" ht="14.25" customHeight="1">
      <c r="B62" s="597"/>
      <c r="C62" s="179">
        <v>14</v>
      </c>
      <c r="D62" s="182" t="s">
        <v>530</v>
      </c>
      <c r="E62" s="183">
        <v>5</v>
      </c>
      <c r="F62" s="179">
        <v>3600</v>
      </c>
      <c r="G62" s="184">
        <f t="shared" si="19"/>
        <v>720</v>
      </c>
      <c r="H62" s="598"/>
      <c r="I62" s="185">
        <f t="shared" si="20"/>
        <v>5</v>
      </c>
      <c r="J62" s="185">
        <f t="shared" si="20"/>
        <v>3196.6825780563695</v>
      </c>
      <c r="K62" s="186">
        <f t="shared" si="20"/>
        <v>639.33651561127385</v>
      </c>
      <c r="L62" s="599"/>
      <c r="M62" s="185">
        <f>RANK(K62, K$49:$K$85)</f>
        <v>23</v>
      </c>
      <c r="N62" s="610"/>
      <c r="O62" s="600"/>
      <c r="P62" s="187">
        <v>5</v>
      </c>
      <c r="Q62" s="187">
        <v>3195.5511494849411</v>
      </c>
      <c r="R62" s="184">
        <f t="shared" si="21"/>
        <v>639.11022989698824</v>
      </c>
      <c r="S62" s="181">
        <f t="shared" si="22"/>
        <v>24</v>
      </c>
      <c r="T62" s="596"/>
      <c r="U62" s="187">
        <v>5</v>
      </c>
      <c r="V62" s="187">
        <v>3196.2711494849409</v>
      </c>
      <c r="W62" s="184">
        <f t="shared" si="18"/>
        <v>639.25422989698814</v>
      </c>
      <c r="X62" s="181">
        <f t="shared" si="23"/>
        <v>22</v>
      </c>
      <c r="Y62" s="596"/>
      <c r="Z62" s="187">
        <v>5</v>
      </c>
      <c r="AA62" s="187">
        <v>3197.3511494849404</v>
      </c>
      <c r="AB62" s="184">
        <f t="shared" si="24"/>
        <v>639.47022989698803</v>
      </c>
      <c r="AC62" s="181">
        <f t="shared" si="25"/>
        <v>23</v>
      </c>
      <c r="AD62" s="596"/>
      <c r="AE62" s="187">
        <v>5</v>
      </c>
      <c r="AF62" s="187">
        <v>3196.27114948494</v>
      </c>
      <c r="AG62" s="184">
        <f t="shared" si="26"/>
        <v>639.25422989698802</v>
      </c>
      <c r="AH62" s="181">
        <f t="shared" si="27"/>
        <v>23</v>
      </c>
      <c r="AI62" s="596"/>
      <c r="AJ62" s="187">
        <v>5</v>
      </c>
      <c r="AK62" s="187">
        <v>3197.7111494849405</v>
      </c>
      <c r="AL62" s="184">
        <f t="shared" si="28"/>
        <v>639.54222989698815</v>
      </c>
      <c r="AM62" s="181">
        <f t="shared" si="29"/>
        <v>21</v>
      </c>
      <c r="AN62" s="596"/>
      <c r="AO62" s="187">
        <v>5</v>
      </c>
      <c r="AP62" s="187">
        <v>3196.9911494849407</v>
      </c>
      <c r="AQ62" s="184">
        <f t="shared" si="30"/>
        <v>639.39822989698814</v>
      </c>
      <c r="AR62" s="181">
        <f t="shared" si="31"/>
        <v>23</v>
      </c>
      <c r="AS62" s="596"/>
      <c r="AT62" s="187">
        <v>5</v>
      </c>
      <c r="AU62" s="187">
        <v>3196.6311494849406</v>
      </c>
      <c r="AV62" s="184">
        <f t="shared" si="32"/>
        <v>639.32622989698814</v>
      </c>
      <c r="AW62" s="181">
        <f t="shared" si="33"/>
        <v>23</v>
      </c>
      <c r="AX62" s="596"/>
    </row>
    <row r="63" spans="2:50" ht="14.25" customHeight="1">
      <c r="B63" s="597"/>
      <c r="C63" s="179">
        <v>15</v>
      </c>
      <c r="D63" s="182" t="s">
        <v>595</v>
      </c>
      <c r="E63" s="183">
        <v>3</v>
      </c>
      <c r="F63" s="179">
        <v>3600</v>
      </c>
      <c r="G63" s="184">
        <f t="shared" si="19"/>
        <v>1200</v>
      </c>
      <c r="H63" s="598"/>
      <c r="I63" s="185">
        <f t="shared" si="20"/>
        <v>3</v>
      </c>
      <c r="J63" s="185">
        <f t="shared" si="20"/>
        <v>3194.4208393122426</v>
      </c>
      <c r="K63" s="186">
        <f t="shared" si="20"/>
        <v>1064.8069464374144</v>
      </c>
      <c r="L63" s="599"/>
      <c r="M63" s="185">
        <f>RANK(K63, K$49:$K$85)</f>
        <v>3</v>
      </c>
      <c r="N63" s="610"/>
      <c r="O63" s="600"/>
      <c r="P63" s="187">
        <v>3</v>
      </c>
      <c r="Q63" s="187">
        <v>3195.3979821693847</v>
      </c>
      <c r="R63" s="184">
        <f t="shared" si="21"/>
        <v>1065.1326607231283</v>
      </c>
      <c r="S63" s="181">
        <f t="shared" si="22"/>
        <v>3</v>
      </c>
      <c r="T63" s="596"/>
      <c r="U63" s="187">
        <v>3</v>
      </c>
      <c r="V63" s="187">
        <v>3196.8379821693852</v>
      </c>
      <c r="W63" s="184">
        <f t="shared" si="18"/>
        <v>1065.6126607231283</v>
      </c>
      <c r="X63" s="181">
        <f t="shared" si="23"/>
        <v>1</v>
      </c>
      <c r="Y63" s="596"/>
      <c r="Z63" s="187">
        <v>3</v>
      </c>
      <c r="AA63" s="187">
        <v>3195.037982169385</v>
      </c>
      <c r="AB63" s="184">
        <f t="shared" si="24"/>
        <v>1065.0126607231284</v>
      </c>
      <c r="AC63" s="181">
        <f t="shared" si="25"/>
        <v>3</v>
      </c>
      <c r="AD63" s="596"/>
      <c r="AE63" s="187">
        <v>3</v>
      </c>
      <c r="AF63" s="187">
        <v>3195.037982169385</v>
      </c>
      <c r="AG63" s="184">
        <f t="shared" si="26"/>
        <v>1065.0126607231284</v>
      </c>
      <c r="AH63" s="181">
        <f t="shared" si="27"/>
        <v>3</v>
      </c>
      <c r="AI63" s="596"/>
      <c r="AJ63" s="187">
        <v>3</v>
      </c>
      <c r="AK63" s="187">
        <v>3193.5979821693859</v>
      </c>
      <c r="AL63" s="184">
        <f t="shared" si="28"/>
        <v>1064.5326607231286</v>
      </c>
      <c r="AM63" s="181">
        <f t="shared" si="29"/>
        <v>3</v>
      </c>
      <c r="AN63" s="596"/>
      <c r="AO63" s="187">
        <v>3</v>
      </c>
      <c r="AP63" s="187">
        <v>3192.5179821693855</v>
      </c>
      <c r="AQ63" s="184">
        <f t="shared" si="30"/>
        <v>1064.1726607231285</v>
      </c>
      <c r="AR63" s="181">
        <f t="shared" si="31"/>
        <v>3</v>
      </c>
      <c r="AS63" s="596"/>
      <c r="AT63" s="187">
        <v>3</v>
      </c>
      <c r="AU63" s="187">
        <v>3192.517982169385</v>
      </c>
      <c r="AV63" s="184">
        <f t="shared" si="32"/>
        <v>1064.1726607231283</v>
      </c>
      <c r="AW63" s="181">
        <f t="shared" si="33"/>
        <v>4</v>
      </c>
      <c r="AX63" s="596"/>
    </row>
    <row r="64" spans="2:50" ht="14.25" customHeight="1">
      <c r="B64" s="597"/>
      <c r="C64" s="179">
        <v>16</v>
      </c>
      <c r="D64" s="182" t="s">
        <v>577</v>
      </c>
      <c r="E64" s="183">
        <v>3</v>
      </c>
      <c r="F64" s="179">
        <v>3300</v>
      </c>
      <c r="G64" s="184">
        <f t="shared" si="19"/>
        <v>1100</v>
      </c>
      <c r="H64" s="598"/>
      <c r="I64" s="185">
        <f t="shared" si="20"/>
        <v>3</v>
      </c>
      <c r="J64" s="185">
        <f t="shared" si="20"/>
        <v>2972.5459530941157</v>
      </c>
      <c r="K64" s="186">
        <f t="shared" si="20"/>
        <v>990.84865103137167</v>
      </c>
      <c r="L64" s="599"/>
      <c r="M64" s="185">
        <f>RANK(K64, K$49:$K$85)</f>
        <v>11</v>
      </c>
      <c r="N64" s="610"/>
      <c r="O64" s="600"/>
      <c r="P64" s="187">
        <v>3</v>
      </c>
      <c r="Q64" s="187">
        <v>2973.4888102369723</v>
      </c>
      <c r="R64" s="184">
        <f t="shared" si="21"/>
        <v>991.16293674565748</v>
      </c>
      <c r="S64" s="181">
        <f t="shared" si="22"/>
        <v>11</v>
      </c>
      <c r="T64" s="596"/>
      <c r="U64" s="187">
        <v>3</v>
      </c>
      <c r="V64" s="187">
        <v>2972.1688102369726</v>
      </c>
      <c r="W64" s="184">
        <f t="shared" si="18"/>
        <v>990.72293674565753</v>
      </c>
      <c r="X64" s="181">
        <f t="shared" si="23"/>
        <v>11</v>
      </c>
      <c r="Y64" s="596"/>
      <c r="Z64" s="187">
        <v>3</v>
      </c>
      <c r="AA64" s="187">
        <v>2973.1588102369724</v>
      </c>
      <c r="AB64" s="184">
        <f t="shared" si="24"/>
        <v>991.05293674565746</v>
      </c>
      <c r="AC64" s="181">
        <f t="shared" si="25"/>
        <v>11</v>
      </c>
      <c r="AD64" s="596"/>
      <c r="AE64" s="187">
        <v>3</v>
      </c>
      <c r="AF64" s="187">
        <v>2973.4888102369723</v>
      </c>
      <c r="AG64" s="184">
        <f t="shared" si="26"/>
        <v>991.16293674565748</v>
      </c>
      <c r="AH64" s="181">
        <f t="shared" si="27"/>
        <v>11</v>
      </c>
      <c r="AI64" s="596"/>
      <c r="AJ64" s="187">
        <v>3</v>
      </c>
      <c r="AK64" s="187">
        <v>2971.8388102369722</v>
      </c>
      <c r="AL64" s="184">
        <f t="shared" si="28"/>
        <v>990.61293674565741</v>
      </c>
      <c r="AM64" s="181">
        <f t="shared" si="29"/>
        <v>11</v>
      </c>
      <c r="AN64" s="596"/>
      <c r="AO64" s="187">
        <v>3</v>
      </c>
      <c r="AP64" s="187">
        <v>2971.5088102369727</v>
      </c>
      <c r="AQ64" s="184">
        <f t="shared" si="30"/>
        <v>990.50293674565762</v>
      </c>
      <c r="AR64" s="181">
        <f t="shared" si="31"/>
        <v>11</v>
      </c>
      <c r="AS64" s="596"/>
      <c r="AT64" s="187">
        <v>3</v>
      </c>
      <c r="AU64" s="187">
        <v>2972.1688102369726</v>
      </c>
      <c r="AV64" s="184">
        <f t="shared" si="32"/>
        <v>990.72293674565753</v>
      </c>
      <c r="AW64" s="181">
        <f t="shared" si="33"/>
        <v>11</v>
      </c>
      <c r="AX64" s="596"/>
    </row>
    <row r="65" spans="2:50" ht="14.25" customHeight="1">
      <c r="B65" s="597"/>
      <c r="C65" s="179">
        <v>17</v>
      </c>
      <c r="D65" s="182" t="s">
        <v>400</v>
      </c>
      <c r="E65" s="183">
        <v>5</v>
      </c>
      <c r="F65" s="179">
        <v>3600</v>
      </c>
      <c r="G65" s="184">
        <f t="shared" si="19"/>
        <v>720</v>
      </c>
      <c r="H65" s="598"/>
      <c r="I65" s="185">
        <f t="shared" si="20"/>
        <v>5</v>
      </c>
      <c r="J65" s="185">
        <f t="shared" si="20"/>
        <v>3190.1136116571683</v>
      </c>
      <c r="K65" s="186">
        <f t="shared" si="20"/>
        <v>638.02272233143356</v>
      </c>
      <c r="L65" s="599"/>
      <c r="M65" s="185">
        <f>RANK(K65, K$49:$K$85)</f>
        <v>27</v>
      </c>
      <c r="N65" s="610"/>
      <c r="O65" s="600"/>
      <c r="P65" s="187">
        <v>5</v>
      </c>
      <c r="Q65" s="187">
        <v>3190.2678973714537</v>
      </c>
      <c r="R65" s="184">
        <f t="shared" si="21"/>
        <v>638.0535794742907</v>
      </c>
      <c r="S65" s="181">
        <f t="shared" si="22"/>
        <v>27</v>
      </c>
      <c r="T65" s="596"/>
      <c r="U65" s="187">
        <v>5</v>
      </c>
      <c r="V65" s="187">
        <v>3190.2678973714537</v>
      </c>
      <c r="W65" s="184">
        <f t="shared" si="18"/>
        <v>638.0535794742907</v>
      </c>
      <c r="X65" s="181">
        <f t="shared" si="23"/>
        <v>27</v>
      </c>
      <c r="Y65" s="596"/>
      <c r="Z65" s="187">
        <v>5</v>
      </c>
      <c r="AA65" s="187">
        <v>3191.7078973714538</v>
      </c>
      <c r="AB65" s="184">
        <f t="shared" si="24"/>
        <v>638.34157947429071</v>
      </c>
      <c r="AC65" s="181">
        <f t="shared" si="25"/>
        <v>26</v>
      </c>
      <c r="AD65" s="596"/>
      <c r="AE65" s="187">
        <v>5</v>
      </c>
      <c r="AF65" s="187">
        <v>3191.7078973714533</v>
      </c>
      <c r="AG65" s="184">
        <f t="shared" si="26"/>
        <v>638.34157947429071</v>
      </c>
      <c r="AH65" s="181">
        <f t="shared" si="27"/>
        <v>26</v>
      </c>
      <c r="AI65" s="596"/>
      <c r="AJ65" s="187">
        <v>5</v>
      </c>
      <c r="AK65" s="187">
        <v>3190.2678973714537</v>
      </c>
      <c r="AL65" s="184">
        <f t="shared" si="28"/>
        <v>638.0535794742907</v>
      </c>
      <c r="AM65" s="181">
        <f t="shared" si="29"/>
        <v>26</v>
      </c>
      <c r="AN65" s="596"/>
      <c r="AO65" s="187">
        <v>5</v>
      </c>
      <c r="AP65" s="187">
        <v>3188.8278973714532</v>
      </c>
      <c r="AQ65" s="184">
        <f t="shared" si="30"/>
        <v>637.76557947429069</v>
      </c>
      <c r="AR65" s="181">
        <f t="shared" si="31"/>
        <v>27</v>
      </c>
      <c r="AS65" s="596"/>
      <c r="AT65" s="187">
        <v>5</v>
      </c>
      <c r="AU65" s="187">
        <v>3187.7478973714528</v>
      </c>
      <c r="AV65" s="184">
        <f t="shared" si="32"/>
        <v>637.54957947429057</v>
      </c>
      <c r="AW65" s="181">
        <f t="shared" si="33"/>
        <v>27</v>
      </c>
      <c r="AX65" s="596"/>
    </row>
    <row r="66" spans="2:50" ht="14.25" customHeight="1">
      <c r="B66" s="597"/>
      <c r="C66" s="179">
        <v>18</v>
      </c>
      <c r="D66" s="182" t="s">
        <v>399</v>
      </c>
      <c r="E66" s="183">
        <v>3</v>
      </c>
      <c r="F66" s="179">
        <v>3600</v>
      </c>
      <c r="G66" s="184">
        <f t="shared" si="19"/>
        <v>1200</v>
      </c>
      <c r="H66" s="598"/>
      <c r="I66" s="185">
        <f t="shared" si="20"/>
        <v>3</v>
      </c>
      <c r="J66" s="185">
        <f t="shared" si="20"/>
        <v>3185.6233615783035</v>
      </c>
      <c r="K66" s="186">
        <f t="shared" si="20"/>
        <v>1061.8744538594344</v>
      </c>
      <c r="L66" s="599"/>
      <c r="M66" s="185">
        <f>RANK(K66, K$49:$K$85)</f>
        <v>8</v>
      </c>
      <c r="N66" s="610"/>
      <c r="O66" s="600"/>
      <c r="P66" s="187">
        <v>3</v>
      </c>
      <c r="Q66" s="187">
        <v>3184.7282678776442</v>
      </c>
      <c r="R66" s="184">
        <f t="shared" si="21"/>
        <v>1061.576089292548</v>
      </c>
      <c r="S66" s="181">
        <f t="shared" si="22"/>
        <v>9</v>
      </c>
      <c r="T66" s="596"/>
      <c r="U66" s="187">
        <v>3</v>
      </c>
      <c r="V66" s="187">
        <v>3185.0882678776434</v>
      </c>
      <c r="W66" s="184">
        <f t="shared" si="18"/>
        <v>1061.6960892925479</v>
      </c>
      <c r="X66" s="181">
        <f t="shared" si="23"/>
        <v>7</v>
      </c>
      <c r="Y66" s="596"/>
      <c r="Z66" s="187">
        <v>3</v>
      </c>
      <c r="AA66" s="187">
        <v>3185.448267877644</v>
      </c>
      <c r="AB66" s="184">
        <f t="shared" si="24"/>
        <v>1061.816089292548</v>
      </c>
      <c r="AC66" s="181">
        <f t="shared" si="25"/>
        <v>8</v>
      </c>
      <c r="AD66" s="596"/>
      <c r="AE66" s="187">
        <v>3</v>
      </c>
      <c r="AF66" s="187">
        <v>3184.7282678776428</v>
      </c>
      <c r="AG66" s="184">
        <f t="shared" si="26"/>
        <v>1061.5760892925475</v>
      </c>
      <c r="AH66" s="181">
        <f t="shared" si="27"/>
        <v>8</v>
      </c>
      <c r="AI66" s="596"/>
      <c r="AJ66" s="187">
        <v>3</v>
      </c>
      <c r="AK66" s="187">
        <v>3184.8715826984953</v>
      </c>
      <c r="AL66" s="184">
        <f t="shared" si="28"/>
        <v>1061.6238608994984</v>
      </c>
      <c r="AM66" s="181">
        <f t="shared" si="29"/>
        <v>9</v>
      </c>
      <c r="AN66" s="596"/>
      <c r="AO66" s="187">
        <v>3</v>
      </c>
      <c r="AP66" s="187">
        <v>3186.3494384195278</v>
      </c>
      <c r="AQ66" s="184">
        <f t="shared" si="30"/>
        <v>1062.116479473176</v>
      </c>
      <c r="AR66" s="181">
        <f t="shared" si="31"/>
        <v>8</v>
      </c>
      <c r="AS66" s="596"/>
      <c r="AT66" s="187">
        <v>3</v>
      </c>
      <c r="AU66" s="187">
        <v>3188.1494384195275</v>
      </c>
      <c r="AV66" s="184">
        <f t="shared" si="32"/>
        <v>1062.7164794731759</v>
      </c>
      <c r="AW66" s="181">
        <f t="shared" si="33"/>
        <v>7</v>
      </c>
      <c r="AX66" s="596"/>
    </row>
    <row r="67" spans="2:50" ht="14.25" customHeight="1">
      <c r="B67" s="597"/>
      <c r="C67" s="179">
        <v>19</v>
      </c>
      <c r="D67" s="182" t="s">
        <v>401</v>
      </c>
      <c r="E67" s="183">
        <v>4</v>
      </c>
      <c r="F67" s="179">
        <v>3300</v>
      </c>
      <c r="G67" s="184">
        <f t="shared" si="19"/>
        <v>825</v>
      </c>
      <c r="H67" s="598"/>
      <c r="I67" s="185">
        <f t="shared" si="20"/>
        <v>4</v>
      </c>
      <c r="J67" s="185">
        <f t="shared" si="20"/>
        <v>2989.7999999999997</v>
      </c>
      <c r="K67" s="186">
        <f t="shared" si="20"/>
        <v>747.44999999999993</v>
      </c>
      <c r="L67" s="599"/>
      <c r="M67" s="185">
        <f>RANK(K67, K$49:$K$85)</f>
        <v>17</v>
      </c>
      <c r="N67" s="610"/>
      <c r="O67" s="600"/>
      <c r="P67" s="187">
        <v>4</v>
      </c>
      <c r="Q67" s="187">
        <v>2989.8</v>
      </c>
      <c r="R67" s="184">
        <f t="shared" si="21"/>
        <v>747.45</v>
      </c>
      <c r="S67" s="181">
        <f t="shared" si="22"/>
        <v>17</v>
      </c>
      <c r="T67" s="596"/>
      <c r="U67" s="187">
        <v>4</v>
      </c>
      <c r="V67" s="187">
        <v>2989.8</v>
      </c>
      <c r="W67" s="184">
        <f t="shared" si="18"/>
        <v>747.45</v>
      </c>
      <c r="X67" s="181">
        <f t="shared" si="23"/>
        <v>17</v>
      </c>
      <c r="Y67" s="596"/>
      <c r="Z67" s="187">
        <v>4</v>
      </c>
      <c r="AA67" s="187">
        <v>2989.8</v>
      </c>
      <c r="AB67" s="184">
        <f t="shared" si="24"/>
        <v>747.45</v>
      </c>
      <c r="AC67" s="181">
        <f t="shared" si="25"/>
        <v>17</v>
      </c>
      <c r="AD67" s="596"/>
      <c r="AE67" s="187">
        <v>4</v>
      </c>
      <c r="AF67" s="187">
        <v>2989.7999999999997</v>
      </c>
      <c r="AG67" s="184">
        <f t="shared" si="26"/>
        <v>747.44999999999993</v>
      </c>
      <c r="AH67" s="181">
        <f t="shared" si="27"/>
        <v>18</v>
      </c>
      <c r="AI67" s="596"/>
      <c r="AJ67" s="187">
        <v>4</v>
      </c>
      <c r="AK67" s="187">
        <v>2989.8</v>
      </c>
      <c r="AL67" s="184">
        <f t="shared" si="28"/>
        <v>747.45</v>
      </c>
      <c r="AM67" s="181">
        <f t="shared" si="29"/>
        <v>17</v>
      </c>
      <c r="AN67" s="596"/>
      <c r="AO67" s="187">
        <v>4</v>
      </c>
      <c r="AP67" s="187">
        <v>2989.8</v>
      </c>
      <c r="AQ67" s="184">
        <f t="shared" si="30"/>
        <v>747.45</v>
      </c>
      <c r="AR67" s="181">
        <f t="shared" si="31"/>
        <v>17</v>
      </c>
      <c r="AS67" s="596"/>
      <c r="AT67" s="187">
        <v>4</v>
      </c>
      <c r="AU67" s="187">
        <v>2989.7999999999997</v>
      </c>
      <c r="AV67" s="184">
        <f t="shared" si="32"/>
        <v>747.44999999999993</v>
      </c>
      <c r="AW67" s="181">
        <f t="shared" si="33"/>
        <v>18</v>
      </c>
      <c r="AX67" s="596"/>
    </row>
    <row r="68" spans="2:50" ht="14.25" customHeight="1">
      <c r="B68" s="597"/>
      <c r="C68" s="179">
        <v>20</v>
      </c>
      <c r="D68" s="182" t="s">
        <v>344</v>
      </c>
      <c r="E68" s="183">
        <v>5</v>
      </c>
      <c r="F68" s="179">
        <v>3300</v>
      </c>
      <c r="G68" s="184">
        <f t="shared" si="19"/>
        <v>660</v>
      </c>
      <c r="H68" s="598"/>
      <c r="I68" s="185">
        <f t="shared" si="20"/>
        <v>5</v>
      </c>
      <c r="J68" s="185">
        <f t="shared" si="20"/>
        <v>2989.7999999999997</v>
      </c>
      <c r="K68" s="186">
        <f t="shared" si="20"/>
        <v>597.96</v>
      </c>
      <c r="L68" s="599"/>
      <c r="M68" s="185">
        <f>RANK(K68, K$49:$K$85)</f>
        <v>28</v>
      </c>
      <c r="N68" s="610"/>
      <c r="O68" s="600"/>
      <c r="P68" s="187">
        <v>5</v>
      </c>
      <c r="Q68" s="187">
        <v>2989.7999999999997</v>
      </c>
      <c r="R68" s="184">
        <f t="shared" si="21"/>
        <v>597.95999999999992</v>
      </c>
      <c r="S68" s="181">
        <f t="shared" si="22"/>
        <v>28</v>
      </c>
      <c r="T68" s="596"/>
      <c r="U68" s="187">
        <v>5</v>
      </c>
      <c r="V68" s="187">
        <v>2989.8</v>
      </c>
      <c r="W68" s="184">
        <f t="shared" si="18"/>
        <v>597.96</v>
      </c>
      <c r="X68" s="181">
        <f t="shared" si="23"/>
        <v>28</v>
      </c>
      <c r="Y68" s="596"/>
      <c r="Z68" s="187">
        <v>5</v>
      </c>
      <c r="AA68" s="187">
        <v>2989.8</v>
      </c>
      <c r="AB68" s="184">
        <f t="shared" si="24"/>
        <v>597.96</v>
      </c>
      <c r="AC68" s="181">
        <f t="shared" si="25"/>
        <v>28</v>
      </c>
      <c r="AD68" s="596"/>
      <c r="AE68" s="187">
        <v>5</v>
      </c>
      <c r="AF68" s="187">
        <v>2989.8</v>
      </c>
      <c r="AG68" s="184">
        <f t="shared" si="26"/>
        <v>597.96</v>
      </c>
      <c r="AH68" s="181">
        <f t="shared" si="27"/>
        <v>28</v>
      </c>
      <c r="AI68" s="596"/>
      <c r="AJ68" s="187">
        <v>5</v>
      </c>
      <c r="AK68" s="187">
        <v>2989.8</v>
      </c>
      <c r="AL68" s="184">
        <f t="shared" si="28"/>
        <v>597.96</v>
      </c>
      <c r="AM68" s="181">
        <f t="shared" si="29"/>
        <v>28</v>
      </c>
      <c r="AN68" s="596"/>
      <c r="AO68" s="187">
        <v>5</v>
      </c>
      <c r="AP68" s="187">
        <v>2989.7999999999997</v>
      </c>
      <c r="AQ68" s="184">
        <f t="shared" si="30"/>
        <v>597.95999999999992</v>
      </c>
      <c r="AR68" s="181">
        <f t="shared" si="31"/>
        <v>29</v>
      </c>
      <c r="AS68" s="596"/>
      <c r="AT68" s="187">
        <v>5</v>
      </c>
      <c r="AU68" s="187">
        <v>2989.7999999999997</v>
      </c>
      <c r="AV68" s="184">
        <f t="shared" si="32"/>
        <v>597.95999999999992</v>
      </c>
      <c r="AW68" s="181">
        <f t="shared" si="33"/>
        <v>28</v>
      </c>
      <c r="AX68" s="596"/>
    </row>
    <row r="69" spans="2:50" ht="14.25" customHeight="1">
      <c r="B69" s="597"/>
      <c r="C69" s="179">
        <v>21</v>
      </c>
      <c r="D69" s="182" t="s">
        <v>395</v>
      </c>
      <c r="E69" s="183">
        <v>3</v>
      </c>
      <c r="F69" s="179">
        <v>3600</v>
      </c>
      <c r="G69" s="184">
        <f t="shared" si="19"/>
        <v>1200</v>
      </c>
      <c r="H69" s="598"/>
      <c r="I69" s="185">
        <f t="shared" si="20"/>
        <v>3</v>
      </c>
      <c r="J69" s="185">
        <f t="shared" si="20"/>
        <v>3191.6406558131393</v>
      </c>
      <c r="K69" s="186">
        <f t="shared" si="20"/>
        <v>1063.8802186043797</v>
      </c>
      <c r="L69" s="599"/>
      <c r="M69" s="185">
        <f>RANK(K69, K$49:$K$85)</f>
        <v>4</v>
      </c>
      <c r="N69" s="610"/>
      <c r="O69" s="600"/>
      <c r="P69" s="187">
        <v>3</v>
      </c>
      <c r="Q69" s="187">
        <v>3190.8177986702822</v>
      </c>
      <c r="R69" s="184">
        <f t="shared" si="21"/>
        <v>1063.605932890094</v>
      </c>
      <c r="S69" s="181">
        <f t="shared" si="22"/>
        <v>4</v>
      </c>
      <c r="T69" s="596"/>
      <c r="U69" s="187">
        <v>3</v>
      </c>
      <c r="V69" s="187">
        <v>3192.2577986702818</v>
      </c>
      <c r="W69" s="184">
        <f t="shared" si="18"/>
        <v>1064.085932890094</v>
      </c>
      <c r="X69" s="181">
        <f t="shared" si="23"/>
        <v>4</v>
      </c>
      <c r="Y69" s="596"/>
      <c r="Z69" s="187">
        <v>3</v>
      </c>
      <c r="AA69" s="187">
        <v>3190.8177986702822</v>
      </c>
      <c r="AB69" s="184">
        <f t="shared" si="24"/>
        <v>1063.605932890094</v>
      </c>
      <c r="AC69" s="181">
        <f t="shared" si="25"/>
        <v>4</v>
      </c>
      <c r="AD69" s="596"/>
      <c r="AE69" s="187">
        <v>3</v>
      </c>
      <c r="AF69" s="187">
        <v>3191.1777986702823</v>
      </c>
      <c r="AG69" s="184">
        <f t="shared" si="26"/>
        <v>1063.7259328900941</v>
      </c>
      <c r="AH69" s="181">
        <f t="shared" si="27"/>
        <v>4</v>
      </c>
      <c r="AI69" s="596"/>
      <c r="AJ69" s="187">
        <v>3</v>
      </c>
      <c r="AK69" s="187">
        <v>3191.5377986702824</v>
      </c>
      <c r="AL69" s="184">
        <f t="shared" si="28"/>
        <v>1063.8459328900942</v>
      </c>
      <c r="AM69" s="181">
        <f t="shared" si="29"/>
        <v>4</v>
      </c>
      <c r="AN69" s="596"/>
      <c r="AO69" s="187">
        <v>3</v>
      </c>
      <c r="AP69" s="187">
        <v>3192.2577986702827</v>
      </c>
      <c r="AQ69" s="184">
        <f t="shared" si="30"/>
        <v>1064.0859328900942</v>
      </c>
      <c r="AR69" s="181">
        <f t="shared" si="31"/>
        <v>4</v>
      </c>
      <c r="AS69" s="596"/>
      <c r="AT69" s="187">
        <v>3</v>
      </c>
      <c r="AU69" s="187">
        <v>3192.6177986702833</v>
      </c>
      <c r="AV69" s="184">
        <f t="shared" si="32"/>
        <v>1064.2059328900943</v>
      </c>
      <c r="AW69" s="181">
        <f t="shared" si="33"/>
        <v>3</v>
      </c>
      <c r="AX69" s="596"/>
    </row>
    <row r="70" spans="2:50" ht="14.25" customHeight="1">
      <c r="B70" s="597"/>
      <c r="C70" s="179">
        <v>22</v>
      </c>
      <c r="D70" s="182" t="s">
        <v>519</v>
      </c>
      <c r="E70" s="183">
        <v>4</v>
      </c>
      <c r="F70" s="179">
        <v>3600</v>
      </c>
      <c r="G70" s="184">
        <f t="shared" si="19"/>
        <v>900</v>
      </c>
      <c r="H70" s="598"/>
      <c r="I70" s="185">
        <f t="shared" si="20"/>
        <v>4</v>
      </c>
      <c r="J70" s="185">
        <f t="shared" si="20"/>
        <v>3192.119999999999</v>
      </c>
      <c r="K70" s="186">
        <f t="shared" si="20"/>
        <v>798.02999999999975</v>
      </c>
      <c r="L70" s="599"/>
      <c r="M70" s="185">
        <f>RANK(K70, K$49:$K$85)</f>
        <v>16</v>
      </c>
      <c r="N70" s="610"/>
      <c r="O70" s="600"/>
      <c r="P70" s="187">
        <v>4</v>
      </c>
      <c r="Q70" s="187">
        <v>3192.4799999999996</v>
      </c>
      <c r="R70" s="184">
        <f t="shared" si="21"/>
        <v>798.11999999999989</v>
      </c>
      <c r="S70" s="181">
        <f t="shared" si="22"/>
        <v>16</v>
      </c>
      <c r="T70" s="596"/>
      <c r="U70" s="187">
        <v>4</v>
      </c>
      <c r="V70" s="187">
        <v>3192.119999999999</v>
      </c>
      <c r="W70" s="184">
        <f t="shared" si="18"/>
        <v>798.02999999999975</v>
      </c>
      <c r="X70" s="181">
        <f t="shared" si="23"/>
        <v>16</v>
      </c>
      <c r="Y70" s="596"/>
      <c r="Z70" s="187">
        <v>4</v>
      </c>
      <c r="AA70" s="187">
        <v>3191.7599999999984</v>
      </c>
      <c r="AB70" s="184">
        <f t="shared" si="24"/>
        <v>797.9399999999996</v>
      </c>
      <c r="AC70" s="181">
        <f t="shared" si="25"/>
        <v>16</v>
      </c>
      <c r="AD70" s="596"/>
      <c r="AE70" s="187">
        <v>4</v>
      </c>
      <c r="AF70" s="187">
        <v>3191.7599999999984</v>
      </c>
      <c r="AG70" s="184">
        <f t="shared" si="26"/>
        <v>797.9399999999996</v>
      </c>
      <c r="AH70" s="181">
        <f t="shared" si="27"/>
        <v>16</v>
      </c>
      <c r="AI70" s="596"/>
      <c r="AJ70" s="187">
        <v>4</v>
      </c>
      <c r="AK70" s="187">
        <v>3191.7599999999984</v>
      </c>
      <c r="AL70" s="184">
        <f t="shared" si="28"/>
        <v>797.9399999999996</v>
      </c>
      <c r="AM70" s="181">
        <f t="shared" si="29"/>
        <v>16</v>
      </c>
      <c r="AN70" s="596"/>
      <c r="AO70" s="187">
        <v>4</v>
      </c>
      <c r="AP70" s="187">
        <v>3192.8399999999992</v>
      </c>
      <c r="AQ70" s="184">
        <f t="shared" si="30"/>
        <v>798.20999999999981</v>
      </c>
      <c r="AR70" s="181">
        <f t="shared" si="31"/>
        <v>15</v>
      </c>
      <c r="AS70" s="596"/>
      <c r="AT70" s="187">
        <v>4</v>
      </c>
      <c r="AU70" s="187">
        <v>3192.1199999999994</v>
      </c>
      <c r="AV70" s="184">
        <f t="shared" si="32"/>
        <v>798.02999999999986</v>
      </c>
      <c r="AW70" s="181">
        <f t="shared" si="33"/>
        <v>15</v>
      </c>
      <c r="AX70" s="596"/>
    </row>
    <row r="71" spans="2:50" ht="14.25" customHeight="1">
      <c r="B71" s="597"/>
      <c r="C71" s="179">
        <v>23</v>
      </c>
      <c r="D71" s="182" t="s">
        <v>398</v>
      </c>
      <c r="E71" s="183">
        <v>3</v>
      </c>
      <c r="F71" s="179">
        <v>3600</v>
      </c>
      <c r="G71" s="184">
        <f t="shared" si="19"/>
        <v>1200</v>
      </c>
      <c r="H71" s="598"/>
      <c r="I71" s="185">
        <f t="shared" si="20"/>
        <v>3</v>
      </c>
      <c r="J71" s="185">
        <f t="shared" si="20"/>
        <v>3199.2559230366583</v>
      </c>
      <c r="K71" s="186">
        <f t="shared" si="20"/>
        <v>1066.4186410122195</v>
      </c>
      <c r="L71" s="599"/>
      <c r="M71" s="185">
        <f>RANK(K71, K$49:$K$85)</f>
        <v>1</v>
      </c>
      <c r="N71" s="610"/>
      <c r="O71" s="600"/>
      <c r="P71" s="187">
        <v>3</v>
      </c>
      <c r="Q71" s="187">
        <v>3197.0360598015241</v>
      </c>
      <c r="R71" s="184">
        <f t="shared" si="21"/>
        <v>1065.6786866005079</v>
      </c>
      <c r="S71" s="181">
        <f t="shared" si="22"/>
        <v>1</v>
      </c>
      <c r="T71" s="596"/>
      <c r="U71" s="187">
        <v>3</v>
      </c>
      <c r="V71" s="187">
        <v>3196.6760598015239</v>
      </c>
      <c r="W71" s="184">
        <f t="shared" si="18"/>
        <v>1065.5586866005081</v>
      </c>
      <c r="X71" s="181">
        <f t="shared" si="23"/>
        <v>3</v>
      </c>
      <c r="Y71" s="596"/>
      <c r="Z71" s="187">
        <v>3</v>
      </c>
      <c r="AA71" s="187">
        <v>3198.4760598015241</v>
      </c>
      <c r="AB71" s="184">
        <f t="shared" si="24"/>
        <v>1066.158686600508</v>
      </c>
      <c r="AC71" s="181">
        <f t="shared" si="25"/>
        <v>1</v>
      </c>
      <c r="AD71" s="596"/>
      <c r="AE71" s="187">
        <v>3</v>
      </c>
      <c r="AF71" s="187">
        <v>3199.9160598015237</v>
      </c>
      <c r="AG71" s="184">
        <f t="shared" si="26"/>
        <v>1066.638686600508</v>
      </c>
      <c r="AH71" s="181">
        <f t="shared" si="27"/>
        <v>1</v>
      </c>
      <c r="AI71" s="596"/>
      <c r="AJ71" s="187">
        <v>3</v>
      </c>
      <c r="AK71" s="187">
        <v>3201.3560598015238</v>
      </c>
      <c r="AL71" s="184">
        <f t="shared" si="28"/>
        <v>1067.118686600508</v>
      </c>
      <c r="AM71" s="181">
        <f t="shared" si="29"/>
        <v>1</v>
      </c>
      <c r="AN71" s="596"/>
      <c r="AO71" s="187">
        <v>3</v>
      </c>
      <c r="AP71" s="187">
        <v>3198.6448148423783</v>
      </c>
      <c r="AQ71" s="184">
        <f t="shared" si="30"/>
        <v>1066.2149382807927</v>
      </c>
      <c r="AR71" s="181">
        <f t="shared" si="31"/>
        <v>1</v>
      </c>
      <c r="AS71" s="596"/>
      <c r="AT71" s="187">
        <v>3</v>
      </c>
      <c r="AU71" s="187">
        <v>3202.6863474066131</v>
      </c>
      <c r="AV71" s="184">
        <f t="shared" si="32"/>
        <v>1067.5621158022043</v>
      </c>
      <c r="AW71" s="181">
        <f t="shared" si="33"/>
        <v>1</v>
      </c>
      <c r="AX71" s="596"/>
    </row>
    <row r="72" spans="2:50" ht="14.25" customHeight="1">
      <c r="B72" s="597"/>
      <c r="C72" s="179">
        <v>24</v>
      </c>
      <c r="D72" s="182" t="s">
        <v>397</v>
      </c>
      <c r="E72" s="183">
        <v>5</v>
      </c>
      <c r="F72" s="179">
        <v>3600</v>
      </c>
      <c r="G72" s="184">
        <f t="shared" si="19"/>
        <v>720</v>
      </c>
      <c r="H72" s="598"/>
      <c r="I72" s="185">
        <f t="shared" si="20"/>
        <v>5</v>
      </c>
      <c r="J72" s="185">
        <f t="shared" si="20"/>
        <v>3196.9601722713887</v>
      </c>
      <c r="K72" s="186">
        <f t="shared" si="20"/>
        <v>639.39203445427768</v>
      </c>
      <c r="L72" s="599"/>
      <c r="M72" s="185">
        <f>RANK(K72, K$49:$K$85)</f>
        <v>22</v>
      </c>
      <c r="N72" s="610"/>
      <c r="O72" s="600"/>
      <c r="P72" s="187">
        <v>5</v>
      </c>
      <c r="Q72" s="187">
        <v>3197.6287436999596</v>
      </c>
      <c r="R72" s="184">
        <f t="shared" si="21"/>
        <v>639.52574873999197</v>
      </c>
      <c r="S72" s="181">
        <f t="shared" si="22"/>
        <v>21</v>
      </c>
      <c r="T72" s="596"/>
      <c r="U72" s="187">
        <v>5</v>
      </c>
      <c r="V72" s="187">
        <v>3196.18874369996</v>
      </c>
      <c r="W72" s="184">
        <f t="shared" si="18"/>
        <v>639.23774873999196</v>
      </c>
      <c r="X72" s="181">
        <f t="shared" si="23"/>
        <v>23</v>
      </c>
      <c r="Y72" s="596"/>
      <c r="Z72" s="187">
        <v>5</v>
      </c>
      <c r="AA72" s="187">
        <v>3197.6287436999596</v>
      </c>
      <c r="AB72" s="184">
        <f t="shared" si="24"/>
        <v>639.52574873999197</v>
      </c>
      <c r="AC72" s="181">
        <f t="shared" si="25"/>
        <v>22</v>
      </c>
      <c r="AD72" s="596"/>
      <c r="AE72" s="187">
        <v>5</v>
      </c>
      <c r="AF72" s="187">
        <v>3196.5487436999601</v>
      </c>
      <c r="AG72" s="184">
        <f t="shared" si="26"/>
        <v>639.30974873999207</v>
      </c>
      <c r="AH72" s="181">
        <f t="shared" si="27"/>
        <v>22</v>
      </c>
      <c r="AI72" s="596"/>
      <c r="AJ72" s="187">
        <v>5</v>
      </c>
      <c r="AK72" s="187">
        <v>3196.5487436999606</v>
      </c>
      <c r="AL72" s="184">
        <f t="shared" si="28"/>
        <v>639.30974873999207</v>
      </c>
      <c r="AM72" s="181">
        <f t="shared" si="29"/>
        <v>23</v>
      </c>
      <c r="AN72" s="596"/>
      <c r="AO72" s="187">
        <v>5</v>
      </c>
      <c r="AP72" s="187">
        <v>3197.6287436999601</v>
      </c>
      <c r="AQ72" s="184">
        <f t="shared" si="30"/>
        <v>639.52574873999197</v>
      </c>
      <c r="AR72" s="181">
        <f t="shared" si="31"/>
        <v>22</v>
      </c>
      <c r="AS72" s="596"/>
      <c r="AT72" s="187">
        <v>5</v>
      </c>
      <c r="AU72" s="187">
        <v>3196.5487436999601</v>
      </c>
      <c r="AV72" s="184">
        <f t="shared" si="32"/>
        <v>639.30974873999207</v>
      </c>
      <c r="AW72" s="181">
        <f t="shared" si="33"/>
        <v>24</v>
      </c>
      <c r="AX72" s="596"/>
    </row>
    <row r="73" spans="2:50" ht="14.25" customHeight="1">
      <c r="B73" s="597"/>
      <c r="C73" s="179">
        <v>25</v>
      </c>
      <c r="D73" s="182" t="s">
        <v>394</v>
      </c>
      <c r="E73" s="183">
        <v>5</v>
      </c>
      <c r="F73" s="179">
        <v>3600</v>
      </c>
      <c r="G73" s="184">
        <f t="shared" si="19"/>
        <v>720</v>
      </c>
      <c r="H73" s="598"/>
      <c r="I73" s="185">
        <f t="shared" si="20"/>
        <v>5</v>
      </c>
      <c r="J73" s="185">
        <f t="shared" si="20"/>
        <v>3190.3282883712955</v>
      </c>
      <c r="K73" s="186">
        <f t="shared" si="20"/>
        <v>638.06565767425889</v>
      </c>
      <c r="L73" s="599"/>
      <c r="M73" s="185">
        <f>RANK(K73, K$49:$K$85)</f>
        <v>26</v>
      </c>
      <c r="N73" s="610"/>
      <c r="O73" s="600"/>
      <c r="P73" s="187">
        <v>5</v>
      </c>
      <c r="Q73" s="187">
        <v>3191.4082883712945</v>
      </c>
      <c r="R73" s="184">
        <f t="shared" si="21"/>
        <v>638.28165767425889</v>
      </c>
      <c r="S73" s="181">
        <f t="shared" si="22"/>
        <v>26</v>
      </c>
      <c r="T73" s="596"/>
      <c r="U73" s="187">
        <v>5</v>
      </c>
      <c r="V73" s="187">
        <v>3190.6882883712951</v>
      </c>
      <c r="W73" s="184">
        <f t="shared" si="18"/>
        <v>638.137657674259</v>
      </c>
      <c r="X73" s="181">
        <f t="shared" si="23"/>
        <v>26</v>
      </c>
      <c r="Y73" s="596"/>
      <c r="Z73" s="187">
        <v>5</v>
      </c>
      <c r="AA73" s="187">
        <v>3190.3282883712955</v>
      </c>
      <c r="AB73" s="184">
        <f t="shared" si="24"/>
        <v>638.06565767425911</v>
      </c>
      <c r="AC73" s="181">
        <f t="shared" si="25"/>
        <v>27</v>
      </c>
      <c r="AD73" s="596"/>
      <c r="AE73" s="187">
        <v>5</v>
      </c>
      <c r="AF73" s="187">
        <v>3189.2482883712951</v>
      </c>
      <c r="AG73" s="184">
        <f t="shared" si="26"/>
        <v>637.84965767425899</v>
      </c>
      <c r="AH73" s="181">
        <f t="shared" si="27"/>
        <v>27</v>
      </c>
      <c r="AI73" s="596"/>
      <c r="AJ73" s="187">
        <v>5</v>
      </c>
      <c r="AK73" s="187">
        <v>3189.9682883712949</v>
      </c>
      <c r="AL73" s="184">
        <f t="shared" si="28"/>
        <v>637.993657674259</v>
      </c>
      <c r="AM73" s="181">
        <f t="shared" si="29"/>
        <v>27</v>
      </c>
      <c r="AN73" s="596"/>
      <c r="AO73" s="187">
        <v>5</v>
      </c>
      <c r="AP73" s="187">
        <v>3189.9682883712958</v>
      </c>
      <c r="AQ73" s="184">
        <f t="shared" si="30"/>
        <v>637.99365767425911</v>
      </c>
      <c r="AR73" s="181">
        <f t="shared" si="31"/>
        <v>26</v>
      </c>
      <c r="AS73" s="596"/>
      <c r="AT73" s="187">
        <v>5</v>
      </c>
      <c r="AU73" s="187">
        <v>3190.6882883712951</v>
      </c>
      <c r="AV73" s="184">
        <f t="shared" si="32"/>
        <v>638.137657674259</v>
      </c>
      <c r="AW73" s="181">
        <f t="shared" si="33"/>
        <v>26</v>
      </c>
      <c r="AX73" s="596"/>
    </row>
    <row r="74" spans="2:50" ht="14.25" customHeight="1">
      <c r="B74" s="597"/>
      <c r="C74" s="179">
        <v>26</v>
      </c>
      <c r="D74" s="182" t="s">
        <v>396</v>
      </c>
      <c r="E74" s="183">
        <v>3</v>
      </c>
      <c r="F74" s="179">
        <v>3000</v>
      </c>
      <c r="G74" s="184">
        <f t="shared" si="19"/>
        <v>1000</v>
      </c>
      <c r="H74" s="598"/>
      <c r="I74" s="185">
        <f t="shared" si="20"/>
        <v>3</v>
      </c>
      <c r="J74" s="185">
        <f t="shared" si="20"/>
        <v>2718.2374518283964</v>
      </c>
      <c r="K74" s="186">
        <f t="shared" si="20"/>
        <v>906.07915060946527</v>
      </c>
      <c r="L74" s="599"/>
      <c r="M74" s="185">
        <f>RANK(K74, K$49:$K$85)</f>
        <v>13</v>
      </c>
      <c r="N74" s="610"/>
      <c r="O74" s="600"/>
      <c r="P74" s="187">
        <v>3</v>
      </c>
      <c r="Q74" s="187">
        <v>2717.8088803998244</v>
      </c>
      <c r="R74" s="184">
        <f t="shared" si="21"/>
        <v>905.93629346660816</v>
      </c>
      <c r="S74" s="181">
        <f t="shared" si="22"/>
        <v>13</v>
      </c>
      <c r="T74" s="596"/>
      <c r="U74" s="187">
        <v>3</v>
      </c>
      <c r="V74" s="187">
        <v>2716.9088803998247</v>
      </c>
      <c r="W74" s="184">
        <f t="shared" si="18"/>
        <v>905.63629346660821</v>
      </c>
      <c r="X74" s="181">
        <f t="shared" si="23"/>
        <v>14</v>
      </c>
      <c r="Y74" s="596"/>
      <c r="Z74" s="187">
        <v>3</v>
      </c>
      <c r="AA74" s="187">
        <v>2718.1088803998246</v>
      </c>
      <c r="AB74" s="184">
        <f t="shared" si="24"/>
        <v>906.03629346660819</v>
      </c>
      <c r="AC74" s="181">
        <f t="shared" si="25"/>
        <v>14</v>
      </c>
      <c r="AD74" s="596"/>
      <c r="AE74" s="187">
        <v>3</v>
      </c>
      <c r="AF74" s="187">
        <v>2717.2088803998249</v>
      </c>
      <c r="AG74" s="184">
        <f t="shared" si="26"/>
        <v>905.73629346660834</v>
      </c>
      <c r="AH74" s="181">
        <f t="shared" si="27"/>
        <v>14</v>
      </c>
      <c r="AI74" s="596"/>
      <c r="AJ74" s="187">
        <v>3</v>
      </c>
      <c r="AK74" s="187">
        <v>2718.4088803998247</v>
      </c>
      <c r="AL74" s="184">
        <f t="shared" si="28"/>
        <v>906.13629346660821</v>
      </c>
      <c r="AM74" s="181">
        <f t="shared" si="29"/>
        <v>13</v>
      </c>
      <c r="AN74" s="596"/>
      <c r="AO74" s="187">
        <v>3</v>
      </c>
      <c r="AP74" s="187">
        <v>2719.3088803998244</v>
      </c>
      <c r="AQ74" s="184">
        <f t="shared" si="30"/>
        <v>906.43629346660816</v>
      </c>
      <c r="AR74" s="181">
        <f t="shared" si="31"/>
        <v>13</v>
      </c>
      <c r="AS74" s="596"/>
      <c r="AT74" s="187">
        <v>3</v>
      </c>
      <c r="AU74" s="187">
        <v>2719.9088803998238</v>
      </c>
      <c r="AV74" s="184">
        <f t="shared" si="32"/>
        <v>906.63629346660798</v>
      </c>
      <c r="AW74" s="181">
        <f t="shared" si="33"/>
        <v>13</v>
      </c>
      <c r="AX74" s="596"/>
    </row>
    <row r="75" spans="2:50" ht="14.25" customHeight="1">
      <c r="B75" s="597"/>
      <c r="C75" s="179">
        <v>27</v>
      </c>
      <c r="D75" s="182" t="s">
        <v>434</v>
      </c>
      <c r="E75" s="183">
        <v>3</v>
      </c>
      <c r="F75" s="179">
        <v>3600</v>
      </c>
      <c r="G75" s="184">
        <f t="shared" si="19"/>
        <v>1200</v>
      </c>
      <c r="H75" s="598"/>
      <c r="I75" s="185">
        <f t="shared" si="20"/>
        <v>3</v>
      </c>
      <c r="J75" s="185">
        <f t="shared" si="20"/>
        <v>3186.2017901564077</v>
      </c>
      <c r="K75" s="186">
        <f t="shared" si="20"/>
        <v>1062.067263385469</v>
      </c>
      <c r="L75" s="599"/>
      <c r="M75" s="185">
        <f>RANK(K75, K$49:$K$85)</f>
        <v>7</v>
      </c>
      <c r="N75" s="610"/>
      <c r="O75" s="600"/>
      <c r="P75" s="187">
        <v>3</v>
      </c>
      <c r="Q75" s="187">
        <v>3185.925356536763</v>
      </c>
      <c r="R75" s="184">
        <f t="shared" si="21"/>
        <v>1061.9751188455878</v>
      </c>
      <c r="S75" s="181">
        <f t="shared" si="22"/>
        <v>7</v>
      </c>
      <c r="T75" s="596"/>
      <c r="U75" s="187">
        <v>3</v>
      </c>
      <c r="V75" s="187">
        <v>3184.8453565367636</v>
      </c>
      <c r="W75" s="184">
        <f t="shared" si="18"/>
        <v>1061.6151188455879</v>
      </c>
      <c r="X75" s="181">
        <f t="shared" si="23"/>
        <v>9</v>
      </c>
      <c r="Y75" s="596"/>
      <c r="Z75" s="187">
        <v>3</v>
      </c>
      <c r="AA75" s="187">
        <v>3186.2853565367632</v>
      </c>
      <c r="AB75" s="184">
        <f t="shared" si="24"/>
        <v>1062.0951188455876</v>
      </c>
      <c r="AC75" s="181">
        <f t="shared" si="25"/>
        <v>6</v>
      </c>
      <c r="AD75" s="596"/>
      <c r="AE75" s="187">
        <v>3</v>
      </c>
      <c r="AF75" s="187">
        <v>3185.5653565367629</v>
      </c>
      <c r="AG75" s="184">
        <f t="shared" si="26"/>
        <v>1061.8551188455876</v>
      </c>
      <c r="AH75" s="181">
        <f t="shared" si="27"/>
        <v>7</v>
      </c>
      <c r="AI75" s="596"/>
      <c r="AJ75" s="187">
        <v>3</v>
      </c>
      <c r="AK75" s="187">
        <v>3187.2041598844153</v>
      </c>
      <c r="AL75" s="184">
        <f t="shared" si="28"/>
        <v>1062.4013866281384</v>
      </c>
      <c r="AM75" s="181">
        <f t="shared" si="29"/>
        <v>7</v>
      </c>
      <c r="AN75" s="596"/>
      <c r="AO75" s="187">
        <v>3</v>
      </c>
      <c r="AP75" s="187">
        <v>3186.6134725316933</v>
      </c>
      <c r="AQ75" s="184">
        <f t="shared" si="30"/>
        <v>1062.2044908438977</v>
      </c>
      <c r="AR75" s="181">
        <f t="shared" si="31"/>
        <v>7</v>
      </c>
      <c r="AS75" s="596"/>
      <c r="AT75" s="187">
        <v>3</v>
      </c>
      <c r="AU75" s="187">
        <v>3186.9734725316926</v>
      </c>
      <c r="AV75" s="184">
        <f t="shared" si="32"/>
        <v>1062.3244908438976</v>
      </c>
      <c r="AW75" s="181">
        <f t="shared" si="33"/>
        <v>8</v>
      </c>
      <c r="AX75" s="596"/>
    </row>
    <row r="76" spans="2:50" ht="14.25" customHeight="1">
      <c r="B76" s="597"/>
      <c r="C76" s="179">
        <v>28</v>
      </c>
      <c r="D76" s="182" t="s">
        <v>440</v>
      </c>
      <c r="E76" s="183">
        <v>4</v>
      </c>
      <c r="F76" s="179">
        <v>3000</v>
      </c>
      <c r="G76" s="184">
        <f t="shared" si="19"/>
        <v>750</v>
      </c>
      <c r="H76" s="598"/>
      <c r="I76" s="185">
        <f t="shared" si="20"/>
        <v>4</v>
      </c>
      <c r="J76" s="185">
        <f t="shared" si="20"/>
        <v>2718.1132340090921</v>
      </c>
      <c r="K76" s="186">
        <f t="shared" si="20"/>
        <v>679.52830850227303</v>
      </c>
      <c r="L76" s="599"/>
      <c r="M76" s="185">
        <f>RANK(K76, K$49:$K$85)</f>
        <v>20</v>
      </c>
      <c r="N76" s="610"/>
      <c r="O76" s="600"/>
      <c r="P76" s="187">
        <v>4</v>
      </c>
      <c r="Q76" s="187">
        <v>2715.8043717482201</v>
      </c>
      <c r="R76" s="184">
        <f t="shared" si="21"/>
        <v>678.95109293705502</v>
      </c>
      <c r="S76" s="181">
        <f t="shared" si="22"/>
        <v>20</v>
      </c>
      <c r="T76" s="596"/>
      <c r="U76" s="187">
        <v>4</v>
      </c>
      <c r="V76" s="187">
        <v>2717.3043717482201</v>
      </c>
      <c r="W76" s="184">
        <f t="shared" si="18"/>
        <v>679.32609293705502</v>
      </c>
      <c r="X76" s="181">
        <f t="shared" si="23"/>
        <v>20</v>
      </c>
      <c r="Y76" s="596"/>
      <c r="Z76" s="187">
        <v>4</v>
      </c>
      <c r="AA76" s="187">
        <v>2718.2043717482197</v>
      </c>
      <c r="AB76" s="184">
        <f t="shared" si="24"/>
        <v>679.55109293705493</v>
      </c>
      <c r="AC76" s="181">
        <f t="shared" si="25"/>
        <v>20</v>
      </c>
      <c r="AD76" s="596"/>
      <c r="AE76" s="187">
        <v>4</v>
      </c>
      <c r="AF76" s="187">
        <v>2718.5043717482199</v>
      </c>
      <c r="AG76" s="184">
        <f t="shared" si="26"/>
        <v>679.62609293705498</v>
      </c>
      <c r="AH76" s="181">
        <f t="shared" si="27"/>
        <v>20</v>
      </c>
      <c r="AI76" s="596"/>
      <c r="AJ76" s="187">
        <v>4</v>
      </c>
      <c r="AK76" s="187">
        <v>2719.40437174822</v>
      </c>
      <c r="AL76" s="184">
        <f t="shared" si="28"/>
        <v>679.851092937055</v>
      </c>
      <c r="AM76" s="181">
        <f t="shared" si="29"/>
        <v>19</v>
      </c>
      <c r="AN76" s="596"/>
      <c r="AO76" s="187">
        <v>4</v>
      </c>
      <c r="AP76" s="187">
        <v>2718.7853896612728</v>
      </c>
      <c r="AQ76" s="184">
        <f t="shared" si="30"/>
        <v>679.6963474153182</v>
      </c>
      <c r="AR76" s="181">
        <f t="shared" si="31"/>
        <v>19</v>
      </c>
      <c r="AS76" s="596"/>
      <c r="AT76" s="187">
        <v>4</v>
      </c>
      <c r="AU76" s="187">
        <v>2718.7853896612723</v>
      </c>
      <c r="AV76" s="184">
        <f t="shared" si="32"/>
        <v>679.69634741531809</v>
      </c>
      <c r="AW76" s="181">
        <f t="shared" si="33"/>
        <v>19</v>
      </c>
      <c r="AX76" s="596"/>
    </row>
    <row r="77" spans="2:50" ht="14.25" customHeight="1">
      <c r="B77" s="597"/>
      <c r="C77" s="179">
        <v>29</v>
      </c>
      <c r="D77" s="182" t="s">
        <v>507</v>
      </c>
      <c r="E77" s="183">
        <v>5</v>
      </c>
      <c r="F77" s="179">
        <v>3000</v>
      </c>
      <c r="G77" s="184">
        <f t="shared" si="19"/>
        <v>600</v>
      </c>
      <c r="H77" s="598"/>
      <c r="I77" s="185">
        <f t="shared" si="20"/>
        <v>5</v>
      </c>
      <c r="J77" s="185">
        <f t="shared" si="20"/>
        <v>2714.706179480509</v>
      </c>
      <c r="K77" s="186">
        <f t="shared" si="20"/>
        <v>542.94123589610194</v>
      </c>
      <c r="L77" s="599"/>
      <c r="M77" s="185">
        <f>RANK(K77, K$49:$K$85)</f>
        <v>32</v>
      </c>
      <c r="N77" s="610"/>
      <c r="O77" s="600"/>
      <c r="P77" s="187">
        <v>5</v>
      </c>
      <c r="Q77" s="187">
        <v>2717.0204651947952</v>
      </c>
      <c r="R77" s="184">
        <f t="shared" si="21"/>
        <v>543.40409303895899</v>
      </c>
      <c r="S77" s="181">
        <f t="shared" si="22"/>
        <v>31</v>
      </c>
      <c r="T77" s="596"/>
      <c r="U77" s="187">
        <v>5</v>
      </c>
      <c r="V77" s="187">
        <v>2715.5204651947952</v>
      </c>
      <c r="W77" s="184">
        <f t="shared" si="18"/>
        <v>543.10409303895904</v>
      </c>
      <c r="X77" s="181">
        <f t="shared" si="23"/>
        <v>32</v>
      </c>
      <c r="Y77" s="596"/>
      <c r="Z77" s="187">
        <v>5</v>
      </c>
      <c r="AA77" s="187">
        <v>2714.6204651947946</v>
      </c>
      <c r="AB77" s="184">
        <f t="shared" si="24"/>
        <v>542.92409303895897</v>
      </c>
      <c r="AC77" s="181">
        <f t="shared" si="25"/>
        <v>32</v>
      </c>
      <c r="AD77" s="596"/>
      <c r="AE77" s="187">
        <v>5</v>
      </c>
      <c r="AF77" s="187">
        <v>2713.720465194795</v>
      </c>
      <c r="AG77" s="184">
        <f t="shared" si="26"/>
        <v>542.74409303895902</v>
      </c>
      <c r="AH77" s="181">
        <f t="shared" si="27"/>
        <v>32</v>
      </c>
      <c r="AI77" s="596"/>
      <c r="AJ77" s="187">
        <v>5</v>
      </c>
      <c r="AK77" s="187">
        <v>2714.0204651947952</v>
      </c>
      <c r="AL77" s="184">
        <f t="shared" si="28"/>
        <v>542.80409303895908</v>
      </c>
      <c r="AM77" s="181">
        <f t="shared" si="29"/>
        <v>32</v>
      </c>
      <c r="AN77" s="596"/>
      <c r="AO77" s="187">
        <v>5</v>
      </c>
      <c r="AP77" s="187">
        <v>2714.3204651947954</v>
      </c>
      <c r="AQ77" s="184">
        <f t="shared" si="30"/>
        <v>542.86409303895903</v>
      </c>
      <c r="AR77" s="181">
        <f t="shared" si="31"/>
        <v>32</v>
      </c>
      <c r="AS77" s="596"/>
      <c r="AT77" s="187">
        <v>5</v>
      </c>
      <c r="AU77" s="187">
        <v>2713.7204651947955</v>
      </c>
      <c r="AV77" s="184">
        <f t="shared" si="32"/>
        <v>542.74409303895914</v>
      </c>
      <c r="AW77" s="181">
        <f t="shared" si="33"/>
        <v>32</v>
      </c>
      <c r="AX77" s="596"/>
    </row>
    <row r="78" spans="2:50" ht="14.25" customHeight="1">
      <c r="B78" s="597"/>
      <c r="C78" s="179">
        <v>30</v>
      </c>
      <c r="D78" s="182" t="s">
        <v>663</v>
      </c>
      <c r="E78" s="183">
        <v>6</v>
      </c>
      <c r="F78" s="179">
        <v>3600</v>
      </c>
      <c r="G78" s="184">
        <f t="shared" si="19"/>
        <v>600</v>
      </c>
      <c r="H78" s="598"/>
      <c r="I78" s="185">
        <f t="shared" si="20"/>
        <v>6</v>
      </c>
      <c r="J78" s="185">
        <f t="shared" si="20"/>
        <v>3261.7906528559424</v>
      </c>
      <c r="K78" s="186">
        <f t="shared" si="20"/>
        <v>543.63177547599037</v>
      </c>
      <c r="L78" s="599"/>
      <c r="M78" s="185">
        <f>RANK(K78, K$49:$K$85)</f>
        <v>30</v>
      </c>
      <c r="N78" s="610"/>
      <c r="O78" s="600"/>
      <c r="P78" s="187">
        <v>6</v>
      </c>
      <c r="Q78" s="187">
        <v>3261.2816741514289</v>
      </c>
      <c r="R78" s="184">
        <f t="shared" si="21"/>
        <v>543.54694569190485</v>
      </c>
      <c r="S78" s="181">
        <f t="shared" si="22"/>
        <v>30</v>
      </c>
      <c r="T78" s="596"/>
      <c r="U78" s="187">
        <v>6</v>
      </c>
      <c r="V78" s="187">
        <v>3261.6416741514286</v>
      </c>
      <c r="W78" s="184">
        <f t="shared" si="18"/>
        <v>543.6069456919048</v>
      </c>
      <c r="X78" s="181">
        <f t="shared" si="23"/>
        <v>30</v>
      </c>
      <c r="Y78" s="596"/>
      <c r="Z78" s="187">
        <v>6</v>
      </c>
      <c r="AA78" s="187">
        <v>3261.6416741514286</v>
      </c>
      <c r="AB78" s="184">
        <f t="shared" si="24"/>
        <v>543.6069456919048</v>
      </c>
      <c r="AC78" s="181">
        <f t="shared" si="25"/>
        <v>30</v>
      </c>
      <c r="AD78" s="596"/>
      <c r="AE78" s="187">
        <v>6</v>
      </c>
      <c r="AF78" s="187">
        <v>3263.4416741514283</v>
      </c>
      <c r="AG78" s="184">
        <f t="shared" si="26"/>
        <v>543.90694569190475</v>
      </c>
      <c r="AH78" s="181">
        <f t="shared" si="27"/>
        <v>30</v>
      </c>
      <c r="AI78" s="596"/>
      <c r="AJ78" s="187">
        <v>6</v>
      </c>
      <c r="AK78" s="187">
        <v>3262.7216741514285</v>
      </c>
      <c r="AL78" s="184">
        <f t="shared" si="28"/>
        <v>543.78694569190475</v>
      </c>
      <c r="AM78" s="181">
        <f t="shared" si="29"/>
        <v>30</v>
      </c>
      <c r="AN78" s="596"/>
      <c r="AO78" s="187">
        <v>6</v>
      </c>
      <c r="AP78" s="187">
        <v>3261.6230996172253</v>
      </c>
      <c r="AQ78" s="184">
        <f t="shared" si="30"/>
        <v>543.60384993620426</v>
      </c>
      <c r="AR78" s="181">
        <f t="shared" si="31"/>
        <v>30</v>
      </c>
      <c r="AS78" s="596"/>
      <c r="AT78" s="187">
        <v>6</v>
      </c>
      <c r="AU78" s="187">
        <v>3260.1830996172253</v>
      </c>
      <c r="AV78" s="184">
        <f t="shared" si="32"/>
        <v>543.36384993620425</v>
      </c>
      <c r="AW78" s="181">
        <f t="shared" si="33"/>
        <v>30</v>
      </c>
      <c r="AX78" s="596"/>
    </row>
    <row r="79" spans="2:50" ht="14.25" customHeight="1">
      <c r="B79" s="597"/>
      <c r="C79" s="179">
        <v>31</v>
      </c>
      <c r="D79" s="182" t="s">
        <v>690</v>
      </c>
      <c r="E79" s="179">
        <v>4</v>
      </c>
      <c r="F79" s="179">
        <v>3000</v>
      </c>
      <c r="G79" s="184">
        <f t="shared" si="19"/>
        <v>750</v>
      </c>
      <c r="H79" s="598"/>
      <c r="I79" s="185">
        <f t="shared" si="20"/>
        <v>4</v>
      </c>
      <c r="J79" s="185">
        <f t="shared" si="20"/>
        <v>2718.7856319400894</v>
      </c>
      <c r="K79" s="186">
        <f t="shared" si="20"/>
        <v>679.69640798502235</v>
      </c>
      <c r="L79" s="599"/>
      <c r="M79" s="185">
        <f>RANK(K79, K$49:$K$85)</f>
        <v>19</v>
      </c>
      <c r="N79" s="610"/>
      <c r="O79" s="600"/>
      <c r="P79" s="187">
        <v>4</v>
      </c>
      <c r="Q79" s="187">
        <v>2718.4427747972322</v>
      </c>
      <c r="R79" s="184">
        <f t="shared" si="21"/>
        <v>679.61069369930806</v>
      </c>
      <c r="S79" s="181">
        <f t="shared" si="22"/>
        <v>19</v>
      </c>
      <c r="T79" s="596"/>
      <c r="U79" s="187">
        <v>4</v>
      </c>
      <c r="V79" s="187">
        <v>2718.4427747972322</v>
      </c>
      <c r="W79" s="184">
        <f t="shared" si="18"/>
        <v>679.61069369930806</v>
      </c>
      <c r="X79" s="181">
        <f t="shared" si="23"/>
        <v>19</v>
      </c>
      <c r="Y79" s="596"/>
      <c r="Z79" s="187">
        <v>4</v>
      </c>
      <c r="AA79" s="187">
        <v>2719.3427747972323</v>
      </c>
      <c r="AB79" s="184">
        <f t="shared" si="24"/>
        <v>679.83569369930808</v>
      </c>
      <c r="AC79" s="181">
        <f t="shared" si="25"/>
        <v>19</v>
      </c>
      <c r="AD79" s="596"/>
      <c r="AE79" s="187">
        <v>4</v>
      </c>
      <c r="AF79" s="187">
        <v>2719.9427747972322</v>
      </c>
      <c r="AG79" s="184">
        <f t="shared" si="26"/>
        <v>679.98569369930806</v>
      </c>
      <c r="AH79" s="181">
        <f t="shared" si="27"/>
        <v>19</v>
      </c>
      <c r="AI79" s="596"/>
      <c r="AJ79" s="187">
        <v>4</v>
      </c>
      <c r="AK79" s="187">
        <v>2719.0427747972317</v>
      </c>
      <c r="AL79" s="184">
        <f t="shared" si="28"/>
        <v>679.76069369930792</v>
      </c>
      <c r="AM79" s="181">
        <f t="shared" si="29"/>
        <v>20</v>
      </c>
      <c r="AN79" s="596"/>
      <c r="AO79" s="187">
        <v>4</v>
      </c>
      <c r="AP79" s="187">
        <v>2718.4427747972322</v>
      </c>
      <c r="AQ79" s="184">
        <f t="shared" si="30"/>
        <v>679.61069369930806</v>
      </c>
      <c r="AR79" s="181">
        <f t="shared" si="31"/>
        <v>20</v>
      </c>
      <c r="AS79" s="596"/>
      <c r="AT79" s="187">
        <v>4</v>
      </c>
      <c r="AU79" s="187">
        <v>2717.8427747972323</v>
      </c>
      <c r="AV79" s="184">
        <f t="shared" si="32"/>
        <v>679.46069369930808</v>
      </c>
      <c r="AW79" s="181">
        <f t="shared" si="33"/>
        <v>20</v>
      </c>
      <c r="AX79" s="596"/>
    </row>
    <row r="80" spans="2:50" ht="14.25" customHeight="1">
      <c r="B80" s="597"/>
      <c r="C80" s="179">
        <v>32</v>
      </c>
      <c r="D80" s="182" t="s">
        <v>691</v>
      </c>
      <c r="E80" s="179">
        <v>6</v>
      </c>
      <c r="F80" s="179">
        <v>3600</v>
      </c>
      <c r="G80" s="184">
        <f t="shared" si="19"/>
        <v>600</v>
      </c>
      <c r="H80" s="598"/>
      <c r="I80" s="185">
        <f t="shared" ref="I80:K83" si="34">AVERAGE(P80,U80,Z80,AE80,AJ80,AO80,AT80)</f>
        <v>6</v>
      </c>
      <c r="J80" s="185">
        <f t="shared" si="34"/>
        <v>3259.7911206895401</v>
      </c>
      <c r="K80" s="186">
        <f t="shared" si="34"/>
        <v>543.29852011492335</v>
      </c>
      <c r="L80" s="599"/>
      <c r="M80" s="185">
        <f>RANK(K80, K$49:$K$85)</f>
        <v>31</v>
      </c>
      <c r="N80" s="610"/>
      <c r="O80" s="600"/>
      <c r="P80" s="187">
        <v>6</v>
      </c>
      <c r="Q80" s="187">
        <v>3259.328263546683</v>
      </c>
      <c r="R80" s="184">
        <f t="shared" si="21"/>
        <v>543.22137725778055</v>
      </c>
      <c r="S80" s="181">
        <f t="shared" si="22"/>
        <v>32</v>
      </c>
      <c r="T80" s="596"/>
      <c r="U80" s="187">
        <v>6</v>
      </c>
      <c r="V80" s="187">
        <v>3261.1282635466832</v>
      </c>
      <c r="W80" s="184">
        <f t="shared" si="18"/>
        <v>543.5213772577805</v>
      </c>
      <c r="X80" s="181">
        <f t="shared" si="23"/>
        <v>31</v>
      </c>
      <c r="Y80" s="596"/>
      <c r="Z80" s="187">
        <v>6</v>
      </c>
      <c r="AA80" s="187">
        <v>3260.7682635466836</v>
      </c>
      <c r="AB80" s="184">
        <f t="shared" si="24"/>
        <v>543.46137725778055</v>
      </c>
      <c r="AC80" s="181">
        <f t="shared" si="25"/>
        <v>31</v>
      </c>
      <c r="AD80" s="596"/>
      <c r="AE80" s="187">
        <v>6</v>
      </c>
      <c r="AF80" s="187">
        <v>3259.6882635466832</v>
      </c>
      <c r="AG80" s="184">
        <f t="shared" si="26"/>
        <v>543.28137725778049</v>
      </c>
      <c r="AH80" s="181">
        <f t="shared" si="27"/>
        <v>31</v>
      </c>
      <c r="AI80" s="596"/>
      <c r="AJ80" s="187">
        <v>6</v>
      </c>
      <c r="AK80" s="187">
        <v>3260.0482635466828</v>
      </c>
      <c r="AL80" s="184">
        <f t="shared" si="28"/>
        <v>543.34137725778044</v>
      </c>
      <c r="AM80" s="181">
        <f t="shared" si="29"/>
        <v>31</v>
      </c>
      <c r="AN80" s="596"/>
      <c r="AO80" s="187">
        <v>6</v>
      </c>
      <c r="AP80" s="187">
        <v>3258.9682635466825</v>
      </c>
      <c r="AQ80" s="184">
        <f t="shared" si="30"/>
        <v>543.16137725778037</v>
      </c>
      <c r="AR80" s="181">
        <f t="shared" si="31"/>
        <v>31</v>
      </c>
      <c r="AS80" s="596"/>
      <c r="AT80" s="187">
        <v>6</v>
      </c>
      <c r="AU80" s="187">
        <v>3258.6082635466823</v>
      </c>
      <c r="AV80" s="184">
        <f t="shared" si="32"/>
        <v>543.10137725778043</v>
      </c>
      <c r="AW80" s="181">
        <f t="shared" si="33"/>
        <v>31</v>
      </c>
      <c r="AX80" s="596"/>
    </row>
    <row r="81" spans="1:50" ht="14.25" customHeight="1">
      <c r="B81" s="597"/>
      <c r="C81" s="179">
        <v>33</v>
      </c>
      <c r="D81" s="182" t="s">
        <v>484</v>
      </c>
      <c r="E81" s="179">
        <v>13</v>
      </c>
      <c r="F81" s="179">
        <v>3600</v>
      </c>
      <c r="G81" s="184">
        <f t="shared" si="19"/>
        <v>276.92307692307691</v>
      </c>
      <c r="H81" s="598"/>
      <c r="I81" s="185">
        <f t="shared" si="34"/>
        <v>13</v>
      </c>
      <c r="J81" s="185">
        <f t="shared" si="34"/>
        <v>3260.8923398549782</v>
      </c>
      <c r="K81" s="186">
        <f t="shared" si="34"/>
        <v>250.83787229653686</v>
      </c>
      <c r="L81" s="599"/>
      <c r="M81" s="185">
        <f>RANK(K81, K$49:$K$85)</f>
        <v>35</v>
      </c>
      <c r="N81" s="610"/>
      <c r="O81" s="600"/>
      <c r="P81" s="187">
        <v>13</v>
      </c>
      <c r="Q81" s="187">
        <v>3260.9437684264062</v>
      </c>
      <c r="R81" s="184">
        <f t="shared" si="21"/>
        <v>250.84182834049278</v>
      </c>
      <c r="S81" s="181">
        <f t="shared" si="22"/>
        <v>35</v>
      </c>
      <c r="T81" s="596"/>
      <c r="U81" s="187">
        <v>13</v>
      </c>
      <c r="V81" s="187">
        <v>3261.3037684264064</v>
      </c>
      <c r="W81" s="184">
        <f t="shared" si="18"/>
        <v>250.8695206481851</v>
      </c>
      <c r="X81" s="181">
        <f t="shared" si="23"/>
        <v>35</v>
      </c>
      <c r="Y81" s="596"/>
      <c r="Z81" s="187">
        <v>13</v>
      </c>
      <c r="AA81" s="187">
        <v>3262.3837684264067</v>
      </c>
      <c r="AB81" s="184">
        <f t="shared" si="24"/>
        <v>250.95259757126206</v>
      </c>
      <c r="AC81" s="181">
        <f t="shared" si="25"/>
        <v>35</v>
      </c>
      <c r="AD81" s="596"/>
      <c r="AE81" s="187">
        <v>13</v>
      </c>
      <c r="AF81" s="187">
        <v>3262.0237684264071</v>
      </c>
      <c r="AG81" s="184">
        <f t="shared" si="26"/>
        <v>250.92490526356977</v>
      </c>
      <c r="AH81" s="181">
        <f t="shared" si="27"/>
        <v>35</v>
      </c>
      <c r="AI81" s="596"/>
      <c r="AJ81" s="187">
        <v>13</v>
      </c>
      <c r="AK81" s="187">
        <v>3260.2237684264073</v>
      </c>
      <c r="AL81" s="184">
        <f t="shared" si="28"/>
        <v>250.78644372510826</v>
      </c>
      <c r="AM81" s="181">
        <f t="shared" si="29"/>
        <v>35</v>
      </c>
      <c r="AN81" s="596"/>
      <c r="AO81" s="187">
        <v>13</v>
      </c>
      <c r="AP81" s="187">
        <v>3259.1437684264083</v>
      </c>
      <c r="AQ81" s="184">
        <f t="shared" si="30"/>
        <v>250.70336680203141</v>
      </c>
      <c r="AR81" s="181">
        <f t="shared" si="31"/>
        <v>35</v>
      </c>
      <c r="AS81" s="596"/>
      <c r="AT81" s="187">
        <v>13</v>
      </c>
      <c r="AU81" s="187">
        <v>3260.2237684264087</v>
      </c>
      <c r="AV81" s="184">
        <f t="shared" si="32"/>
        <v>250.78644372510837</v>
      </c>
      <c r="AW81" s="181">
        <f t="shared" si="33"/>
        <v>35</v>
      </c>
      <c r="AX81" s="596"/>
    </row>
    <row r="82" spans="1:50" ht="14.25" customHeight="1">
      <c r="B82" s="597"/>
      <c r="C82" s="179">
        <v>34</v>
      </c>
      <c r="D82" s="182" t="s">
        <v>345</v>
      </c>
      <c r="E82" s="179">
        <v>3</v>
      </c>
      <c r="F82" s="179">
        <v>3000</v>
      </c>
      <c r="G82" s="184">
        <f t="shared" si="19"/>
        <v>1000</v>
      </c>
      <c r="H82" s="598"/>
      <c r="I82" s="185">
        <f t="shared" si="34"/>
        <v>3</v>
      </c>
      <c r="J82" s="185">
        <f t="shared" si="34"/>
        <v>2717.548821497784</v>
      </c>
      <c r="K82" s="186">
        <f t="shared" si="34"/>
        <v>905.84960716592775</v>
      </c>
      <c r="L82" s="599"/>
      <c r="M82" s="185">
        <f>RANK(K82, K$49:$K$85)</f>
        <v>14</v>
      </c>
      <c r="N82" s="610"/>
      <c r="O82" s="600"/>
      <c r="P82" s="187">
        <v>3</v>
      </c>
      <c r="Q82" s="187">
        <v>2717.4250361065106</v>
      </c>
      <c r="R82" s="184">
        <f t="shared" si="21"/>
        <v>905.80834536883685</v>
      </c>
      <c r="S82" s="181">
        <f t="shared" si="22"/>
        <v>14</v>
      </c>
      <c r="T82" s="596"/>
      <c r="U82" s="187">
        <v>3</v>
      </c>
      <c r="V82" s="187">
        <v>2718.9250361065101</v>
      </c>
      <c r="W82" s="184">
        <f t="shared" si="18"/>
        <v>906.30834536883674</v>
      </c>
      <c r="X82" s="181">
        <f t="shared" si="23"/>
        <v>12</v>
      </c>
      <c r="Y82" s="596"/>
      <c r="Z82" s="187">
        <v>3</v>
      </c>
      <c r="AA82" s="187">
        <v>2718.9250361065097</v>
      </c>
      <c r="AB82" s="184">
        <f t="shared" si="24"/>
        <v>906.30834536883651</v>
      </c>
      <c r="AC82" s="181">
        <f t="shared" si="25"/>
        <v>12</v>
      </c>
      <c r="AD82" s="596"/>
      <c r="AE82" s="187">
        <v>3</v>
      </c>
      <c r="AF82" s="187">
        <v>2717.7250361065098</v>
      </c>
      <c r="AG82" s="184">
        <f t="shared" si="26"/>
        <v>905.90834536883665</v>
      </c>
      <c r="AH82" s="181">
        <f t="shared" si="27"/>
        <v>13</v>
      </c>
      <c r="AI82" s="596"/>
      <c r="AJ82" s="187">
        <v>3</v>
      </c>
      <c r="AK82" s="187">
        <v>2716.52503610651</v>
      </c>
      <c r="AL82" s="184">
        <f t="shared" si="28"/>
        <v>905.50834536883667</v>
      </c>
      <c r="AM82" s="181">
        <f t="shared" si="29"/>
        <v>14</v>
      </c>
      <c r="AN82" s="596"/>
      <c r="AO82" s="187">
        <v>3</v>
      </c>
      <c r="AP82" s="187">
        <v>2716.2250361065098</v>
      </c>
      <c r="AQ82" s="184">
        <f t="shared" si="30"/>
        <v>905.40834536883665</v>
      </c>
      <c r="AR82" s="181">
        <f t="shared" si="31"/>
        <v>14</v>
      </c>
      <c r="AS82" s="596"/>
      <c r="AT82" s="187">
        <v>3</v>
      </c>
      <c r="AU82" s="187">
        <v>2717.0915338454242</v>
      </c>
      <c r="AV82" s="184">
        <f t="shared" si="32"/>
        <v>905.69717794847475</v>
      </c>
      <c r="AW82" s="181">
        <f t="shared" si="33"/>
        <v>14</v>
      </c>
      <c r="AX82" s="596"/>
    </row>
    <row r="83" spans="1:50" ht="14.25" customHeight="1">
      <c r="B83" s="597"/>
      <c r="C83" s="179">
        <v>35</v>
      </c>
      <c r="D83" s="182" t="s">
        <v>436</v>
      </c>
      <c r="E83" s="179">
        <v>12</v>
      </c>
      <c r="F83" s="179">
        <v>3600</v>
      </c>
      <c r="G83" s="184">
        <f t="shared" si="19"/>
        <v>300</v>
      </c>
      <c r="H83" s="598"/>
      <c r="I83" s="185">
        <f t="shared" si="34"/>
        <v>12</v>
      </c>
      <c r="J83" s="185">
        <f t="shared" si="34"/>
        <v>3120.7426992668366</v>
      </c>
      <c r="K83" s="186">
        <f t="shared" si="34"/>
        <v>260.06189160556971</v>
      </c>
      <c r="L83" s="599"/>
      <c r="M83" s="185">
        <f>RANK(K83, K$49:$K$85)</f>
        <v>33</v>
      </c>
      <c r="N83" s="610"/>
      <c r="O83" s="600"/>
      <c r="P83" s="187">
        <v>12</v>
      </c>
      <c r="Q83" s="187">
        <v>3119.9712706954078</v>
      </c>
      <c r="R83" s="184">
        <f t="shared" si="21"/>
        <v>259.99760589128397</v>
      </c>
      <c r="S83" s="181">
        <f t="shared" si="22"/>
        <v>33</v>
      </c>
      <c r="T83" s="596"/>
      <c r="U83" s="187">
        <v>12</v>
      </c>
      <c r="V83" s="187">
        <v>3120.3312706954075</v>
      </c>
      <c r="W83" s="184">
        <f t="shared" si="18"/>
        <v>260.02760589128394</v>
      </c>
      <c r="X83" s="181">
        <f t="shared" si="23"/>
        <v>33</v>
      </c>
      <c r="Y83" s="596"/>
      <c r="Z83" s="187">
        <v>12</v>
      </c>
      <c r="AA83" s="187">
        <v>3119.9712706954074</v>
      </c>
      <c r="AB83" s="184">
        <f t="shared" si="24"/>
        <v>259.99760589128397</v>
      </c>
      <c r="AC83" s="181">
        <f t="shared" si="25"/>
        <v>33</v>
      </c>
      <c r="AD83" s="596"/>
      <c r="AE83" s="187">
        <v>12</v>
      </c>
      <c r="AF83" s="187">
        <v>3121.0512706954078</v>
      </c>
      <c r="AG83" s="184">
        <f t="shared" si="26"/>
        <v>260.087605891284</v>
      </c>
      <c r="AH83" s="181">
        <f t="shared" si="27"/>
        <v>33</v>
      </c>
      <c r="AI83" s="596"/>
      <c r="AJ83" s="187">
        <v>12</v>
      </c>
      <c r="AK83" s="187">
        <v>3121.0512706954078</v>
      </c>
      <c r="AL83" s="184">
        <f t="shared" si="28"/>
        <v>260.087605891284</v>
      </c>
      <c r="AM83" s="181">
        <f t="shared" si="29"/>
        <v>33</v>
      </c>
      <c r="AN83" s="596"/>
      <c r="AO83" s="187">
        <v>12</v>
      </c>
      <c r="AP83" s="187">
        <v>3122.1312706954077</v>
      </c>
      <c r="AQ83" s="184">
        <f t="shared" si="30"/>
        <v>260.17760589128397</v>
      </c>
      <c r="AR83" s="181">
        <f t="shared" si="31"/>
        <v>33</v>
      </c>
      <c r="AS83" s="596"/>
      <c r="AT83" s="187">
        <v>12</v>
      </c>
      <c r="AU83" s="187">
        <v>3120.6912706954081</v>
      </c>
      <c r="AV83" s="184">
        <f t="shared" si="32"/>
        <v>260.05760589128403</v>
      </c>
      <c r="AW83" s="181">
        <f t="shared" si="33"/>
        <v>34</v>
      </c>
      <c r="AX83" s="596"/>
    </row>
    <row r="84" spans="1:50" ht="14.25" customHeight="1">
      <c r="B84" s="597"/>
      <c r="C84" s="179">
        <v>36</v>
      </c>
      <c r="D84" s="182"/>
      <c r="E84" s="179"/>
      <c r="F84" s="179"/>
      <c r="G84" s="184"/>
      <c r="H84" s="598"/>
      <c r="I84" s="185"/>
      <c r="J84" s="185"/>
      <c r="K84" s="186"/>
      <c r="L84" s="599"/>
      <c r="M84" s="185"/>
      <c r="N84" s="610"/>
      <c r="O84" s="600"/>
      <c r="P84" s="187"/>
      <c r="Q84" s="187"/>
      <c r="R84" s="184"/>
      <c r="S84" s="181"/>
      <c r="T84" s="596"/>
      <c r="U84" s="187"/>
      <c r="V84" s="187"/>
      <c r="W84" s="184"/>
      <c r="X84" s="181"/>
      <c r="Y84" s="596"/>
      <c r="Z84" s="187"/>
      <c r="AA84" s="187"/>
      <c r="AB84" s="184"/>
      <c r="AC84" s="181"/>
      <c r="AD84" s="596"/>
      <c r="AE84" s="187"/>
      <c r="AF84" s="187"/>
      <c r="AG84" s="184"/>
      <c r="AH84" s="181"/>
      <c r="AI84" s="596"/>
      <c r="AJ84" s="187"/>
      <c r="AK84" s="187"/>
      <c r="AL84" s="184"/>
      <c r="AM84" s="181"/>
      <c r="AN84" s="596"/>
      <c r="AO84" s="187"/>
      <c r="AP84" s="187"/>
      <c r="AQ84" s="184"/>
      <c r="AR84" s="181"/>
      <c r="AS84" s="596"/>
      <c r="AT84" s="187"/>
      <c r="AU84" s="187"/>
      <c r="AV84" s="184"/>
      <c r="AW84" s="181"/>
      <c r="AX84" s="596"/>
    </row>
    <row r="85" spans="1:50" ht="14.25" customHeight="1">
      <c r="B85" s="597"/>
      <c r="C85" s="179">
        <v>37</v>
      </c>
      <c r="D85" s="182"/>
      <c r="E85" s="179"/>
      <c r="F85" s="179"/>
      <c r="G85" s="184"/>
      <c r="H85" s="598"/>
      <c r="I85" s="185"/>
      <c r="J85" s="185"/>
      <c r="K85" s="186"/>
      <c r="L85" s="599"/>
      <c r="M85" s="185"/>
      <c r="N85" s="610"/>
      <c r="O85" s="600"/>
      <c r="P85" s="187"/>
      <c r="Q85" s="187"/>
      <c r="R85" s="184"/>
      <c r="S85" s="181"/>
      <c r="T85" s="596"/>
      <c r="U85" s="187"/>
      <c r="V85" s="187"/>
      <c r="W85" s="184"/>
      <c r="X85" s="181"/>
      <c r="Y85" s="596"/>
      <c r="Z85" s="187"/>
      <c r="AA85" s="187"/>
      <c r="AB85" s="184"/>
      <c r="AC85" s="181"/>
      <c r="AD85" s="596"/>
      <c r="AE85" s="187"/>
      <c r="AF85" s="187"/>
      <c r="AG85" s="184"/>
      <c r="AH85" s="181"/>
      <c r="AI85" s="596"/>
      <c r="AJ85" s="187"/>
      <c r="AK85" s="187"/>
      <c r="AL85" s="184"/>
      <c r="AM85" s="181"/>
      <c r="AN85" s="596"/>
      <c r="AO85" s="187"/>
      <c r="AP85" s="187"/>
      <c r="AQ85" s="184"/>
      <c r="AR85" s="181"/>
      <c r="AS85" s="596"/>
      <c r="AT85" s="187"/>
      <c r="AU85" s="187"/>
      <c r="AV85" s="184"/>
      <c r="AW85" s="181"/>
      <c r="AX85" s="596"/>
    </row>
    <row r="86" spans="1:50" ht="14.25" customHeight="1">
      <c r="B86" s="611" t="s">
        <v>826</v>
      </c>
      <c r="C86" s="611"/>
      <c r="D86" s="611"/>
      <c r="E86" s="611"/>
      <c r="F86" s="611"/>
      <c r="G86" s="611"/>
      <c r="H86" s="611"/>
      <c r="I86" s="611"/>
      <c r="J86" s="611"/>
      <c r="K86" s="611"/>
      <c r="L86" s="611"/>
      <c r="M86" s="612"/>
      <c r="N86" s="615" t="s">
        <v>363</v>
      </c>
      <c r="O86" s="615" t="s">
        <v>105</v>
      </c>
      <c r="P86" s="617">
        <v>46217</v>
      </c>
      <c r="Q86" s="618"/>
      <c r="R86" s="618"/>
      <c r="S86" s="618"/>
      <c r="T86" s="618"/>
      <c r="U86" s="619">
        <v>46218</v>
      </c>
      <c r="V86" s="620"/>
      <c r="W86" s="620"/>
      <c r="X86" s="620"/>
      <c r="Y86" s="620"/>
      <c r="Z86" s="617">
        <v>46219</v>
      </c>
      <c r="AA86" s="618"/>
      <c r="AB86" s="618"/>
      <c r="AC86" s="618"/>
      <c r="AD86" s="618"/>
      <c r="AE86" s="619">
        <v>46220</v>
      </c>
      <c r="AF86" s="620"/>
      <c r="AG86" s="620"/>
      <c r="AH86" s="620"/>
      <c r="AI86" s="620"/>
      <c r="AJ86" s="602">
        <v>46221</v>
      </c>
      <c r="AK86" s="603"/>
      <c r="AL86" s="603"/>
      <c r="AM86" s="603"/>
      <c r="AN86" s="604"/>
      <c r="AO86" s="619">
        <v>46222</v>
      </c>
      <c r="AP86" s="620"/>
      <c r="AQ86" s="620"/>
      <c r="AR86" s="620"/>
      <c r="AS86" s="620"/>
      <c r="AT86" s="602">
        <v>46223</v>
      </c>
      <c r="AU86" s="603"/>
      <c r="AV86" s="603"/>
      <c r="AW86" s="603"/>
      <c r="AX86" s="604"/>
    </row>
    <row r="87" spans="1:50" ht="14.25" customHeight="1">
      <c r="B87" s="613"/>
      <c r="C87" s="613"/>
      <c r="D87" s="613"/>
      <c r="E87" s="613"/>
      <c r="F87" s="613"/>
      <c r="G87" s="613"/>
      <c r="H87" s="613"/>
      <c r="I87" s="613"/>
      <c r="J87" s="613"/>
      <c r="K87" s="613"/>
      <c r="L87" s="613"/>
      <c r="M87" s="614"/>
      <c r="N87" s="616"/>
      <c r="O87" s="616"/>
      <c r="P87" s="605">
        <v>46196</v>
      </c>
      <c r="Q87" s="605"/>
      <c r="R87" s="605"/>
      <c r="S87" s="605"/>
      <c r="T87" s="605"/>
      <c r="U87" s="606">
        <v>46197</v>
      </c>
      <c r="V87" s="606"/>
      <c r="W87" s="606"/>
      <c r="X87" s="606"/>
      <c r="Y87" s="606"/>
      <c r="Z87" s="605">
        <v>46198</v>
      </c>
      <c r="AA87" s="605"/>
      <c r="AB87" s="605"/>
      <c r="AC87" s="605"/>
      <c r="AD87" s="605"/>
      <c r="AE87" s="606">
        <v>46199</v>
      </c>
      <c r="AF87" s="606"/>
      <c r="AG87" s="606"/>
      <c r="AH87" s="606"/>
      <c r="AI87" s="606"/>
      <c r="AJ87" s="607">
        <v>46200</v>
      </c>
      <c r="AK87" s="608"/>
      <c r="AL87" s="608"/>
      <c r="AM87" s="608"/>
      <c r="AN87" s="609"/>
      <c r="AO87" s="606">
        <v>46201</v>
      </c>
      <c r="AP87" s="606"/>
      <c r="AQ87" s="606"/>
      <c r="AR87" s="606"/>
      <c r="AS87" s="606"/>
      <c r="AT87" s="607">
        <v>46202</v>
      </c>
      <c r="AU87" s="608"/>
      <c r="AV87" s="608"/>
      <c r="AW87" s="608"/>
      <c r="AX87" s="609"/>
    </row>
    <row r="88" spans="1:50" ht="14.25" customHeight="1">
      <c r="B88" s="597" t="s">
        <v>162</v>
      </c>
      <c r="C88" s="597" t="s">
        <v>157</v>
      </c>
      <c r="D88" s="597"/>
      <c r="E88" s="597" t="s">
        <v>158</v>
      </c>
      <c r="F88" s="597"/>
      <c r="G88" s="597"/>
      <c r="H88" s="597" t="s">
        <v>163</v>
      </c>
      <c r="I88" s="601" t="s">
        <v>364</v>
      </c>
      <c r="J88" s="601"/>
      <c r="K88" s="601"/>
      <c r="L88" s="601" t="s">
        <v>163</v>
      </c>
      <c r="M88" s="601" t="s">
        <v>165</v>
      </c>
      <c r="N88" s="610"/>
      <c r="O88" s="600" t="s">
        <v>164</v>
      </c>
      <c r="P88" s="600" t="s">
        <v>160</v>
      </c>
      <c r="Q88" s="600"/>
      <c r="R88" s="600"/>
      <c r="S88" s="600"/>
      <c r="T88" s="600" t="s">
        <v>163</v>
      </c>
      <c r="U88" s="600" t="s">
        <v>160</v>
      </c>
      <c r="V88" s="600"/>
      <c r="W88" s="600"/>
      <c r="X88" s="600"/>
      <c r="Y88" s="600" t="s">
        <v>163</v>
      </c>
      <c r="Z88" s="600" t="s">
        <v>160</v>
      </c>
      <c r="AA88" s="600"/>
      <c r="AB88" s="600"/>
      <c r="AC88" s="600"/>
      <c r="AD88" s="600" t="s">
        <v>163</v>
      </c>
      <c r="AE88" s="600" t="s">
        <v>160</v>
      </c>
      <c r="AF88" s="600"/>
      <c r="AG88" s="600"/>
      <c r="AH88" s="600"/>
      <c r="AI88" s="600" t="s">
        <v>163</v>
      </c>
      <c r="AJ88" s="600" t="s">
        <v>160</v>
      </c>
      <c r="AK88" s="600"/>
      <c r="AL88" s="600"/>
      <c r="AM88" s="600"/>
      <c r="AN88" s="600" t="s">
        <v>163</v>
      </c>
      <c r="AO88" s="600" t="s">
        <v>160</v>
      </c>
      <c r="AP88" s="600"/>
      <c r="AQ88" s="600"/>
      <c r="AR88" s="600"/>
      <c r="AS88" s="600" t="s">
        <v>163</v>
      </c>
      <c r="AT88" s="600" t="s">
        <v>160</v>
      </c>
      <c r="AU88" s="600"/>
      <c r="AV88" s="600"/>
      <c r="AW88" s="600"/>
      <c r="AX88" s="600" t="s">
        <v>163</v>
      </c>
    </row>
    <row r="89" spans="1:50" ht="14.25" customHeight="1">
      <c r="B89" s="597"/>
      <c r="C89" s="597"/>
      <c r="D89" s="597"/>
      <c r="E89" s="597" t="s">
        <v>365</v>
      </c>
      <c r="F89" s="597"/>
      <c r="G89" s="597"/>
      <c r="H89" s="597"/>
      <c r="I89" s="601" t="s">
        <v>365</v>
      </c>
      <c r="J89" s="601"/>
      <c r="K89" s="601"/>
      <c r="L89" s="601"/>
      <c r="M89" s="601"/>
      <c r="N89" s="610"/>
      <c r="O89" s="600"/>
      <c r="P89" s="600" t="s">
        <v>366</v>
      </c>
      <c r="Q89" s="600"/>
      <c r="R89" s="600"/>
      <c r="S89" s="600"/>
      <c r="T89" s="600"/>
      <c r="U89" s="600" t="s">
        <v>366</v>
      </c>
      <c r="V89" s="600"/>
      <c r="W89" s="600"/>
      <c r="X89" s="600"/>
      <c r="Y89" s="600"/>
      <c r="Z89" s="600" t="s">
        <v>366</v>
      </c>
      <c r="AA89" s="600"/>
      <c r="AB89" s="600"/>
      <c r="AC89" s="600"/>
      <c r="AD89" s="600"/>
      <c r="AE89" s="600" t="s">
        <v>366</v>
      </c>
      <c r="AF89" s="600"/>
      <c r="AG89" s="600"/>
      <c r="AH89" s="600"/>
      <c r="AI89" s="600"/>
      <c r="AJ89" s="600" t="s">
        <v>366</v>
      </c>
      <c r="AK89" s="600"/>
      <c r="AL89" s="600"/>
      <c r="AM89" s="600"/>
      <c r="AN89" s="600"/>
      <c r="AO89" s="600" t="s">
        <v>366</v>
      </c>
      <c r="AP89" s="600"/>
      <c r="AQ89" s="600"/>
      <c r="AR89" s="600"/>
      <c r="AS89" s="600"/>
      <c r="AT89" s="600" t="s">
        <v>366</v>
      </c>
      <c r="AU89" s="600"/>
      <c r="AV89" s="600"/>
      <c r="AW89" s="600"/>
      <c r="AX89" s="600"/>
    </row>
    <row r="90" spans="1:50" ht="14.25" customHeight="1">
      <c r="A90" s="176"/>
      <c r="B90" s="597"/>
      <c r="C90" s="597"/>
      <c r="D90" s="597"/>
      <c r="E90" s="179" t="s">
        <v>159</v>
      </c>
      <c r="F90" s="179" t="s">
        <v>367</v>
      </c>
      <c r="G90" s="179" t="s">
        <v>161</v>
      </c>
      <c r="H90" s="597"/>
      <c r="I90" s="180" t="s">
        <v>159</v>
      </c>
      <c r="J90" s="180" t="s">
        <v>367</v>
      </c>
      <c r="K90" s="180" t="s">
        <v>161</v>
      </c>
      <c r="L90" s="601"/>
      <c r="M90" s="601"/>
      <c r="N90" s="610"/>
      <c r="O90" s="600"/>
      <c r="P90" s="181" t="s">
        <v>159</v>
      </c>
      <c r="Q90" s="181" t="s">
        <v>367</v>
      </c>
      <c r="R90" s="181" t="s">
        <v>161</v>
      </c>
      <c r="S90" s="181" t="s">
        <v>165</v>
      </c>
      <c r="T90" s="600"/>
      <c r="U90" s="181" t="s">
        <v>159</v>
      </c>
      <c r="V90" s="181" t="s">
        <v>367</v>
      </c>
      <c r="W90" s="181" t="s">
        <v>161</v>
      </c>
      <c r="X90" s="181" t="s">
        <v>165</v>
      </c>
      <c r="Y90" s="600"/>
      <c r="Z90" s="181" t="s">
        <v>159</v>
      </c>
      <c r="AA90" s="181" t="s">
        <v>367</v>
      </c>
      <c r="AB90" s="181" t="s">
        <v>161</v>
      </c>
      <c r="AC90" s="181" t="s">
        <v>165</v>
      </c>
      <c r="AD90" s="600"/>
      <c r="AE90" s="181" t="s">
        <v>159</v>
      </c>
      <c r="AF90" s="181" t="s">
        <v>367</v>
      </c>
      <c r="AG90" s="181" t="s">
        <v>161</v>
      </c>
      <c r="AH90" s="181" t="s">
        <v>165</v>
      </c>
      <c r="AI90" s="600"/>
      <c r="AJ90" s="181" t="s">
        <v>159</v>
      </c>
      <c r="AK90" s="181" t="s">
        <v>367</v>
      </c>
      <c r="AL90" s="181" t="s">
        <v>161</v>
      </c>
      <c r="AM90" s="181" t="s">
        <v>165</v>
      </c>
      <c r="AN90" s="600"/>
      <c r="AO90" s="181" t="s">
        <v>159</v>
      </c>
      <c r="AP90" s="181" t="s">
        <v>367</v>
      </c>
      <c r="AQ90" s="181" t="s">
        <v>161</v>
      </c>
      <c r="AR90" s="181" t="s">
        <v>165</v>
      </c>
      <c r="AS90" s="600"/>
      <c r="AT90" s="181" t="s">
        <v>159</v>
      </c>
      <c r="AU90" s="181" t="s">
        <v>367</v>
      </c>
      <c r="AV90" s="181" t="s">
        <v>161</v>
      </c>
      <c r="AW90" s="181" t="s">
        <v>165</v>
      </c>
      <c r="AX90" s="600"/>
    </row>
    <row r="91" spans="1:50" ht="14.25" customHeight="1">
      <c r="B91" s="597" t="s">
        <v>368</v>
      </c>
      <c r="C91" s="179">
        <v>1</v>
      </c>
      <c r="D91" s="182" t="s">
        <v>393</v>
      </c>
      <c r="E91" s="183">
        <v>4</v>
      </c>
      <c r="F91" s="179">
        <v>3300</v>
      </c>
      <c r="G91" s="184">
        <f>IFERROR(F91/E91,"")</f>
        <v>825</v>
      </c>
      <c r="H91" s="598">
        <f>AVERAGE(G91:G127)</f>
        <v>855.88675213675219</v>
      </c>
      <c r="I91" s="185">
        <f>AVERAGE(P91,U91,Z91,AE91,AJ91,AO91,AT91)</f>
        <v>4</v>
      </c>
      <c r="J91" s="185">
        <f>AVERAGE(Q91,V91,AA91,AF91,AK91,AP91,AU91)</f>
        <v>2987.7257142857152</v>
      </c>
      <c r="K91" s="186">
        <f>AVERAGE(R91,W91,AB91,AG91,AL91,AQ91,AV91)</f>
        <v>746.9314285714288</v>
      </c>
      <c r="L91" s="599">
        <f>IFERROR(AVERAGE(K91:K127),"-")</f>
        <v>769.53148065846824</v>
      </c>
      <c r="M91" s="185">
        <f>RANK(K91, K$91:$K$127)</f>
        <v>17</v>
      </c>
      <c r="N91" s="610"/>
      <c r="O91" s="600"/>
      <c r="P91" s="187">
        <v>4</v>
      </c>
      <c r="Q91" s="187">
        <v>2989.1400000000008</v>
      </c>
      <c r="R91" s="184">
        <f>IFERROR(Q91/P91,"")</f>
        <v>747.2850000000002</v>
      </c>
      <c r="S91" s="181">
        <f>RANK(R91, R$91:R$127)</f>
        <v>17</v>
      </c>
      <c r="T91" s="596">
        <f>AVERAGE(R91:R127)</f>
        <v>763.2572586719117</v>
      </c>
      <c r="U91" s="187">
        <v>4</v>
      </c>
      <c r="V91" s="187">
        <v>2989.1400000000008</v>
      </c>
      <c r="W91" s="184">
        <f t="shared" ref="W91:W126" si="35">IFERROR(V91/U91,"")</f>
        <v>747.2850000000002</v>
      </c>
      <c r="X91" s="181">
        <f>RANK(W91, W$91:W$127)</f>
        <v>16</v>
      </c>
      <c r="Y91" s="596">
        <f>AVERAGE(W91:W127)</f>
        <v>761.27559860536633</v>
      </c>
      <c r="Z91" s="187">
        <v>4</v>
      </c>
      <c r="AA91" s="187">
        <v>2987.8200000000011</v>
      </c>
      <c r="AB91" s="184">
        <f>IFERROR(AA91/Z91,"")</f>
        <v>746.95500000000027</v>
      </c>
      <c r="AC91" s="181">
        <f>RANK(AB91, AB$91:AB$127)</f>
        <v>16</v>
      </c>
      <c r="AD91" s="596">
        <f>AVERAGE(AB91:AB127)</f>
        <v>761.63191708789384</v>
      </c>
      <c r="AE91" s="187">
        <v>4</v>
      </c>
      <c r="AF91" s="187">
        <v>2987.8200000000011</v>
      </c>
      <c r="AG91" s="184">
        <f>IFERROR(AF91/AE91,"")</f>
        <v>746.95500000000027</v>
      </c>
      <c r="AH91" s="181">
        <f>RANK(AG91, AG$91:AG$127)</f>
        <v>16</v>
      </c>
      <c r="AI91" s="596">
        <f>AVERAGE(AG91:AG127)</f>
        <v>762.05514857723574</v>
      </c>
      <c r="AJ91" s="187">
        <v>4</v>
      </c>
      <c r="AK91" s="187">
        <v>2987.8200000000011</v>
      </c>
      <c r="AL91" s="184">
        <f>IFERROR(AK91/AJ91,"")</f>
        <v>746.95500000000027</v>
      </c>
      <c r="AM91" s="181">
        <f>RANK(AL91, AL$91:AL$127)</f>
        <v>16</v>
      </c>
      <c r="AN91" s="596">
        <f>AVERAGE(AL91:AL127)</f>
        <v>762.70695204401238</v>
      </c>
      <c r="AO91" s="187">
        <v>4</v>
      </c>
      <c r="AP91" s="187">
        <v>2986.5000000000014</v>
      </c>
      <c r="AQ91" s="184">
        <f>IFERROR(AP91/AO91,"")</f>
        <v>746.62500000000034</v>
      </c>
      <c r="AR91" s="181">
        <f>RANK(AQ91, AQ$91:AQ$127)</f>
        <v>17</v>
      </c>
      <c r="AS91" s="596">
        <f>AVERAGE(AQ91:AQ127)</f>
        <v>762.66302347258386</v>
      </c>
      <c r="AT91" s="187">
        <v>4</v>
      </c>
      <c r="AU91" s="187">
        <v>2985.8400000000011</v>
      </c>
      <c r="AV91" s="184">
        <f>IFERROR(AU91/AT91,"")</f>
        <v>746.46000000000026</v>
      </c>
      <c r="AW91" s="181">
        <f>RANK(AV91, AV$91:AV$127)</f>
        <v>17</v>
      </c>
      <c r="AX91" s="596">
        <f>AVERAGE(AV91:AV127)</f>
        <v>762.81755610610765</v>
      </c>
    </row>
    <row r="92" spans="1:50" ht="14.25" customHeight="1">
      <c r="B92" s="597"/>
      <c r="C92" s="179">
        <v>2</v>
      </c>
      <c r="D92" s="182" t="s">
        <v>391</v>
      </c>
      <c r="E92" s="183">
        <v>3</v>
      </c>
      <c r="F92" s="179">
        <v>3600</v>
      </c>
      <c r="G92" s="184">
        <f t="shared" ref="G92:G126" si="36">IFERROR(F92/E92,"")</f>
        <v>1200</v>
      </c>
      <c r="H92" s="598"/>
      <c r="I92" s="185">
        <f t="shared" ref="I92:K121" si="37">AVERAGE(P92,U92,Z92,AE92,AJ92,AO92,AT92)</f>
        <v>3</v>
      </c>
      <c r="J92" s="185">
        <f t="shared" si="37"/>
        <v>3185.1369025080626</v>
      </c>
      <c r="K92" s="186">
        <f t="shared" si="37"/>
        <v>1061.7123008360209</v>
      </c>
      <c r="L92" s="599"/>
      <c r="M92" s="185">
        <f>RANK(K92, K$91:$K$127)</f>
        <v>9</v>
      </c>
      <c r="N92" s="610"/>
      <c r="O92" s="600"/>
      <c r="P92" s="187">
        <v>3</v>
      </c>
      <c r="Q92" s="187">
        <v>3186.1240921512021</v>
      </c>
      <c r="R92" s="184">
        <f t="shared" ref="R92:R126" si="38">IFERROR(Q92/P92,"")</f>
        <v>1062.0413640504007</v>
      </c>
      <c r="S92" s="181">
        <f t="shared" ref="S92:S126" si="39">RANK(R92, R$91:R$127)</f>
        <v>9</v>
      </c>
      <c r="T92" s="596"/>
      <c r="U92" s="187">
        <v>3</v>
      </c>
      <c r="V92" s="187">
        <v>3185.4040921512023</v>
      </c>
      <c r="W92" s="184">
        <f t="shared" si="35"/>
        <v>1061.8013640504007</v>
      </c>
      <c r="X92" s="181">
        <f t="shared" ref="X92:X126" si="40">RANK(W92, W$91:W$127)</f>
        <v>8</v>
      </c>
      <c r="Y92" s="596"/>
      <c r="Z92" s="187">
        <v>3</v>
      </c>
      <c r="AA92" s="187">
        <v>3185.4040921512019</v>
      </c>
      <c r="AB92" s="184">
        <f t="shared" ref="AB92:AB126" si="41">IFERROR(AA92/Z92,"")</f>
        <v>1061.8013640504007</v>
      </c>
      <c r="AC92" s="181">
        <f t="shared" ref="AC92:AC126" si="42">RANK(AB92, AB$91:AB$127)</f>
        <v>8</v>
      </c>
      <c r="AD92" s="596"/>
      <c r="AE92" s="187">
        <v>3</v>
      </c>
      <c r="AF92" s="187">
        <v>3185.0440921512022</v>
      </c>
      <c r="AG92" s="184">
        <f t="shared" ref="AG92:AG126" si="43">IFERROR(AF92/AE92,"")</f>
        <v>1061.6813640504008</v>
      </c>
      <c r="AH92" s="181">
        <f t="shared" ref="AH92:AH126" si="44">RANK(AG92, AG$91:AG$127)</f>
        <v>8</v>
      </c>
      <c r="AI92" s="596"/>
      <c r="AJ92" s="187">
        <v>3</v>
      </c>
      <c r="AK92" s="187">
        <v>3184.3240921512024</v>
      </c>
      <c r="AL92" s="184">
        <f t="shared" ref="AL92:AL126" si="45">IFERROR(AK92/AJ92,"")</f>
        <v>1061.4413640504008</v>
      </c>
      <c r="AM92" s="181">
        <f t="shared" ref="AM92:AM126" si="46">RANK(AL92, AL$91:AL$127)</f>
        <v>8</v>
      </c>
      <c r="AN92" s="596"/>
      <c r="AO92" s="187">
        <v>3</v>
      </c>
      <c r="AP92" s="187">
        <v>3182.8840921512028</v>
      </c>
      <c r="AQ92" s="184">
        <f t="shared" ref="AQ92:AQ126" si="47">IFERROR(AP92/AO92,"")</f>
        <v>1060.961364050401</v>
      </c>
      <c r="AR92" s="181">
        <f t="shared" ref="AR92:AR126" si="48">RANK(AQ92, AQ$91:AQ$127)</f>
        <v>8</v>
      </c>
      <c r="AS92" s="596"/>
      <c r="AT92" s="187">
        <v>3</v>
      </c>
      <c r="AU92" s="187">
        <v>3186.7737646492233</v>
      </c>
      <c r="AV92" s="184">
        <f t="shared" ref="AV92:AV126" si="49">IFERROR(AU92/AT92,"")</f>
        <v>1062.257921549741</v>
      </c>
      <c r="AW92" s="181">
        <f t="shared" ref="AW92:AW126" si="50">RANK(AV92, AV$91:AV$127)</f>
        <v>8</v>
      </c>
      <c r="AX92" s="596"/>
    </row>
    <row r="93" spans="1:50" ht="14.25" customHeight="1">
      <c r="B93" s="597"/>
      <c r="C93" s="179">
        <v>3</v>
      </c>
      <c r="D93" s="182" t="s">
        <v>392</v>
      </c>
      <c r="E93" s="183">
        <v>5</v>
      </c>
      <c r="F93" s="179">
        <v>3600</v>
      </c>
      <c r="G93" s="184">
        <f t="shared" si="36"/>
        <v>720</v>
      </c>
      <c r="H93" s="598"/>
      <c r="I93" s="185">
        <f t="shared" si="37"/>
        <v>5</v>
      </c>
      <c r="J93" s="185">
        <f t="shared" si="37"/>
        <v>3198.3758276693338</v>
      </c>
      <c r="K93" s="186">
        <f t="shared" si="37"/>
        <v>639.67516553386668</v>
      </c>
      <c r="L93" s="599"/>
      <c r="M93" s="185">
        <f>RANK(K93, K$91:$K$127)</f>
        <v>24</v>
      </c>
      <c r="N93" s="610"/>
      <c r="O93" s="600"/>
      <c r="P93" s="187">
        <v>5</v>
      </c>
      <c r="Q93" s="187">
        <v>3198.0158276693342</v>
      </c>
      <c r="R93" s="184">
        <f t="shared" si="38"/>
        <v>639.60316553386679</v>
      </c>
      <c r="S93" s="181">
        <f t="shared" si="39"/>
        <v>23</v>
      </c>
      <c r="T93" s="596"/>
      <c r="U93" s="187">
        <v>5</v>
      </c>
      <c r="V93" s="187">
        <v>3199.0958276693336</v>
      </c>
      <c r="W93" s="184">
        <f t="shared" si="35"/>
        <v>639.81916553386668</v>
      </c>
      <c r="X93" s="181">
        <f t="shared" si="40"/>
        <v>23</v>
      </c>
      <c r="Y93" s="596"/>
      <c r="Z93" s="187">
        <v>5</v>
      </c>
      <c r="AA93" s="187">
        <v>3198.7358276693335</v>
      </c>
      <c r="AB93" s="184">
        <f t="shared" si="41"/>
        <v>639.74716553386668</v>
      </c>
      <c r="AC93" s="181">
        <f t="shared" si="42"/>
        <v>25</v>
      </c>
      <c r="AD93" s="596"/>
      <c r="AE93" s="187">
        <v>5</v>
      </c>
      <c r="AF93" s="187">
        <v>3198.0158276693342</v>
      </c>
      <c r="AG93" s="184">
        <f t="shared" si="43"/>
        <v>639.60316553386679</v>
      </c>
      <c r="AH93" s="181">
        <f t="shared" si="44"/>
        <v>25</v>
      </c>
      <c r="AI93" s="596"/>
      <c r="AJ93" s="187">
        <v>5</v>
      </c>
      <c r="AK93" s="187">
        <v>3199.4558276693342</v>
      </c>
      <c r="AL93" s="184">
        <f t="shared" si="45"/>
        <v>639.8911655338668</v>
      </c>
      <c r="AM93" s="181">
        <f t="shared" si="46"/>
        <v>25</v>
      </c>
      <c r="AN93" s="596"/>
      <c r="AO93" s="187">
        <v>5</v>
      </c>
      <c r="AP93" s="187">
        <v>3198.0158276693337</v>
      </c>
      <c r="AQ93" s="184">
        <f t="shared" si="47"/>
        <v>639.60316553386679</v>
      </c>
      <c r="AR93" s="181">
        <f t="shared" si="48"/>
        <v>25</v>
      </c>
      <c r="AS93" s="596"/>
      <c r="AT93" s="187">
        <v>5</v>
      </c>
      <c r="AU93" s="187">
        <v>3197.2958276693339</v>
      </c>
      <c r="AV93" s="184">
        <f t="shared" si="49"/>
        <v>639.45916553386678</v>
      </c>
      <c r="AW93" s="181">
        <f t="shared" si="50"/>
        <v>26</v>
      </c>
      <c r="AX93" s="596"/>
    </row>
    <row r="94" spans="1:50" ht="14.25" customHeight="1">
      <c r="B94" s="597"/>
      <c r="C94" s="179">
        <v>4</v>
      </c>
      <c r="D94" s="182" t="s">
        <v>229</v>
      </c>
      <c r="E94" s="183">
        <v>5</v>
      </c>
      <c r="F94" s="179">
        <v>3300</v>
      </c>
      <c r="G94" s="184">
        <f t="shared" si="36"/>
        <v>660</v>
      </c>
      <c r="H94" s="598"/>
      <c r="I94" s="185">
        <f t="shared" si="37"/>
        <v>5</v>
      </c>
      <c r="J94" s="185">
        <f t="shared" si="37"/>
        <v>2986.5000000000005</v>
      </c>
      <c r="K94" s="186">
        <f t="shared" si="37"/>
        <v>597.30000000000007</v>
      </c>
      <c r="L94" s="599"/>
      <c r="M94" s="185">
        <f>RANK(K94, K$91:$K$127)</f>
        <v>32</v>
      </c>
      <c r="N94" s="610"/>
      <c r="O94" s="600"/>
      <c r="P94" s="187">
        <v>5</v>
      </c>
      <c r="Q94" s="187">
        <v>2989.14</v>
      </c>
      <c r="R94" s="184">
        <f t="shared" si="38"/>
        <v>597.82799999999997</v>
      </c>
      <c r="S94" s="181">
        <f t="shared" si="39"/>
        <v>30</v>
      </c>
      <c r="T94" s="596"/>
      <c r="U94" s="187">
        <v>5</v>
      </c>
      <c r="V94" s="187">
        <v>2987.8200000000006</v>
      </c>
      <c r="W94" s="184">
        <f t="shared" si="35"/>
        <v>597.56400000000008</v>
      </c>
      <c r="X94" s="181">
        <f t="shared" si="40"/>
        <v>31</v>
      </c>
      <c r="Y94" s="596"/>
      <c r="Z94" s="187">
        <v>5</v>
      </c>
      <c r="AA94" s="187">
        <v>2986.5000000000005</v>
      </c>
      <c r="AB94" s="184">
        <f t="shared" si="41"/>
        <v>597.30000000000007</v>
      </c>
      <c r="AC94" s="181">
        <f t="shared" si="42"/>
        <v>31</v>
      </c>
      <c r="AD94" s="596"/>
      <c r="AE94" s="187">
        <v>5</v>
      </c>
      <c r="AF94" s="187">
        <v>2985.51</v>
      </c>
      <c r="AG94" s="184">
        <f t="shared" si="43"/>
        <v>597.10200000000009</v>
      </c>
      <c r="AH94" s="181">
        <f t="shared" si="44"/>
        <v>31</v>
      </c>
      <c r="AI94" s="596"/>
      <c r="AJ94" s="187">
        <v>5</v>
      </c>
      <c r="AK94" s="187">
        <v>2985.51</v>
      </c>
      <c r="AL94" s="184">
        <f t="shared" si="45"/>
        <v>597.10200000000009</v>
      </c>
      <c r="AM94" s="181">
        <f t="shared" si="46"/>
        <v>31</v>
      </c>
      <c r="AN94" s="596"/>
      <c r="AO94" s="187">
        <v>5</v>
      </c>
      <c r="AP94" s="187">
        <v>2986.170000000001</v>
      </c>
      <c r="AQ94" s="184">
        <f t="shared" si="47"/>
        <v>597.23400000000015</v>
      </c>
      <c r="AR94" s="181">
        <f t="shared" si="48"/>
        <v>31</v>
      </c>
      <c r="AS94" s="596"/>
      <c r="AT94" s="187">
        <v>5</v>
      </c>
      <c r="AU94" s="187">
        <v>2984.8500000000008</v>
      </c>
      <c r="AV94" s="184">
        <f t="shared" si="49"/>
        <v>596.97000000000014</v>
      </c>
      <c r="AW94" s="181">
        <f t="shared" si="50"/>
        <v>31</v>
      </c>
      <c r="AX94" s="596"/>
    </row>
    <row r="95" spans="1:50" ht="14.25" customHeight="1">
      <c r="B95" s="597"/>
      <c r="C95" s="179">
        <v>5</v>
      </c>
      <c r="D95" s="182" t="s">
        <v>388</v>
      </c>
      <c r="E95" s="183">
        <v>3</v>
      </c>
      <c r="F95" s="179">
        <v>3600</v>
      </c>
      <c r="G95" s="184">
        <f t="shared" si="36"/>
        <v>1200</v>
      </c>
      <c r="H95" s="598"/>
      <c r="I95" s="185">
        <f t="shared" si="37"/>
        <v>3</v>
      </c>
      <c r="J95" s="185">
        <f t="shared" si="37"/>
        <v>3199.3525721602841</v>
      </c>
      <c r="K95" s="186">
        <f t="shared" si="37"/>
        <v>1066.4508573867613</v>
      </c>
      <c r="L95" s="599"/>
      <c r="M95" s="185">
        <f>RANK(K95, K$91:$K$127)</f>
        <v>1</v>
      </c>
      <c r="N95" s="610"/>
      <c r="O95" s="600"/>
      <c r="P95" s="187">
        <v>3</v>
      </c>
      <c r="Q95" s="187">
        <v>3197.398286445999</v>
      </c>
      <c r="R95" s="184">
        <f t="shared" si="38"/>
        <v>1065.7994288153329</v>
      </c>
      <c r="S95" s="181">
        <f t="shared" si="39"/>
        <v>2</v>
      </c>
      <c r="T95" s="596"/>
      <c r="U95" s="187">
        <v>3</v>
      </c>
      <c r="V95" s="187">
        <v>3198.8382864459991</v>
      </c>
      <c r="W95" s="184">
        <f t="shared" si="35"/>
        <v>1066.2794288153329</v>
      </c>
      <c r="X95" s="181">
        <f t="shared" si="40"/>
        <v>2</v>
      </c>
      <c r="Y95" s="596"/>
      <c r="Z95" s="187">
        <v>3</v>
      </c>
      <c r="AA95" s="187">
        <v>3199.9182864459981</v>
      </c>
      <c r="AB95" s="184">
        <f t="shared" si="41"/>
        <v>1066.6394288153326</v>
      </c>
      <c r="AC95" s="181">
        <f t="shared" si="42"/>
        <v>1</v>
      </c>
      <c r="AD95" s="596"/>
      <c r="AE95" s="187">
        <v>3</v>
      </c>
      <c r="AF95" s="187">
        <v>3200.9982864459976</v>
      </c>
      <c r="AG95" s="184">
        <f t="shared" si="43"/>
        <v>1066.9994288153325</v>
      </c>
      <c r="AH95" s="181">
        <f t="shared" si="44"/>
        <v>1</v>
      </c>
      <c r="AI95" s="596"/>
      <c r="AJ95" s="187">
        <v>3</v>
      </c>
      <c r="AK95" s="187">
        <v>3199.9182864459976</v>
      </c>
      <c r="AL95" s="184">
        <f t="shared" si="45"/>
        <v>1066.6394288153326</v>
      </c>
      <c r="AM95" s="181">
        <f t="shared" si="46"/>
        <v>1</v>
      </c>
      <c r="AN95" s="596"/>
      <c r="AO95" s="187">
        <v>3</v>
      </c>
      <c r="AP95" s="187">
        <v>3198.8382864459977</v>
      </c>
      <c r="AQ95" s="184">
        <f t="shared" si="47"/>
        <v>1066.2794288153325</v>
      </c>
      <c r="AR95" s="181">
        <f t="shared" si="48"/>
        <v>2</v>
      </c>
      <c r="AS95" s="596"/>
      <c r="AT95" s="187">
        <v>3</v>
      </c>
      <c r="AU95" s="187">
        <v>3199.5582864459975</v>
      </c>
      <c r="AV95" s="184">
        <f t="shared" si="49"/>
        <v>1066.5194288153325</v>
      </c>
      <c r="AW95" s="181">
        <f t="shared" si="50"/>
        <v>1</v>
      </c>
      <c r="AX95" s="596"/>
    </row>
    <row r="96" spans="1:50" ht="14.25" customHeight="1">
      <c r="B96" s="597"/>
      <c r="C96" s="179">
        <v>6</v>
      </c>
      <c r="D96" s="182" t="s">
        <v>339</v>
      </c>
      <c r="E96" s="183">
        <v>4</v>
      </c>
      <c r="F96" s="179">
        <v>3600</v>
      </c>
      <c r="G96" s="184">
        <f t="shared" si="36"/>
        <v>900</v>
      </c>
      <c r="H96" s="598"/>
      <c r="I96" s="185">
        <f t="shared" si="37"/>
        <v>4</v>
      </c>
      <c r="J96" s="185">
        <f t="shared" si="37"/>
        <v>3188.5912415807011</v>
      </c>
      <c r="K96" s="186">
        <f t="shared" si="37"/>
        <v>797.14781039517527</v>
      </c>
      <c r="L96" s="599"/>
      <c r="M96" s="185">
        <f>RANK(K96, K$91:$K$127)</f>
        <v>16</v>
      </c>
      <c r="N96" s="610"/>
      <c r="O96" s="600"/>
      <c r="P96" s="187">
        <v>4</v>
      </c>
      <c r="Q96" s="187">
        <v>3191.0400000000018</v>
      </c>
      <c r="R96" s="184">
        <f t="shared" si="38"/>
        <v>797.76000000000045</v>
      </c>
      <c r="S96" s="181">
        <f t="shared" si="39"/>
        <v>15</v>
      </c>
      <c r="T96" s="596"/>
      <c r="U96" s="187">
        <v>4</v>
      </c>
      <c r="V96" s="187">
        <v>3189.6000000000017</v>
      </c>
      <c r="W96" s="184">
        <f t="shared" si="35"/>
        <v>797.40000000000043</v>
      </c>
      <c r="X96" s="181">
        <f t="shared" si="40"/>
        <v>15</v>
      </c>
      <c r="Y96" s="596"/>
      <c r="Z96" s="187">
        <v>4</v>
      </c>
      <c r="AA96" s="187">
        <v>3188.5200000000013</v>
      </c>
      <c r="AB96" s="184">
        <f t="shared" si="41"/>
        <v>797.13000000000034</v>
      </c>
      <c r="AC96" s="181">
        <f t="shared" si="42"/>
        <v>15</v>
      </c>
      <c r="AD96" s="596"/>
      <c r="AE96" s="187">
        <v>4</v>
      </c>
      <c r="AF96" s="187">
        <v>3187.4400000000014</v>
      </c>
      <c r="AG96" s="184">
        <f t="shared" si="43"/>
        <v>796.86000000000035</v>
      </c>
      <c r="AH96" s="181">
        <f t="shared" si="44"/>
        <v>15</v>
      </c>
      <c r="AI96" s="596"/>
      <c r="AJ96" s="187">
        <v>4</v>
      </c>
      <c r="AK96" s="187">
        <v>3187.8000000000015</v>
      </c>
      <c r="AL96" s="184">
        <f t="shared" si="45"/>
        <v>796.95000000000039</v>
      </c>
      <c r="AM96" s="181">
        <f t="shared" si="46"/>
        <v>15</v>
      </c>
      <c r="AN96" s="596"/>
      <c r="AO96" s="187">
        <v>4</v>
      </c>
      <c r="AP96" s="187">
        <v>3187.0800000000008</v>
      </c>
      <c r="AQ96" s="184">
        <f t="shared" si="47"/>
        <v>796.77000000000021</v>
      </c>
      <c r="AR96" s="181">
        <f t="shared" si="48"/>
        <v>15</v>
      </c>
      <c r="AS96" s="596"/>
      <c r="AT96" s="187">
        <v>4</v>
      </c>
      <c r="AU96" s="187">
        <v>3188.6586910649039</v>
      </c>
      <c r="AV96" s="184">
        <f t="shared" si="49"/>
        <v>797.16467276622598</v>
      </c>
      <c r="AW96" s="181">
        <f t="shared" si="50"/>
        <v>15</v>
      </c>
      <c r="AX96" s="596"/>
    </row>
    <row r="97" spans="2:50" ht="14.25" customHeight="1">
      <c r="B97" s="597"/>
      <c r="C97" s="179">
        <v>7</v>
      </c>
      <c r="D97" s="182" t="s">
        <v>390</v>
      </c>
      <c r="E97" s="183">
        <v>3</v>
      </c>
      <c r="F97" s="179">
        <v>3600</v>
      </c>
      <c r="G97" s="184">
        <f t="shared" si="36"/>
        <v>1200</v>
      </c>
      <c r="H97" s="598"/>
      <c r="I97" s="185">
        <f t="shared" si="37"/>
        <v>3</v>
      </c>
      <c r="J97" s="185">
        <f t="shared" si="37"/>
        <v>3188.6536539818635</v>
      </c>
      <c r="K97" s="186">
        <f t="shared" si="37"/>
        <v>1062.8845513272879</v>
      </c>
      <c r="L97" s="599"/>
      <c r="M97" s="185">
        <f>RANK(K97, K$91:$K$127)</f>
        <v>6</v>
      </c>
      <c r="N97" s="610"/>
      <c r="O97" s="600"/>
      <c r="P97" s="187">
        <v>3</v>
      </c>
      <c r="Q97" s="187">
        <v>3188.4993682675786</v>
      </c>
      <c r="R97" s="184">
        <f t="shared" si="38"/>
        <v>1062.8331227558594</v>
      </c>
      <c r="S97" s="181">
        <f t="shared" si="39"/>
        <v>6</v>
      </c>
      <c r="T97" s="596"/>
      <c r="U97" s="187">
        <v>3</v>
      </c>
      <c r="V97" s="187">
        <v>3189.2193682675784</v>
      </c>
      <c r="W97" s="184">
        <f t="shared" si="35"/>
        <v>1063.0731227558595</v>
      </c>
      <c r="X97" s="181">
        <f t="shared" si="40"/>
        <v>5</v>
      </c>
      <c r="Y97" s="596"/>
      <c r="Z97" s="187">
        <v>3</v>
      </c>
      <c r="AA97" s="187">
        <v>3188.1393682675784</v>
      </c>
      <c r="AB97" s="184">
        <f t="shared" si="41"/>
        <v>1062.7131227558596</v>
      </c>
      <c r="AC97" s="181">
        <f t="shared" si="42"/>
        <v>5</v>
      </c>
      <c r="AD97" s="596"/>
      <c r="AE97" s="187">
        <v>3</v>
      </c>
      <c r="AF97" s="187">
        <v>3187.4193682675786</v>
      </c>
      <c r="AG97" s="184">
        <f t="shared" si="43"/>
        <v>1062.4731227558595</v>
      </c>
      <c r="AH97" s="181">
        <f t="shared" si="44"/>
        <v>7</v>
      </c>
      <c r="AI97" s="596"/>
      <c r="AJ97" s="187">
        <v>3</v>
      </c>
      <c r="AK97" s="187">
        <v>3188.4993682675786</v>
      </c>
      <c r="AL97" s="184">
        <f t="shared" si="45"/>
        <v>1062.8331227558594</v>
      </c>
      <c r="AM97" s="181">
        <f t="shared" si="46"/>
        <v>6</v>
      </c>
      <c r="AN97" s="596"/>
      <c r="AO97" s="187">
        <v>3</v>
      </c>
      <c r="AP97" s="187">
        <v>3190.2993682675783</v>
      </c>
      <c r="AQ97" s="184">
        <f t="shared" si="47"/>
        <v>1063.4331227558594</v>
      </c>
      <c r="AR97" s="181">
        <f t="shared" si="48"/>
        <v>3</v>
      </c>
      <c r="AS97" s="596"/>
      <c r="AT97" s="187">
        <v>3</v>
      </c>
      <c r="AU97" s="187">
        <v>3188.4993682675786</v>
      </c>
      <c r="AV97" s="184">
        <f t="shared" si="49"/>
        <v>1062.8331227558594</v>
      </c>
      <c r="AW97" s="181">
        <f t="shared" si="50"/>
        <v>6</v>
      </c>
      <c r="AX97" s="596"/>
    </row>
    <row r="98" spans="2:50" ht="14.25" customHeight="1">
      <c r="B98" s="597"/>
      <c r="C98" s="179">
        <v>8</v>
      </c>
      <c r="D98" s="182" t="s">
        <v>389</v>
      </c>
      <c r="E98" s="183">
        <v>5</v>
      </c>
      <c r="F98" s="179">
        <v>3600</v>
      </c>
      <c r="G98" s="184">
        <f t="shared" si="36"/>
        <v>720</v>
      </c>
      <c r="H98" s="598"/>
      <c r="I98" s="185">
        <f t="shared" si="37"/>
        <v>5</v>
      </c>
      <c r="J98" s="185">
        <f t="shared" si="37"/>
        <v>3193.599024840395</v>
      </c>
      <c r="K98" s="186">
        <f t="shared" si="37"/>
        <v>638.71980496807896</v>
      </c>
      <c r="L98" s="599"/>
      <c r="M98" s="185">
        <f>RANK(K98, K$91:$K$127)</f>
        <v>26</v>
      </c>
      <c r="N98" s="610"/>
      <c r="O98" s="600"/>
      <c r="P98" s="187">
        <v>5</v>
      </c>
      <c r="Q98" s="187">
        <v>3194.2161676975379</v>
      </c>
      <c r="R98" s="184">
        <f t="shared" si="38"/>
        <v>638.84323353950754</v>
      </c>
      <c r="S98" s="181">
        <f t="shared" si="39"/>
        <v>26</v>
      </c>
      <c r="T98" s="596"/>
      <c r="U98" s="187">
        <v>5</v>
      </c>
      <c r="V98" s="187">
        <v>3193.8561676975378</v>
      </c>
      <c r="W98" s="184">
        <f t="shared" si="35"/>
        <v>638.77123353950753</v>
      </c>
      <c r="X98" s="181">
        <f t="shared" si="40"/>
        <v>27</v>
      </c>
      <c r="Y98" s="596"/>
      <c r="Z98" s="187">
        <v>5</v>
      </c>
      <c r="AA98" s="187">
        <v>3193.136167697538</v>
      </c>
      <c r="AB98" s="184">
        <f t="shared" si="41"/>
        <v>638.62723353950764</v>
      </c>
      <c r="AC98" s="181">
        <f t="shared" si="42"/>
        <v>27</v>
      </c>
      <c r="AD98" s="596"/>
      <c r="AE98" s="187">
        <v>5</v>
      </c>
      <c r="AF98" s="187">
        <v>3192.7761676975383</v>
      </c>
      <c r="AG98" s="184">
        <f t="shared" si="43"/>
        <v>638.55523353950764</v>
      </c>
      <c r="AH98" s="181">
        <f t="shared" si="44"/>
        <v>27</v>
      </c>
      <c r="AI98" s="596"/>
      <c r="AJ98" s="187">
        <v>5</v>
      </c>
      <c r="AK98" s="187">
        <v>3194.2161676975384</v>
      </c>
      <c r="AL98" s="184">
        <f t="shared" si="45"/>
        <v>638.84323353950765</v>
      </c>
      <c r="AM98" s="181">
        <f t="shared" si="46"/>
        <v>27</v>
      </c>
      <c r="AN98" s="596"/>
      <c r="AO98" s="187">
        <v>5</v>
      </c>
      <c r="AP98" s="187">
        <v>3193.136167697538</v>
      </c>
      <c r="AQ98" s="184">
        <f t="shared" si="47"/>
        <v>638.62723353950764</v>
      </c>
      <c r="AR98" s="181">
        <f t="shared" si="48"/>
        <v>27</v>
      </c>
      <c r="AS98" s="596"/>
      <c r="AT98" s="187">
        <v>5</v>
      </c>
      <c r="AU98" s="187">
        <v>3193.8561676975378</v>
      </c>
      <c r="AV98" s="184">
        <f t="shared" si="49"/>
        <v>638.77123353950753</v>
      </c>
      <c r="AW98" s="181">
        <f t="shared" si="50"/>
        <v>27</v>
      </c>
      <c r="AX98" s="596"/>
    </row>
    <row r="99" spans="2:50" ht="14.25" customHeight="1">
      <c r="B99" s="597"/>
      <c r="C99" s="179">
        <v>9</v>
      </c>
      <c r="D99" s="182" t="s">
        <v>387</v>
      </c>
      <c r="E99" s="183">
        <v>5</v>
      </c>
      <c r="F99" s="179">
        <v>3600</v>
      </c>
      <c r="G99" s="184">
        <f t="shared" si="36"/>
        <v>720</v>
      </c>
      <c r="H99" s="598"/>
      <c r="I99" s="185">
        <f t="shared" si="37"/>
        <v>5</v>
      </c>
      <c r="J99" s="185">
        <f t="shared" si="37"/>
        <v>3199.2133730031487</v>
      </c>
      <c r="K99" s="186">
        <f t="shared" si="37"/>
        <v>639.84267460062972</v>
      </c>
      <c r="L99" s="599"/>
      <c r="M99" s="185">
        <f>RANK(K99, K$91:$K$127)</f>
        <v>22</v>
      </c>
      <c r="N99" s="610"/>
      <c r="O99" s="600"/>
      <c r="P99" s="187">
        <v>5</v>
      </c>
      <c r="Q99" s="187">
        <v>3199.7276587174338</v>
      </c>
      <c r="R99" s="184">
        <f t="shared" si="38"/>
        <v>639.94553174348675</v>
      </c>
      <c r="S99" s="181">
        <f t="shared" si="39"/>
        <v>22</v>
      </c>
      <c r="T99" s="596"/>
      <c r="U99" s="187">
        <v>5</v>
      </c>
      <c r="V99" s="187">
        <v>3197.927658717434</v>
      </c>
      <c r="W99" s="184">
        <f t="shared" si="35"/>
        <v>639.58553174348685</v>
      </c>
      <c r="X99" s="181">
        <f t="shared" si="40"/>
        <v>24</v>
      </c>
      <c r="Y99" s="596"/>
      <c r="Z99" s="187">
        <v>5</v>
      </c>
      <c r="AA99" s="187">
        <v>3199.0076587174344</v>
      </c>
      <c r="AB99" s="184">
        <f t="shared" si="41"/>
        <v>639.80153174348686</v>
      </c>
      <c r="AC99" s="181">
        <f t="shared" si="42"/>
        <v>24</v>
      </c>
      <c r="AD99" s="596"/>
      <c r="AE99" s="187">
        <v>5</v>
      </c>
      <c r="AF99" s="187">
        <v>3200.0876587174344</v>
      </c>
      <c r="AG99" s="184">
        <f t="shared" si="43"/>
        <v>640.01753174348687</v>
      </c>
      <c r="AH99" s="181">
        <f t="shared" si="44"/>
        <v>23</v>
      </c>
      <c r="AI99" s="596"/>
      <c r="AJ99" s="187">
        <v>5</v>
      </c>
      <c r="AK99" s="187">
        <v>3199.7276587174338</v>
      </c>
      <c r="AL99" s="184">
        <f t="shared" si="45"/>
        <v>639.94553174348675</v>
      </c>
      <c r="AM99" s="181">
        <f t="shared" si="46"/>
        <v>24</v>
      </c>
      <c r="AN99" s="596"/>
      <c r="AO99" s="187">
        <v>5</v>
      </c>
      <c r="AP99" s="187">
        <v>3198.6476587174338</v>
      </c>
      <c r="AQ99" s="184">
        <f t="shared" si="47"/>
        <v>639.72953174348675</v>
      </c>
      <c r="AR99" s="181">
        <f t="shared" si="48"/>
        <v>24</v>
      </c>
      <c r="AS99" s="596"/>
      <c r="AT99" s="187">
        <v>5</v>
      </c>
      <c r="AU99" s="187">
        <v>3199.3676587174336</v>
      </c>
      <c r="AV99" s="184">
        <f t="shared" si="49"/>
        <v>639.87353174348675</v>
      </c>
      <c r="AW99" s="181">
        <f t="shared" si="50"/>
        <v>24</v>
      </c>
      <c r="AX99" s="596"/>
    </row>
    <row r="100" spans="2:50" ht="14.25" customHeight="1">
      <c r="B100" s="597"/>
      <c r="C100" s="179">
        <v>10</v>
      </c>
      <c r="D100" s="182" t="s">
        <v>228</v>
      </c>
      <c r="E100" s="183">
        <v>3</v>
      </c>
      <c r="F100" s="179">
        <v>3000</v>
      </c>
      <c r="G100" s="184">
        <f t="shared" si="36"/>
        <v>1000</v>
      </c>
      <c r="H100" s="598"/>
      <c r="I100" s="185">
        <f t="shared" si="37"/>
        <v>3</v>
      </c>
      <c r="J100" s="185">
        <f t="shared" si="37"/>
        <v>2723.2207371686645</v>
      </c>
      <c r="K100" s="186">
        <f t="shared" si="37"/>
        <v>907.74024572288806</v>
      </c>
      <c r="L100" s="599"/>
      <c r="M100" s="185">
        <f>RANK(K100, K$91:$K$127)</f>
        <v>12</v>
      </c>
      <c r="N100" s="610"/>
      <c r="O100" s="600"/>
      <c r="P100" s="187">
        <v>3</v>
      </c>
      <c r="Q100" s="187">
        <v>2721.5921657400936</v>
      </c>
      <c r="R100" s="184">
        <f t="shared" si="38"/>
        <v>907.1973885800312</v>
      </c>
      <c r="S100" s="181">
        <f t="shared" si="39"/>
        <v>12</v>
      </c>
      <c r="T100" s="596"/>
      <c r="U100" s="187">
        <v>3</v>
      </c>
      <c r="V100" s="187">
        <v>2722.4921657400932</v>
      </c>
      <c r="W100" s="184">
        <f t="shared" si="35"/>
        <v>907.49738858003104</v>
      </c>
      <c r="X100" s="181">
        <f t="shared" si="40"/>
        <v>11</v>
      </c>
      <c r="Y100" s="596"/>
      <c r="Z100" s="187">
        <v>3</v>
      </c>
      <c r="AA100" s="187">
        <v>2722.1921657400931</v>
      </c>
      <c r="AB100" s="184">
        <f t="shared" si="41"/>
        <v>907.39738858003102</v>
      </c>
      <c r="AC100" s="181">
        <f t="shared" si="42"/>
        <v>11</v>
      </c>
      <c r="AD100" s="596"/>
      <c r="AE100" s="187">
        <v>3</v>
      </c>
      <c r="AF100" s="187">
        <v>2722.792165740093</v>
      </c>
      <c r="AG100" s="184">
        <f t="shared" si="43"/>
        <v>907.59738858003095</v>
      </c>
      <c r="AH100" s="181">
        <f t="shared" si="44"/>
        <v>11</v>
      </c>
      <c r="AI100" s="596"/>
      <c r="AJ100" s="187">
        <v>3</v>
      </c>
      <c r="AK100" s="187">
        <v>2723.3921657400924</v>
      </c>
      <c r="AL100" s="184">
        <f t="shared" si="45"/>
        <v>907.79738858003077</v>
      </c>
      <c r="AM100" s="181">
        <f t="shared" si="46"/>
        <v>11</v>
      </c>
      <c r="AN100" s="596"/>
      <c r="AO100" s="187">
        <v>3</v>
      </c>
      <c r="AP100" s="187">
        <v>2724.5921657400922</v>
      </c>
      <c r="AQ100" s="184">
        <f t="shared" si="47"/>
        <v>908.19738858003075</v>
      </c>
      <c r="AR100" s="181">
        <f t="shared" si="48"/>
        <v>11</v>
      </c>
      <c r="AS100" s="596"/>
      <c r="AT100" s="187">
        <v>3</v>
      </c>
      <c r="AU100" s="187">
        <v>2725.4921657400923</v>
      </c>
      <c r="AV100" s="184">
        <f t="shared" si="49"/>
        <v>908.49738858003082</v>
      </c>
      <c r="AW100" s="181">
        <f t="shared" si="50"/>
        <v>11</v>
      </c>
      <c r="AX100" s="596"/>
    </row>
    <row r="101" spans="2:50" ht="14.25" customHeight="1">
      <c r="B101" s="597"/>
      <c r="C101" s="179">
        <v>11</v>
      </c>
      <c r="D101" s="182" t="s">
        <v>439</v>
      </c>
      <c r="E101" s="183">
        <v>12</v>
      </c>
      <c r="F101" s="179">
        <v>3600</v>
      </c>
      <c r="G101" s="184">
        <f t="shared" si="36"/>
        <v>300</v>
      </c>
      <c r="H101" s="598"/>
      <c r="I101" s="185">
        <f t="shared" si="37"/>
        <v>12</v>
      </c>
      <c r="J101" s="185">
        <f t="shared" si="37"/>
        <v>3120.7952783942224</v>
      </c>
      <c r="K101" s="186">
        <f t="shared" si="37"/>
        <v>260.06627319951849</v>
      </c>
      <c r="L101" s="599"/>
      <c r="M101" s="185">
        <f>RANK(K101, K$91:$K$127)</f>
        <v>34</v>
      </c>
      <c r="N101" s="610"/>
      <c r="O101" s="600"/>
      <c r="P101" s="187">
        <v>12</v>
      </c>
      <c r="Q101" s="187">
        <v>3120.1298242429398</v>
      </c>
      <c r="R101" s="184">
        <f t="shared" si="38"/>
        <v>260.01081868691165</v>
      </c>
      <c r="S101" s="181">
        <f t="shared" si="39"/>
        <v>34</v>
      </c>
      <c r="T101" s="596"/>
      <c r="U101" s="187">
        <v>12</v>
      </c>
      <c r="V101" s="187">
        <v>3121.2098242429402</v>
      </c>
      <c r="W101" s="184">
        <f t="shared" si="35"/>
        <v>260.10081868691168</v>
      </c>
      <c r="X101" s="181">
        <f t="shared" si="40"/>
        <v>33</v>
      </c>
      <c r="Y101" s="596"/>
      <c r="Z101" s="187">
        <v>12</v>
      </c>
      <c r="AA101" s="187">
        <v>3121.2098242429406</v>
      </c>
      <c r="AB101" s="184">
        <f t="shared" si="41"/>
        <v>260.10081868691174</v>
      </c>
      <c r="AC101" s="181">
        <f t="shared" si="42"/>
        <v>33</v>
      </c>
      <c r="AD101" s="596"/>
      <c r="AE101" s="187">
        <v>12</v>
      </c>
      <c r="AF101" s="187">
        <v>3119.769824242941</v>
      </c>
      <c r="AG101" s="184">
        <f t="shared" si="43"/>
        <v>259.98081868691173</v>
      </c>
      <c r="AH101" s="181">
        <f t="shared" si="44"/>
        <v>33</v>
      </c>
      <c r="AI101" s="596"/>
      <c r="AJ101" s="187">
        <v>12</v>
      </c>
      <c r="AK101" s="187">
        <v>3120.8498242429414</v>
      </c>
      <c r="AL101" s="184">
        <f t="shared" si="45"/>
        <v>260.07081868691176</v>
      </c>
      <c r="AM101" s="181">
        <f t="shared" si="46"/>
        <v>33</v>
      </c>
      <c r="AN101" s="596"/>
      <c r="AO101" s="187">
        <v>12</v>
      </c>
      <c r="AP101" s="187">
        <v>3122.289824242941</v>
      </c>
      <c r="AQ101" s="184">
        <f t="shared" si="47"/>
        <v>260.19081868691177</v>
      </c>
      <c r="AR101" s="181">
        <f t="shared" si="48"/>
        <v>33</v>
      </c>
      <c r="AS101" s="596"/>
      <c r="AT101" s="187">
        <v>12</v>
      </c>
      <c r="AU101" s="187">
        <v>3120.1080033019084</v>
      </c>
      <c r="AV101" s="184">
        <f t="shared" si="49"/>
        <v>260.00900027515905</v>
      </c>
      <c r="AW101" s="181">
        <f t="shared" si="50"/>
        <v>34</v>
      </c>
      <c r="AX101" s="596"/>
    </row>
    <row r="102" spans="2:50" ht="14.25" customHeight="1">
      <c r="B102" s="597"/>
      <c r="C102" s="179">
        <v>12</v>
      </c>
      <c r="D102" s="182" t="s">
        <v>457</v>
      </c>
      <c r="E102" s="183">
        <v>3</v>
      </c>
      <c r="F102" s="179">
        <v>3300</v>
      </c>
      <c r="G102" s="184">
        <f t="shared" si="36"/>
        <v>1100</v>
      </c>
      <c r="H102" s="598"/>
      <c r="I102" s="185">
        <f t="shared" si="37"/>
        <v>3</v>
      </c>
      <c r="J102" s="185">
        <f t="shared" si="37"/>
        <v>2986.276439104101</v>
      </c>
      <c r="K102" s="186">
        <f t="shared" si="37"/>
        <v>995.42547970136673</v>
      </c>
      <c r="L102" s="599"/>
      <c r="M102" s="185">
        <f>RANK(K102, K$91:$K$127)</f>
        <v>10</v>
      </c>
      <c r="N102" s="610"/>
      <c r="O102" s="600"/>
      <c r="P102" s="187">
        <v>3</v>
      </c>
      <c r="Q102" s="187">
        <v>2987.5492962469571</v>
      </c>
      <c r="R102" s="184">
        <f t="shared" si="38"/>
        <v>995.84976541565231</v>
      </c>
      <c r="S102" s="181">
        <f t="shared" si="39"/>
        <v>10</v>
      </c>
      <c r="T102" s="596"/>
      <c r="U102" s="187">
        <v>3</v>
      </c>
      <c r="V102" s="187">
        <v>2987.2192962469571</v>
      </c>
      <c r="W102" s="184">
        <f t="shared" si="35"/>
        <v>995.73976541565241</v>
      </c>
      <c r="X102" s="181">
        <f t="shared" si="40"/>
        <v>9</v>
      </c>
      <c r="Y102" s="596"/>
      <c r="Z102" s="187">
        <v>3</v>
      </c>
      <c r="AA102" s="187">
        <v>2987.2192962469576</v>
      </c>
      <c r="AB102" s="184">
        <f t="shared" si="41"/>
        <v>995.73976541565253</v>
      </c>
      <c r="AC102" s="181">
        <f t="shared" si="42"/>
        <v>9</v>
      </c>
      <c r="AD102" s="596"/>
      <c r="AE102" s="187">
        <v>3</v>
      </c>
      <c r="AF102" s="187">
        <v>2985.8992962469579</v>
      </c>
      <c r="AG102" s="184">
        <f t="shared" si="43"/>
        <v>995.29976541565259</v>
      </c>
      <c r="AH102" s="181">
        <f t="shared" si="44"/>
        <v>9</v>
      </c>
      <c r="AI102" s="596"/>
      <c r="AJ102" s="187">
        <v>3</v>
      </c>
      <c r="AK102" s="187">
        <v>2985.2392962469585</v>
      </c>
      <c r="AL102" s="184">
        <f t="shared" si="45"/>
        <v>995.07976541565279</v>
      </c>
      <c r="AM102" s="181">
        <f t="shared" si="46"/>
        <v>9</v>
      </c>
      <c r="AN102" s="596"/>
      <c r="AO102" s="187">
        <v>3</v>
      </c>
      <c r="AP102" s="187">
        <v>2984.9092962469585</v>
      </c>
      <c r="AQ102" s="184">
        <f t="shared" si="47"/>
        <v>994.96976541565289</v>
      </c>
      <c r="AR102" s="181">
        <f t="shared" si="48"/>
        <v>9</v>
      </c>
      <c r="AS102" s="596"/>
      <c r="AT102" s="187">
        <v>3</v>
      </c>
      <c r="AU102" s="187">
        <v>2985.8992962469588</v>
      </c>
      <c r="AV102" s="184">
        <f t="shared" si="49"/>
        <v>995.29976541565293</v>
      </c>
      <c r="AW102" s="181">
        <f t="shared" si="50"/>
        <v>9</v>
      </c>
      <c r="AX102" s="596"/>
    </row>
    <row r="103" spans="2:50" ht="14.25" customHeight="1">
      <c r="B103" s="597"/>
      <c r="C103" s="179">
        <v>13</v>
      </c>
      <c r="D103" s="182" t="s">
        <v>538</v>
      </c>
      <c r="E103" s="183">
        <v>3</v>
      </c>
      <c r="F103" s="179">
        <v>3600</v>
      </c>
      <c r="G103" s="184">
        <f t="shared" si="36"/>
        <v>1200</v>
      </c>
      <c r="H103" s="598"/>
      <c r="I103" s="185">
        <f t="shared" si="37"/>
        <v>3</v>
      </c>
      <c r="J103" s="185">
        <f t="shared" si="37"/>
        <v>3192.2074787416168</v>
      </c>
      <c r="K103" s="186">
        <f t="shared" si="37"/>
        <v>1064.069159580539</v>
      </c>
      <c r="L103" s="599"/>
      <c r="M103" s="185">
        <f>RANK(K103, K$91:$K$127)</f>
        <v>3</v>
      </c>
      <c r="N103" s="610"/>
      <c r="O103" s="600"/>
      <c r="P103" s="187">
        <v>3</v>
      </c>
      <c r="Q103" s="187">
        <v>3192.2074787416168</v>
      </c>
      <c r="R103" s="184">
        <f t="shared" si="38"/>
        <v>1064.069159580539</v>
      </c>
      <c r="S103" s="181">
        <f t="shared" si="39"/>
        <v>4</v>
      </c>
      <c r="T103" s="596"/>
      <c r="U103" s="187"/>
      <c r="V103" s="187"/>
      <c r="W103" s="184"/>
      <c r="X103" s="181"/>
      <c r="Y103" s="596"/>
      <c r="Z103" s="187"/>
      <c r="AA103" s="187"/>
      <c r="AB103" s="184"/>
      <c r="AC103" s="181"/>
      <c r="AD103" s="596"/>
      <c r="AE103" s="187"/>
      <c r="AF103" s="187"/>
      <c r="AG103" s="184"/>
      <c r="AH103" s="181"/>
      <c r="AI103" s="596"/>
      <c r="AJ103" s="187"/>
      <c r="AK103" s="187"/>
      <c r="AL103" s="184"/>
      <c r="AM103" s="181"/>
      <c r="AN103" s="596"/>
      <c r="AO103" s="187"/>
      <c r="AP103" s="187"/>
      <c r="AQ103" s="184"/>
      <c r="AR103" s="181"/>
      <c r="AS103" s="596"/>
      <c r="AT103" s="187"/>
      <c r="AU103" s="187"/>
      <c r="AV103" s="184"/>
      <c r="AW103" s="181"/>
      <c r="AX103" s="596"/>
    </row>
    <row r="104" spans="2:50" ht="14.25" customHeight="1">
      <c r="B104" s="597"/>
      <c r="C104" s="179">
        <v>14</v>
      </c>
      <c r="D104" s="182" t="s">
        <v>530</v>
      </c>
      <c r="E104" s="183">
        <v>5</v>
      </c>
      <c r="F104" s="179">
        <v>3600</v>
      </c>
      <c r="G104" s="184">
        <f t="shared" si="36"/>
        <v>720</v>
      </c>
      <c r="H104" s="598"/>
      <c r="I104" s="185">
        <f t="shared" si="37"/>
        <v>5</v>
      </c>
      <c r="J104" s="185">
        <f t="shared" si="37"/>
        <v>3198.9454351992258</v>
      </c>
      <c r="K104" s="186">
        <f t="shared" si="37"/>
        <v>639.7890870398453</v>
      </c>
      <c r="L104" s="599"/>
      <c r="M104" s="185">
        <f>RANK(K104, K$91:$K$127)</f>
        <v>23</v>
      </c>
      <c r="N104" s="610"/>
      <c r="O104" s="600"/>
      <c r="P104" s="187">
        <v>5</v>
      </c>
      <c r="Q104" s="187">
        <v>3196.6311494849406</v>
      </c>
      <c r="R104" s="184">
        <f t="shared" si="38"/>
        <v>639.32622989698814</v>
      </c>
      <c r="S104" s="181">
        <f t="shared" si="39"/>
        <v>25</v>
      </c>
      <c r="T104" s="596"/>
      <c r="U104" s="187">
        <v>5</v>
      </c>
      <c r="V104" s="187">
        <v>3197.7111494849405</v>
      </c>
      <c r="W104" s="184">
        <f t="shared" si="35"/>
        <v>639.54222989698815</v>
      </c>
      <c r="X104" s="181">
        <f t="shared" si="40"/>
        <v>25</v>
      </c>
      <c r="Y104" s="596"/>
      <c r="Z104" s="187">
        <v>5</v>
      </c>
      <c r="AA104" s="187">
        <v>3199.5111494849407</v>
      </c>
      <c r="AB104" s="184">
        <f t="shared" si="41"/>
        <v>639.90222989698816</v>
      </c>
      <c r="AC104" s="181">
        <f t="shared" si="42"/>
        <v>23</v>
      </c>
      <c r="AD104" s="596"/>
      <c r="AE104" s="187">
        <v>5</v>
      </c>
      <c r="AF104" s="187">
        <v>3198.7911494849409</v>
      </c>
      <c r="AG104" s="184">
        <f t="shared" si="43"/>
        <v>639.75822989698815</v>
      </c>
      <c r="AH104" s="181">
        <f t="shared" si="44"/>
        <v>24</v>
      </c>
      <c r="AI104" s="596"/>
      <c r="AJ104" s="187">
        <v>5</v>
      </c>
      <c r="AK104" s="187">
        <v>3200.2311494849405</v>
      </c>
      <c r="AL104" s="184">
        <f t="shared" si="45"/>
        <v>640.04622989698805</v>
      </c>
      <c r="AM104" s="181">
        <f t="shared" si="46"/>
        <v>23</v>
      </c>
      <c r="AN104" s="596"/>
      <c r="AO104" s="187">
        <v>5</v>
      </c>
      <c r="AP104" s="187">
        <v>3199.5111494849402</v>
      </c>
      <c r="AQ104" s="184">
        <f t="shared" si="47"/>
        <v>639.90222989698805</v>
      </c>
      <c r="AR104" s="181">
        <f t="shared" si="48"/>
        <v>23</v>
      </c>
      <c r="AS104" s="596"/>
      <c r="AT104" s="187">
        <v>5</v>
      </c>
      <c r="AU104" s="187">
        <v>3200.2311494849396</v>
      </c>
      <c r="AV104" s="184">
        <f t="shared" si="49"/>
        <v>640.04622989698794</v>
      </c>
      <c r="AW104" s="181">
        <f t="shared" si="50"/>
        <v>23</v>
      </c>
      <c r="AX104" s="596"/>
    </row>
    <row r="105" spans="2:50" ht="14.25" customHeight="1">
      <c r="B105" s="597"/>
      <c r="C105" s="179">
        <v>15</v>
      </c>
      <c r="D105" s="182" t="s">
        <v>595</v>
      </c>
      <c r="E105" s="183">
        <v>3</v>
      </c>
      <c r="F105" s="179">
        <v>3600</v>
      </c>
      <c r="G105" s="184">
        <f t="shared" si="36"/>
        <v>1200</v>
      </c>
      <c r="H105" s="598"/>
      <c r="I105" s="185">
        <f t="shared" si="37"/>
        <v>3</v>
      </c>
      <c r="J105" s="185">
        <f t="shared" si="37"/>
        <v>3190.3579821693834</v>
      </c>
      <c r="K105" s="186">
        <f t="shared" si="37"/>
        <v>1063.452660723128</v>
      </c>
      <c r="L105" s="599"/>
      <c r="M105" s="185">
        <f>RANK(K105, K$91:$K$127)</f>
        <v>4</v>
      </c>
      <c r="N105" s="610"/>
      <c r="O105" s="600"/>
      <c r="P105" s="187">
        <v>3</v>
      </c>
      <c r="Q105" s="187">
        <v>3191.4379821693847</v>
      </c>
      <c r="R105" s="184">
        <f t="shared" si="38"/>
        <v>1063.8126607231281</v>
      </c>
      <c r="S105" s="181">
        <f t="shared" si="39"/>
        <v>5</v>
      </c>
      <c r="T105" s="596"/>
      <c r="U105" s="187">
        <v>3</v>
      </c>
      <c r="V105" s="187">
        <v>3192.157982169384</v>
      </c>
      <c r="W105" s="184">
        <f t="shared" si="35"/>
        <v>1064.0526607231279</v>
      </c>
      <c r="X105" s="181">
        <f t="shared" si="40"/>
        <v>3</v>
      </c>
      <c r="Y105" s="596"/>
      <c r="Z105" s="187">
        <v>3</v>
      </c>
      <c r="AA105" s="187">
        <v>3190.3579821693838</v>
      </c>
      <c r="AB105" s="184">
        <f t="shared" si="41"/>
        <v>1063.452660723128</v>
      </c>
      <c r="AC105" s="181">
        <f t="shared" si="42"/>
        <v>4</v>
      </c>
      <c r="AD105" s="596"/>
      <c r="AE105" s="187">
        <v>3</v>
      </c>
      <c r="AF105" s="187">
        <v>3190.3579821693838</v>
      </c>
      <c r="AG105" s="184">
        <f t="shared" si="43"/>
        <v>1063.452660723128</v>
      </c>
      <c r="AH105" s="181">
        <f t="shared" si="44"/>
        <v>4</v>
      </c>
      <c r="AI105" s="596"/>
      <c r="AJ105" s="187">
        <v>3</v>
      </c>
      <c r="AK105" s="187">
        <v>3190.717982169384</v>
      </c>
      <c r="AL105" s="184">
        <f t="shared" si="45"/>
        <v>1063.5726607231279</v>
      </c>
      <c r="AM105" s="181">
        <f t="shared" si="46"/>
        <v>3</v>
      </c>
      <c r="AN105" s="596"/>
      <c r="AO105" s="187">
        <v>3</v>
      </c>
      <c r="AP105" s="187">
        <v>3188.9179821693833</v>
      </c>
      <c r="AQ105" s="184">
        <f t="shared" si="47"/>
        <v>1062.9726607231278</v>
      </c>
      <c r="AR105" s="181">
        <f t="shared" si="48"/>
        <v>5</v>
      </c>
      <c r="AS105" s="596"/>
      <c r="AT105" s="187">
        <v>3</v>
      </c>
      <c r="AU105" s="187">
        <v>3188.5579821693827</v>
      </c>
      <c r="AV105" s="184">
        <f t="shared" si="49"/>
        <v>1062.8526607231277</v>
      </c>
      <c r="AW105" s="181">
        <f t="shared" si="50"/>
        <v>5</v>
      </c>
      <c r="AX105" s="596"/>
    </row>
    <row r="106" spans="2:50" ht="14.25" customHeight="1">
      <c r="B106" s="597"/>
      <c r="C106" s="179">
        <v>16</v>
      </c>
      <c r="D106" s="182" t="s">
        <v>577</v>
      </c>
      <c r="E106" s="183">
        <v>3</v>
      </c>
      <c r="F106" s="179">
        <v>3300</v>
      </c>
      <c r="G106" s="184">
        <f t="shared" si="36"/>
        <v>1100</v>
      </c>
      <c r="H106" s="598"/>
      <c r="I106" s="185">
        <f t="shared" si="37"/>
        <v>3</v>
      </c>
      <c r="J106" s="185">
        <f t="shared" si="37"/>
        <v>2970.7635003385631</v>
      </c>
      <c r="K106" s="186">
        <f t="shared" si="37"/>
        <v>990.25450011285443</v>
      </c>
      <c r="L106" s="599"/>
      <c r="M106" s="185">
        <f>RANK(K106, K$91:$K$127)</f>
        <v>11</v>
      </c>
      <c r="N106" s="610"/>
      <c r="O106" s="600"/>
      <c r="P106" s="187">
        <v>3</v>
      </c>
      <c r="Q106" s="187">
        <v>2971.1788102369724</v>
      </c>
      <c r="R106" s="184">
        <f t="shared" si="38"/>
        <v>990.39293674565749</v>
      </c>
      <c r="S106" s="181">
        <f t="shared" si="39"/>
        <v>11</v>
      </c>
      <c r="T106" s="596"/>
      <c r="U106" s="187">
        <v>3</v>
      </c>
      <c r="V106" s="187">
        <v>2970.8488102369724</v>
      </c>
      <c r="W106" s="184">
        <f t="shared" si="35"/>
        <v>990.28293674565748</v>
      </c>
      <c r="X106" s="181">
        <f t="shared" si="40"/>
        <v>10</v>
      </c>
      <c r="Y106" s="596"/>
      <c r="Z106" s="187">
        <v>3</v>
      </c>
      <c r="AA106" s="187">
        <v>2970.1888102369726</v>
      </c>
      <c r="AB106" s="184">
        <f t="shared" si="41"/>
        <v>990.06293674565757</v>
      </c>
      <c r="AC106" s="181">
        <f t="shared" si="42"/>
        <v>10</v>
      </c>
      <c r="AD106" s="596"/>
      <c r="AE106" s="187">
        <v>3</v>
      </c>
      <c r="AF106" s="187">
        <v>2969.5288102369727</v>
      </c>
      <c r="AG106" s="184">
        <f t="shared" si="43"/>
        <v>989.84293674565754</v>
      </c>
      <c r="AH106" s="181">
        <f t="shared" si="44"/>
        <v>10</v>
      </c>
      <c r="AI106" s="596"/>
      <c r="AJ106" s="187">
        <v>3</v>
      </c>
      <c r="AK106" s="187">
        <v>2970.7602676442398</v>
      </c>
      <c r="AL106" s="184">
        <f t="shared" si="45"/>
        <v>990.25342254807993</v>
      </c>
      <c r="AM106" s="181">
        <f t="shared" si="46"/>
        <v>10</v>
      </c>
      <c r="AN106" s="596"/>
      <c r="AO106" s="187">
        <v>3</v>
      </c>
      <c r="AP106" s="187">
        <v>2970.7602676442398</v>
      </c>
      <c r="AQ106" s="184">
        <f t="shared" si="47"/>
        <v>990.25342254807993</v>
      </c>
      <c r="AR106" s="181">
        <f t="shared" si="48"/>
        <v>10</v>
      </c>
      <c r="AS106" s="596"/>
      <c r="AT106" s="187">
        <v>3</v>
      </c>
      <c r="AU106" s="187">
        <v>2972.0787261335727</v>
      </c>
      <c r="AV106" s="184">
        <f t="shared" si="49"/>
        <v>990.69290871119085</v>
      </c>
      <c r="AW106" s="181">
        <f t="shared" si="50"/>
        <v>10</v>
      </c>
      <c r="AX106" s="596"/>
    </row>
    <row r="107" spans="2:50" ht="14.25" customHeight="1">
      <c r="B107" s="597"/>
      <c r="C107" s="179">
        <v>17</v>
      </c>
      <c r="D107" s="182" t="s">
        <v>824</v>
      </c>
      <c r="E107" s="183">
        <v>4</v>
      </c>
      <c r="F107" s="179">
        <v>3300</v>
      </c>
      <c r="G107" s="184">
        <f t="shared" si="36"/>
        <v>825</v>
      </c>
      <c r="H107" s="598"/>
      <c r="I107" s="185">
        <f t="shared" si="37"/>
        <v>4</v>
      </c>
      <c r="J107" s="185">
        <f t="shared" si="37"/>
        <v>2871.4487448003374</v>
      </c>
      <c r="K107" s="186">
        <f t="shared" si="37"/>
        <v>717.86218620008435</v>
      </c>
      <c r="L107" s="599"/>
      <c r="M107" s="185">
        <f>RANK(K107, K$91:$K$127)</f>
        <v>19</v>
      </c>
      <c r="N107" s="610"/>
      <c r="O107" s="600"/>
      <c r="P107" s="187">
        <v>4</v>
      </c>
      <c r="Q107" s="187">
        <v>2713</v>
      </c>
      <c r="R107" s="184">
        <f t="shared" si="38"/>
        <v>678.25</v>
      </c>
      <c r="S107" s="181">
        <f t="shared" si="39"/>
        <v>21</v>
      </c>
      <c r="T107" s="596"/>
      <c r="U107" s="187">
        <v>4</v>
      </c>
      <c r="V107" s="187">
        <v>2766.9233999999997</v>
      </c>
      <c r="W107" s="184">
        <f t="shared" si="35"/>
        <v>691.73084999999992</v>
      </c>
      <c r="X107" s="181">
        <f t="shared" si="40"/>
        <v>18</v>
      </c>
      <c r="Y107" s="596"/>
      <c r="Z107" s="187">
        <v>4</v>
      </c>
      <c r="AA107" s="187">
        <v>2823.3441413999994</v>
      </c>
      <c r="AB107" s="184">
        <f t="shared" si="41"/>
        <v>705.83603534999986</v>
      </c>
      <c r="AC107" s="181">
        <f t="shared" si="42"/>
        <v>18</v>
      </c>
      <c r="AD107" s="596"/>
      <c r="AE107" s="187">
        <v>4</v>
      </c>
      <c r="AF107" s="187">
        <v>2883.9820883693988</v>
      </c>
      <c r="AG107" s="184">
        <f t="shared" si="43"/>
        <v>720.99552209234969</v>
      </c>
      <c r="AH107" s="181">
        <f t="shared" si="44"/>
        <v>18</v>
      </c>
      <c r="AI107" s="596"/>
      <c r="AJ107" s="187">
        <v>4</v>
      </c>
      <c r="AK107" s="187">
        <v>2969.6438612776542</v>
      </c>
      <c r="AL107" s="184">
        <f t="shared" si="45"/>
        <v>742.41096531941355</v>
      </c>
      <c r="AM107" s="181">
        <f t="shared" si="46"/>
        <v>18</v>
      </c>
      <c r="AN107" s="596"/>
      <c r="AO107" s="187">
        <v>4</v>
      </c>
      <c r="AP107" s="187">
        <v>2970.9638612776544</v>
      </c>
      <c r="AQ107" s="184">
        <f t="shared" si="47"/>
        <v>742.74096531941359</v>
      </c>
      <c r="AR107" s="181">
        <f t="shared" si="48"/>
        <v>18</v>
      </c>
      <c r="AS107" s="596"/>
      <c r="AT107" s="187">
        <v>4</v>
      </c>
      <c r="AU107" s="187">
        <v>2972.2838612776541</v>
      </c>
      <c r="AV107" s="184">
        <f t="shared" si="49"/>
        <v>743.07096531941352</v>
      </c>
      <c r="AW107" s="181">
        <f t="shared" si="50"/>
        <v>18</v>
      </c>
      <c r="AX107" s="596"/>
    </row>
    <row r="108" spans="2:50" ht="14.25" customHeight="1">
      <c r="B108" s="597"/>
      <c r="C108" s="179">
        <v>18</v>
      </c>
      <c r="D108" s="182" t="s">
        <v>400</v>
      </c>
      <c r="E108" s="183">
        <v>5</v>
      </c>
      <c r="F108" s="179">
        <v>3600</v>
      </c>
      <c r="G108" s="184">
        <f t="shared" si="36"/>
        <v>720</v>
      </c>
      <c r="H108" s="598"/>
      <c r="I108" s="185">
        <f t="shared" si="37"/>
        <v>5</v>
      </c>
      <c r="J108" s="185">
        <f t="shared" si="37"/>
        <v>3186.0693789510374</v>
      </c>
      <c r="K108" s="186">
        <f t="shared" si="37"/>
        <v>637.21387579020745</v>
      </c>
      <c r="L108" s="599"/>
      <c r="M108" s="185">
        <f>RANK(K108, K$91:$K$127)</f>
        <v>28</v>
      </c>
      <c r="N108" s="610"/>
      <c r="O108" s="600"/>
      <c r="P108" s="187">
        <v>5</v>
      </c>
      <c r="Q108" s="187">
        <v>3188.107897371453</v>
      </c>
      <c r="R108" s="184">
        <f t="shared" si="38"/>
        <v>637.62157947429057</v>
      </c>
      <c r="S108" s="181">
        <f t="shared" si="39"/>
        <v>28</v>
      </c>
      <c r="T108" s="596"/>
      <c r="U108" s="187">
        <v>5</v>
      </c>
      <c r="V108" s="187">
        <v>3187.3878973714518</v>
      </c>
      <c r="W108" s="184">
        <f t="shared" si="35"/>
        <v>637.47757947429034</v>
      </c>
      <c r="X108" s="181">
        <f t="shared" si="40"/>
        <v>29</v>
      </c>
      <c r="Y108" s="596"/>
      <c r="Z108" s="187">
        <v>5</v>
      </c>
      <c r="AA108" s="187">
        <v>3185.5878973714521</v>
      </c>
      <c r="AB108" s="184">
        <f t="shared" si="41"/>
        <v>637.11757947429044</v>
      </c>
      <c r="AC108" s="181">
        <f t="shared" si="42"/>
        <v>29</v>
      </c>
      <c r="AD108" s="596"/>
      <c r="AE108" s="187">
        <v>5</v>
      </c>
      <c r="AF108" s="187">
        <v>3184.8678973714523</v>
      </c>
      <c r="AG108" s="184">
        <f t="shared" si="43"/>
        <v>636.97357947429043</v>
      </c>
      <c r="AH108" s="181">
        <f t="shared" si="44"/>
        <v>29</v>
      </c>
      <c r="AI108" s="596"/>
      <c r="AJ108" s="187">
        <v>5</v>
      </c>
      <c r="AK108" s="187">
        <v>3183.4278973714518</v>
      </c>
      <c r="AL108" s="184">
        <f t="shared" si="45"/>
        <v>636.68557947429031</v>
      </c>
      <c r="AM108" s="181">
        <f t="shared" si="46"/>
        <v>29</v>
      </c>
      <c r="AN108" s="596"/>
      <c r="AO108" s="187">
        <v>5</v>
      </c>
      <c r="AP108" s="187">
        <v>3184.8678973714514</v>
      </c>
      <c r="AQ108" s="184">
        <f t="shared" si="47"/>
        <v>636.97357947429032</v>
      </c>
      <c r="AR108" s="181">
        <f t="shared" si="48"/>
        <v>29</v>
      </c>
      <c r="AS108" s="596"/>
      <c r="AT108" s="187">
        <v>5</v>
      </c>
      <c r="AU108" s="187">
        <v>3188.2382684285512</v>
      </c>
      <c r="AV108" s="184">
        <f t="shared" si="49"/>
        <v>637.64765368571022</v>
      </c>
      <c r="AW108" s="181">
        <f t="shared" si="50"/>
        <v>29</v>
      </c>
      <c r="AX108" s="596"/>
    </row>
    <row r="109" spans="2:50" ht="14.25" customHeight="1">
      <c r="B109" s="597"/>
      <c r="C109" s="179">
        <v>19</v>
      </c>
      <c r="D109" s="182" t="s">
        <v>399</v>
      </c>
      <c r="E109" s="183">
        <v>3</v>
      </c>
      <c r="F109" s="179">
        <v>3600</v>
      </c>
      <c r="G109" s="184">
        <f t="shared" si="36"/>
        <v>1200</v>
      </c>
      <c r="H109" s="598"/>
      <c r="I109" s="185">
        <f t="shared" si="37"/>
        <v>3</v>
      </c>
      <c r="J109" s="185">
        <f t="shared" si="37"/>
        <v>3188.4065812766707</v>
      </c>
      <c r="K109" s="186">
        <f t="shared" si="37"/>
        <v>1062.8021937588901</v>
      </c>
      <c r="L109" s="599"/>
      <c r="M109" s="185">
        <f>RANK(K109, K$91:$K$127)</f>
        <v>7</v>
      </c>
      <c r="N109" s="610"/>
      <c r="O109" s="600"/>
      <c r="P109" s="187">
        <v>3</v>
      </c>
      <c r="Q109" s="187">
        <v>3187.7894384195279</v>
      </c>
      <c r="R109" s="184">
        <f t="shared" si="38"/>
        <v>1062.596479473176</v>
      </c>
      <c r="S109" s="181">
        <f t="shared" si="39"/>
        <v>7</v>
      </c>
      <c r="T109" s="596"/>
      <c r="U109" s="187">
        <v>3</v>
      </c>
      <c r="V109" s="187">
        <v>3186.7094384195279</v>
      </c>
      <c r="W109" s="184">
        <f t="shared" si="35"/>
        <v>1062.2364794731759</v>
      </c>
      <c r="X109" s="181">
        <f t="shared" si="40"/>
        <v>7</v>
      </c>
      <c r="Y109" s="596"/>
      <c r="Z109" s="187">
        <v>3</v>
      </c>
      <c r="AA109" s="187">
        <v>3187.0694384195276</v>
      </c>
      <c r="AB109" s="184">
        <f t="shared" si="41"/>
        <v>1062.3564794731758</v>
      </c>
      <c r="AC109" s="181">
        <f t="shared" si="42"/>
        <v>6</v>
      </c>
      <c r="AD109" s="596"/>
      <c r="AE109" s="187">
        <v>3</v>
      </c>
      <c r="AF109" s="187">
        <v>3188.8694384195278</v>
      </c>
      <c r="AG109" s="184">
        <f t="shared" si="43"/>
        <v>1062.9564794731759</v>
      </c>
      <c r="AH109" s="181">
        <f t="shared" si="44"/>
        <v>5</v>
      </c>
      <c r="AI109" s="596"/>
      <c r="AJ109" s="187">
        <v>3</v>
      </c>
      <c r="AK109" s="187">
        <v>3189.5894384195281</v>
      </c>
      <c r="AL109" s="184">
        <f t="shared" si="45"/>
        <v>1063.1964794731759</v>
      </c>
      <c r="AM109" s="181">
        <f t="shared" si="46"/>
        <v>5</v>
      </c>
      <c r="AN109" s="596"/>
      <c r="AO109" s="187">
        <v>3</v>
      </c>
      <c r="AP109" s="187">
        <v>3189.5894384195281</v>
      </c>
      <c r="AQ109" s="184">
        <f t="shared" si="47"/>
        <v>1063.1964794731759</v>
      </c>
      <c r="AR109" s="181">
        <f t="shared" si="48"/>
        <v>4</v>
      </c>
      <c r="AS109" s="596"/>
      <c r="AT109" s="187">
        <v>3</v>
      </c>
      <c r="AU109" s="187">
        <v>3189.2294384195279</v>
      </c>
      <c r="AV109" s="184">
        <f t="shared" si="49"/>
        <v>1063.0764794731761</v>
      </c>
      <c r="AW109" s="181">
        <f t="shared" si="50"/>
        <v>3</v>
      </c>
      <c r="AX109" s="596"/>
    </row>
    <row r="110" spans="2:50" ht="14.25" customHeight="1">
      <c r="B110" s="597"/>
      <c r="C110" s="179">
        <v>20</v>
      </c>
      <c r="D110" s="182" t="s">
        <v>401</v>
      </c>
      <c r="E110" s="183">
        <v>4</v>
      </c>
      <c r="F110" s="179">
        <v>3300</v>
      </c>
      <c r="G110" s="184">
        <f t="shared" si="36"/>
        <v>825</v>
      </c>
      <c r="H110" s="598"/>
      <c r="I110" s="185">
        <f t="shared" si="37"/>
        <v>4</v>
      </c>
      <c r="J110" s="185">
        <f t="shared" si="37"/>
        <v>2986.9242857142863</v>
      </c>
      <c r="K110" s="186">
        <f t="shared" si="37"/>
        <v>746.73107142857157</v>
      </c>
      <c r="L110" s="599"/>
      <c r="M110" s="185">
        <f>RANK(K110, K$91:$K$127)</f>
        <v>18</v>
      </c>
      <c r="N110" s="610"/>
      <c r="O110" s="600"/>
      <c r="P110" s="187">
        <v>4</v>
      </c>
      <c r="Q110" s="187">
        <v>2988.15</v>
      </c>
      <c r="R110" s="184">
        <f t="shared" si="38"/>
        <v>747.03750000000002</v>
      </c>
      <c r="S110" s="181">
        <f t="shared" si="39"/>
        <v>18</v>
      </c>
      <c r="T110" s="596"/>
      <c r="U110" s="187">
        <v>4</v>
      </c>
      <c r="V110" s="187">
        <v>2986.5000000000005</v>
      </c>
      <c r="W110" s="184">
        <f t="shared" si="35"/>
        <v>746.62500000000011</v>
      </c>
      <c r="X110" s="181">
        <f t="shared" si="40"/>
        <v>17</v>
      </c>
      <c r="Y110" s="596"/>
      <c r="Z110" s="187">
        <v>4</v>
      </c>
      <c r="AA110" s="187">
        <v>2986.1700000000005</v>
      </c>
      <c r="AB110" s="184">
        <f t="shared" si="41"/>
        <v>746.54250000000013</v>
      </c>
      <c r="AC110" s="181">
        <f t="shared" si="42"/>
        <v>17</v>
      </c>
      <c r="AD110" s="596"/>
      <c r="AE110" s="187">
        <v>4</v>
      </c>
      <c r="AF110" s="187">
        <v>2986.8300000000008</v>
      </c>
      <c r="AG110" s="184">
        <f t="shared" si="43"/>
        <v>746.70750000000021</v>
      </c>
      <c r="AH110" s="181">
        <f t="shared" si="44"/>
        <v>17</v>
      </c>
      <c r="AI110" s="596"/>
      <c r="AJ110" s="187">
        <v>4</v>
      </c>
      <c r="AK110" s="187">
        <v>2985.8400000000011</v>
      </c>
      <c r="AL110" s="184">
        <f t="shared" si="45"/>
        <v>746.46000000000026</v>
      </c>
      <c r="AM110" s="181">
        <f t="shared" si="46"/>
        <v>17</v>
      </c>
      <c r="AN110" s="596"/>
      <c r="AO110" s="187">
        <v>4</v>
      </c>
      <c r="AP110" s="187">
        <v>2986.8300000000008</v>
      </c>
      <c r="AQ110" s="184">
        <f t="shared" si="47"/>
        <v>746.70750000000021</v>
      </c>
      <c r="AR110" s="181">
        <f t="shared" si="48"/>
        <v>16</v>
      </c>
      <c r="AS110" s="596"/>
      <c r="AT110" s="187">
        <v>4</v>
      </c>
      <c r="AU110" s="187">
        <v>2988.150000000001</v>
      </c>
      <c r="AV110" s="184">
        <f t="shared" si="49"/>
        <v>747.03750000000025</v>
      </c>
      <c r="AW110" s="181">
        <f t="shared" si="50"/>
        <v>16</v>
      </c>
      <c r="AX110" s="596"/>
    </row>
    <row r="111" spans="2:50" ht="14.25" customHeight="1">
      <c r="B111" s="597"/>
      <c r="C111" s="179">
        <v>21</v>
      </c>
      <c r="D111" s="182" t="s">
        <v>344</v>
      </c>
      <c r="E111" s="183">
        <v>5</v>
      </c>
      <c r="F111" s="179">
        <v>3300</v>
      </c>
      <c r="G111" s="184">
        <f t="shared" si="36"/>
        <v>660</v>
      </c>
      <c r="H111" s="598"/>
      <c r="I111" s="185">
        <f t="shared" si="37"/>
        <v>5</v>
      </c>
      <c r="J111" s="185">
        <f t="shared" si="37"/>
        <v>2990.8842857142849</v>
      </c>
      <c r="K111" s="186">
        <f t="shared" si="37"/>
        <v>598.17685714285687</v>
      </c>
      <c r="L111" s="599"/>
      <c r="M111" s="185">
        <f>RANK(K111, K$91:$K$127)</f>
        <v>31</v>
      </c>
      <c r="N111" s="610"/>
      <c r="O111" s="600"/>
      <c r="P111" s="187">
        <v>5</v>
      </c>
      <c r="Q111" s="187">
        <v>2991.12</v>
      </c>
      <c r="R111" s="184">
        <f t="shared" si="38"/>
        <v>598.22399999999993</v>
      </c>
      <c r="S111" s="181">
        <f t="shared" si="39"/>
        <v>29</v>
      </c>
      <c r="T111" s="596"/>
      <c r="U111" s="187">
        <v>5</v>
      </c>
      <c r="V111" s="187">
        <v>2990.1299999999992</v>
      </c>
      <c r="W111" s="184">
        <f t="shared" si="35"/>
        <v>598.02599999999984</v>
      </c>
      <c r="X111" s="181">
        <f t="shared" si="40"/>
        <v>30</v>
      </c>
      <c r="Y111" s="596"/>
      <c r="Z111" s="187">
        <v>5</v>
      </c>
      <c r="AA111" s="187">
        <v>2991.1199999999994</v>
      </c>
      <c r="AB111" s="184">
        <f t="shared" si="41"/>
        <v>598.22399999999993</v>
      </c>
      <c r="AC111" s="181">
        <f t="shared" si="42"/>
        <v>30</v>
      </c>
      <c r="AD111" s="596"/>
      <c r="AE111" s="187">
        <v>5</v>
      </c>
      <c r="AF111" s="187">
        <v>2990.1299999999997</v>
      </c>
      <c r="AG111" s="184">
        <f t="shared" si="43"/>
        <v>598.02599999999995</v>
      </c>
      <c r="AH111" s="181">
        <f t="shared" si="44"/>
        <v>30</v>
      </c>
      <c r="AI111" s="596"/>
      <c r="AJ111" s="187">
        <v>5</v>
      </c>
      <c r="AK111" s="187">
        <v>2991.119999999999</v>
      </c>
      <c r="AL111" s="184">
        <f t="shared" si="45"/>
        <v>598.22399999999982</v>
      </c>
      <c r="AM111" s="181">
        <f t="shared" si="46"/>
        <v>30</v>
      </c>
      <c r="AN111" s="596"/>
      <c r="AO111" s="187">
        <v>5</v>
      </c>
      <c r="AP111" s="187">
        <v>2990.7899999999986</v>
      </c>
      <c r="AQ111" s="184">
        <f t="shared" si="47"/>
        <v>598.15799999999967</v>
      </c>
      <c r="AR111" s="181">
        <f t="shared" si="48"/>
        <v>30</v>
      </c>
      <c r="AS111" s="596"/>
      <c r="AT111" s="187">
        <v>5</v>
      </c>
      <c r="AU111" s="187">
        <v>2991.7799999999984</v>
      </c>
      <c r="AV111" s="184">
        <f t="shared" si="49"/>
        <v>598.35599999999965</v>
      </c>
      <c r="AW111" s="181">
        <f t="shared" si="50"/>
        <v>30</v>
      </c>
      <c r="AX111" s="596"/>
    </row>
    <row r="112" spans="2:50" ht="14.25" customHeight="1">
      <c r="B112" s="597"/>
      <c r="C112" s="179">
        <v>22</v>
      </c>
      <c r="D112" s="182" t="s">
        <v>395</v>
      </c>
      <c r="E112" s="183">
        <v>3</v>
      </c>
      <c r="F112" s="179">
        <v>3600</v>
      </c>
      <c r="G112" s="184">
        <f t="shared" si="36"/>
        <v>1200</v>
      </c>
      <c r="H112" s="598"/>
      <c r="I112" s="185">
        <f t="shared" si="37"/>
        <v>3</v>
      </c>
      <c r="J112" s="185">
        <f t="shared" si="37"/>
        <v>3190.3549415274256</v>
      </c>
      <c r="K112" s="186">
        <f t="shared" si="37"/>
        <v>1063.4516471758086</v>
      </c>
      <c r="L112" s="599"/>
      <c r="M112" s="185">
        <f>RANK(K112, K$91:$K$127)</f>
        <v>5</v>
      </c>
      <c r="N112" s="610"/>
      <c r="O112" s="600"/>
      <c r="P112" s="187">
        <v>3</v>
      </c>
      <c r="Q112" s="187">
        <v>3192.6177986702833</v>
      </c>
      <c r="R112" s="184">
        <f t="shared" si="38"/>
        <v>1064.2059328900943</v>
      </c>
      <c r="S112" s="181">
        <f t="shared" si="39"/>
        <v>3</v>
      </c>
      <c r="T112" s="596"/>
      <c r="U112" s="187">
        <v>3</v>
      </c>
      <c r="V112" s="187">
        <v>3191.897798670283</v>
      </c>
      <c r="W112" s="184">
        <f t="shared" si="35"/>
        <v>1063.9659328900943</v>
      </c>
      <c r="X112" s="181">
        <f t="shared" si="40"/>
        <v>4</v>
      </c>
      <c r="Y112" s="596"/>
      <c r="Z112" s="187">
        <v>3</v>
      </c>
      <c r="AA112" s="187">
        <v>3190.457798670283</v>
      </c>
      <c r="AB112" s="184">
        <f t="shared" si="41"/>
        <v>1063.4859328900943</v>
      </c>
      <c r="AC112" s="181">
        <f t="shared" si="42"/>
        <v>3</v>
      </c>
      <c r="AD112" s="596"/>
      <c r="AE112" s="187">
        <v>3</v>
      </c>
      <c r="AF112" s="187">
        <v>3191.5377986702824</v>
      </c>
      <c r="AG112" s="184">
        <f t="shared" si="43"/>
        <v>1063.8459328900942</v>
      </c>
      <c r="AH112" s="181">
        <f t="shared" si="44"/>
        <v>3</v>
      </c>
      <c r="AI112" s="596"/>
      <c r="AJ112" s="187">
        <v>3</v>
      </c>
      <c r="AK112" s="187">
        <v>3189.7377986702827</v>
      </c>
      <c r="AL112" s="184">
        <f t="shared" si="45"/>
        <v>1063.2459328900943</v>
      </c>
      <c r="AM112" s="181">
        <f t="shared" si="46"/>
        <v>4</v>
      </c>
      <c r="AN112" s="596"/>
      <c r="AO112" s="187">
        <v>3</v>
      </c>
      <c r="AP112" s="187">
        <v>3187.937798670283</v>
      </c>
      <c r="AQ112" s="184">
        <f t="shared" si="47"/>
        <v>1062.6459328900944</v>
      </c>
      <c r="AR112" s="181">
        <f t="shared" si="48"/>
        <v>7</v>
      </c>
      <c r="AS112" s="596"/>
      <c r="AT112" s="187">
        <v>3</v>
      </c>
      <c r="AU112" s="187">
        <v>3188.2977986702826</v>
      </c>
      <c r="AV112" s="184">
        <f t="shared" si="49"/>
        <v>1062.7659328900943</v>
      </c>
      <c r="AW112" s="181">
        <f t="shared" si="50"/>
        <v>7</v>
      </c>
      <c r="AX112" s="596"/>
    </row>
    <row r="113" spans="2:50" ht="14.25" customHeight="1">
      <c r="B113" s="597"/>
      <c r="C113" s="179">
        <v>23</v>
      </c>
      <c r="D113" s="182" t="s">
        <v>519</v>
      </c>
      <c r="E113" s="183">
        <v>4</v>
      </c>
      <c r="F113" s="179">
        <v>3600</v>
      </c>
      <c r="G113" s="184">
        <f t="shared" si="36"/>
        <v>900</v>
      </c>
      <c r="H113" s="598"/>
      <c r="I113" s="185">
        <f t="shared" si="37"/>
        <v>4</v>
      </c>
      <c r="J113" s="185">
        <f t="shared" si="37"/>
        <v>3189.4188347986078</v>
      </c>
      <c r="K113" s="186">
        <f t="shared" si="37"/>
        <v>797.35470869965195</v>
      </c>
      <c r="L113" s="599"/>
      <c r="M113" s="185">
        <f>RANK(K113, K$91:$K$127)</f>
        <v>15</v>
      </c>
      <c r="N113" s="610"/>
      <c r="O113" s="600"/>
      <c r="P113" s="187">
        <v>4</v>
      </c>
      <c r="Q113" s="187">
        <v>3190.6799999999989</v>
      </c>
      <c r="R113" s="184">
        <f t="shared" si="38"/>
        <v>797.66999999999973</v>
      </c>
      <c r="S113" s="181">
        <f t="shared" si="39"/>
        <v>16</v>
      </c>
      <c r="T113" s="596"/>
      <c r="U113" s="187">
        <v>4</v>
      </c>
      <c r="V113" s="187">
        <v>3190.3199999999988</v>
      </c>
      <c r="W113" s="184">
        <f t="shared" si="35"/>
        <v>797.5799999999997</v>
      </c>
      <c r="X113" s="181">
        <f t="shared" si="40"/>
        <v>14</v>
      </c>
      <c r="Y113" s="596"/>
      <c r="Z113" s="187">
        <v>4</v>
      </c>
      <c r="AA113" s="187">
        <v>3189.2399999999989</v>
      </c>
      <c r="AB113" s="184">
        <f t="shared" si="41"/>
        <v>797.30999999999972</v>
      </c>
      <c r="AC113" s="181">
        <f t="shared" si="42"/>
        <v>14</v>
      </c>
      <c r="AD113" s="596"/>
      <c r="AE113" s="187">
        <v>4</v>
      </c>
      <c r="AF113" s="187">
        <v>3189.2399999999989</v>
      </c>
      <c r="AG113" s="184">
        <f t="shared" si="43"/>
        <v>797.30999999999972</v>
      </c>
      <c r="AH113" s="181">
        <f t="shared" si="44"/>
        <v>14</v>
      </c>
      <c r="AI113" s="596"/>
      <c r="AJ113" s="187">
        <v>4</v>
      </c>
      <c r="AK113" s="187">
        <v>3188.1599999999989</v>
      </c>
      <c r="AL113" s="184">
        <f t="shared" si="45"/>
        <v>797.03999999999974</v>
      </c>
      <c r="AM113" s="181">
        <f t="shared" si="46"/>
        <v>14</v>
      </c>
      <c r="AN113" s="596"/>
      <c r="AO113" s="187">
        <v>4</v>
      </c>
      <c r="AP113" s="187">
        <v>3187.7999999999993</v>
      </c>
      <c r="AQ113" s="184">
        <f t="shared" si="47"/>
        <v>796.94999999999982</v>
      </c>
      <c r="AR113" s="181">
        <f t="shared" si="48"/>
        <v>14</v>
      </c>
      <c r="AS113" s="596"/>
      <c r="AT113" s="187">
        <v>4</v>
      </c>
      <c r="AU113" s="187">
        <v>3190.49184359026</v>
      </c>
      <c r="AV113" s="184">
        <f t="shared" si="49"/>
        <v>797.62296089756501</v>
      </c>
      <c r="AW113" s="181">
        <f t="shared" si="50"/>
        <v>14</v>
      </c>
      <c r="AX113" s="596"/>
    </row>
    <row r="114" spans="2:50" ht="14.25" customHeight="1">
      <c r="B114" s="597"/>
      <c r="C114" s="179">
        <v>24</v>
      </c>
      <c r="D114" s="182" t="s">
        <v>398</v>
      </c>
      <c r="E114" s="183">
        <v>3</v>
      </c>
      <c r="F114" s="179">
        <v>3600</v>
      </c>
      <c r="G114" s="184">
        <f t="shared" si="36"/>
        <v>1200</v>
      </c>
      <c r="H114" s="598"/>
      <c r="I114" s="185">
        <f t="shared" si="37"/>
        <v>3</v>
      </c>
      <c r="J114" s="185">
        <f t="shared" si="37"/>
        <v>3198.364912621214</v>
      </c>
      <c r="K114" s="186">
        <f t="shared" si="37"/>
        <v>1066.1216375404047</v>
      </c>
      <c r="L114" s="599"/>
      <c r="M114" s="185">
        <f>RANK(K114, K$91:$K$127)</f>
        <v>2</v>
      </c>
      <c r="N114" s="610"/>
      <c r="O114" s="600"/>
      <c r="P114" s="187">
        <v>3</v>
      </c>
      <c r="Q114" s="187">
        <v>3199.0967331164566</v>
      </c>
      <c r="R114" s="184">
        <f t="shared" si="38"/>
        <v>1066.3655777054855</v>
      </c>
      <c r="S114" s="181">
        <f t="shared" si="39"/>
        <v>1</v>
      </c>
      <c r="T114" s="596"/>
      <c r="U114" s="187">
        <v>3</v>
      </c>
      <c r="V114" s="187">
        <v>3198.842942538673</v>
      </c>
      <c r="W114" s="184">
        <f t="shared" si="35"/>
        <v>1066.2809808462243</v>
      </c>
      <c r="X114" s="181">
        <f t="shared" si="40"/>
        <v>1</v>
      </c>
      <c r="Y114" s="596"/>
      <c r="Z114" s="187">
        <v>3</v>
      </c>
      <c r="AA114" s="187">
        <v>3198.4829425386738</v>
      </c>
      <c r="AB114" s="184">
        <f t="shared" si="41"/>
        <v>1066.1609808462247</v>
      </c>
      <c r="AC114" s="181">
        <f t="shared" si="42"/>
        <v>2</v>
      </c>
      <c r="AD114" s="596"/>
      <c r="AE114" s="187">
        <v>3</v>
      </c>
      <c r="AF114" s="187">
        <v>3197.0429425386742</v>
      </c>
      <c r="AG114" s="184">
        <f t="shared" si="43"/>
        <v>1065.6809808462247</v>
      </c>
      <c r="AH114" s="181">
        <f t="shared" si="44"/>
        <v>2</v>
      </c>
      <c r="AI114" s="596"/>
      <c r="AJ114" s="187">
        <v>3</v>
      </c>
      <c r="AK114" s="187">
        <v>3197.4029425386739</v>
      </c>
      <c r="AL114" s="184">
        <f t="shared" si="45"/>
        <v>1065.8009808462245</v>
      </c>
      <c r="AM114" s="181">
        <f t="shared" si="46"/>
        <v>2</v>
      </c>
      <c r="AN114" s="596"/>
      <c r="AO114" s="187">
        <v>3</v>
      </c>
      <c r="AP114" s="187">
        <v>3199.2029425386731</v>
      </c>
      <c r="AQ114" s="184">
        <f t="shared" si="47"/>
        <v>1066.4009808462245</v>
      </c>
      <c r="AR114" s="181">
        <f t="shared" si="48"/>
        <v>1</v>
      </c>
      <c r="AS114" s="596"/>
      <c r="AT114" s="187">
        <v>3</v>
      </c>
      <c r="AU114" s="187">
        <v>3198.4829425386733</v>
      </c>
      <c r="AV114" s="184">
        <f t="shared" si="49"/>
        <v>1066.1609808462244</v>
      </c>
      <c r="AW114" s="181">
        <f t="shared" si="50"/>
        <v>2</v>
      </c>
      <c r="AX114" s="596"/>
    </row>
    <row r="115" spans="2:50" ht="14.25" customHeight="1">
      <c r="B115" s="597"/>
      <c r="C115" s="179">
        <v>25</v>
      </c>
      <c r="D115" s="182" t="s">
        <v>397</v>
      </c>
      <c r="E115" s="183">
        <v>5</v>
      </c>
      <c r="F115" s="179">
        <v>3600</v>
      </c>
      <c r="G115" s="184">
        <f t="shared" si="36"/>
        <v>720</v>
      </c>
      <c r="H115" s="598"/>
      <c r="I115" s="185">
        <f t="shared" si="37"/>
        <v>5</v>
      </c>
      <c r="J115" s="185">
        <f t="shared" si="37"/>
        <v>3196.8573151285314</v>
      </c>
      <c r="K115" s="186">
        <f t="shared" si="37"/>
        <v>639.37146302570636</v>
      </c>
      <c r="L115" s="599"/>
      <c r="M115" s="185">
        <f>RANK(K115, K$91:$K$127)</f>
        <v>25</v>
      </c>
      <c r="N115" s="610"/>
      <c r="O115" s="600"/>
      <c r="P115" s="187">
        <v>5</v>
      </c>
      <c r="Q115" s="187">
        <v>3197.6287436999601</v>
      </c>
      <c r="R115" s="184">
        <f t="shared" si="38"/>
        <v>639.52574873999197</v>
      </c>
      <c r="S115" s="181">
        <f t="shared" si="39"/>
        <v>24</v>
      </c>
      <c r="T115" s="596"/>
      <c r="U115" s="187">
        <v>5</v>
      </c>
      <c r="V115" s="187">
        <v>3196.5487436999601</v>
      </c>
      <c r="W115" s="184">
        <f t="shared" si="35"/>
        <v>639.30974873999207</v>
      </c>
      <c r="X115" s="181">
        <f t="shared" si="40"/>
        <v>26</v>
      </c>
      <c r="Y115" s="596"/>
      <c r="Z115" s="187">
        <v>5</v>
      </c>
      <c r="AA115" s="187">
        <v>3196.9087436999607</v>
      </c>
      <c r="AB115" s="184">
        <f t="shared" si="41"/>
        <v>639.38174873999219</v>
      </c>
      <c r="AC115" s="181">
        <f t="shared" si="42"/>
        <v>26</v>
      </c>
      <c r="AD115" s="596"/>
      <c r="AE115" s="187">
        <v>5</v>
      </c>
      <c r="AF115" s="187">
        <v>3195.1087436999605</v>
      </c>
      <c r="AG115" s="184">
        <f t="shared" si="43"/>
        <v>639.02174873999206</v>
      </c>
      <c r="AH115" s="181">
        <f t="shared" si="44"/>
        <v>26</v>
      </c>
      <c r="AI115" s="596"/>
      <c r="AJ115" s="187">
        <v>5</v>
      </c>
      <c r="AK115" s="187">
        <v>3196.9087436999598</v>
      </c>
      <c r="AL115" s="184">
        <f t="shared" si="45"/>
        <v>639.38174873999196</v>
      </c>
      <c r="AM115" s="181">
        <f t="shared" si="46"/>
        <v>26</v>
      </c>
      <c r="AN115" s="596"/>
      <c r="AO115" s="187">
        <v>5</v>
      </c>
      <c r="AP115" s="187">
        <v>3197.2687436999595</v>
      </c>
      <c r="AQ115" s="184">
        <f t="shared" si="47"/>
        <v>639.45374873999185</v>
      </c>
      <c r="AR115" s="181">
        <f t="shared" si="48"/>
        <v>26</v>
      </c>
      <c r="AS115" s="596"/>
      <c r="AT115" s="187">
        <v>5</v>
      </c>
      <c r="AU115" s="187">
        <v>3197.6287436999592</v>
      </c>
      <c r="AV115" s="184">
        <f t="shared" si="49"/>
        <v>639.52574873999185</v>
      </c>
      <c r="AW115" s="181">
        <f t="shared" si="50"/>
        <v>25</v>
      </c>
      <c r="AX115" s="596"/>
    </row>
    <row r="116" spans="2:50" ht="14.25" customHeight="1">
      <c r="B116" s="597"/>
      <c r="C116" s="179">
        <v>26</v>
      </c>
      <c r="D116" s="182" t="s">
        <v>394</v>
      </c>
      <c r="E116" s="183">
        <v>5</v>
      </c>
      <c r="F116" s="179">
        <v>3600</v>
      </c>
      <c r="G116" s="184">
        <f t="shared" si="36"/>
        <v>720</v>
      </c>
      <c r="H116" s="598"/>
      <c r="I116" s="185">
        <f t="shared" si="37"/>
        <v>5</v>
      </c>
      <c r="J116" s="185">
        <f t="shared" si="37"/>
        <v>3191.6654312284381</v>
      </c>
      <c r="K116" s="186">
        <f t="shared" si="37"/>
        <v>638.33308624568758</v>
      </c>
      <c r="L116" s="599"/>
      <c r="M116" s="185">
        <f>RANK(K116, K$91:$K$127)</f>
        <v>27</v>
      </c>
      <c r="N116" s="610"/>
      <c r="O116" s="600"/>
      <c r="P116" s="187">
        <v>5</v>
      </c>
      <c r="Q116" s="187">
        <v>3189.6082883712961</v>
      </c>
      <c r="R116" s="184">
        <f t="shared" si="38"/>
        <v>637.92165767425922</v>
      </c>
      <c r="S116" s="181">
        <f t="shared" si="39"/>
        <v>27</v>
      </c>
      <c r="T116" s="596"/>
      <c r="U116" s="187">
        <v>5</v>
      </c>
      <c r="V116" s="187">
        <v>3190.6882883712956</v>
      </c>
      <c r="W116" s="184">
        <f t="shared" si="35"/>
        <v>638.13765767425912</v>
      </c>
      <c r="X116" s="181">
        <f t="shared" si="40"/>
        <v>28</v>
      </c>
      <c r="Y116" s="596"/>
      <c r="Z116" s="187">
        <v>5</v>
      </c>
      <c r="AA116" s="187">
        <v>3192.4882883712953</v>
      </c>
      <c r="AB116" s="184">
        <f t="shared" si="41"/>
        <v>638.49765767425902</v>
      </c>
      <c r="AC116" s="181">
        <f t="shared" si="42"/>
        <v>28</v>
      </c>
      <c r="AD116" s="596"/>
      <c r="AE116" s="187">
        <v>5</v>
      </c>
      <c r="AF116" s="187">
        <v>3192.1282883712947</v>
      </c>
      <c r="AG116" s="184">
        <f t="shared" si="43"/>
        <v>638.4256576742589</v>
      </c>
      <c r="AH116" s="181">
        <f t="shared" si="44"/>
        <v>28</v>
      </c>
      <c r="AI116" s="596"/>
      <c r="AJ116" s="187">
        <v>5</v>
      </c>
      <c r="AK116" s="187">
        <v>3193.2082883712942</v>
      </c>
      <c r="AL116" s="184">
        <f t="shared" si="45"/>
        <v>638.64165767425879</v>
      </c>
      <c r="AM116" s="181">
        <f t="shared" si="46"/>
        <v>28</v>
      </c>
      <c r="AN116" s="596"/>
      <c r="AO116" s="187">
        <v>5</v>
      </c>
      <c r="AP116" s="187">
        <v>3191.7682883712941</v>
      </c>
      <c r="AQ116" s="184">
        <f t="shared" si="47"/>
        <v>638.35365767425878</v>
      </c>
      <c r="AR116" s="181">
        <f t="shared" si="48"/>
        <v>28</v>
      </c>
      <c r="AS116" s="596"/>
      <c r="AT116" s="187">
        <v>5</v>
      </c>
      <c r="AU116" s="187">
        <v>3191.7682883712941</v>
      </c>
      <c r="AV116" s="184">
        <f t="shared" si="49"/>
        <v>638.35365767425878</v>
      </c>
      <c r="AW116" s="181">
        <f t="shared" si="50"/>
        <v>28</v>
      </c>
      <c r="AX116" s="596"/>
    </row>
    <row r="117" spans="2:50" ht="14.25" customHeight="1">
      <c r="B117" s="597"/>
      <c r="C117" s="179">
        <v>27</v>
      </c>
      <c r="D117" s="182" t="s">
        <v>396</v>
      </c>
      <c r="E117" s="183">
        <v>3</v>
      </c>
      <c r="F117" s="179">
        <v>3000</v>
      </c>
      <c r="G117" s="184">
        <f t="shared" si="36"/>
        <v>1000</v>
      </c>
      <c r="H117" s="598"/>
      <c r="I117" s="185">
        <f t="shared" si="37"/>
        <v>3</v>
      </c>
      <c r="J117" s="185">
        <f t="shared" si="37"/>
        <v>2720.1660232569666</v>
      </c>
      <c r="K117" s="186">
        <f t="shared" si="37"/>
        <v>906.72200775232227</v>
      </c>
      <c r="L117" s="599"/>
      <c r="M117" s="185">
        <f>RANK(K117, K$91:$K$127)</f>
        <v>13</v>
      </c>
      <c r="N117" s="610"/>
      <c r="O117" s="600"/>
      <c r="P117" s="187">
        <v>3</v>
      </c>
      <c r="Q117" s="187">
        <v>2719.0088803998242</v>
      </c>
      <c r="R117" s="184">
        <f t="shared" si="38"/>
        <v>906.33629346660803</v>
      </c>
      <c r="S117" s="181">
        <f t="shared" si="39"/>
        <v>13</v>
      </c>
      <c r="T117" s="596"/>
      <c r="U117" s="187">
        <v>3</v>
      </c>
      <c r="V117" s="187">
        <v>2719.9088803998238</v>
      </c>
      <c r="W117" s="184">
        <f t="shared" si="35"/>
        <v>906.63629346660798</v>
      </c>
      <c r="X117" s="181">
        <f t="shared" si="40"/>
        <v>12</v>
      </c>
      <c r="Y117" s="596"/>
      <c r="Z117" s="187">
        <v>3</v>
      </c>
      <c r="AA117" s="187">
        <v>2719.9088803998238</v>
      </c>
      <c r="AB117" s="184">
        <f t="shared" si="41"/>
        <v>906.63629346660798</v>
      </c>
      <c r="AC117" s="181">
        <f t="shared" si="42"/>
        <v>12</v>
      </c>
      <c r="AD117" s="596"/>
      <c r="AE117" s="187">
        <v>3</v>
      </c>
      <c r="AF117" s="187">
        <v>2720.8088803998235</v>
      </c>
      <c r="AG117" s="184">
        <f t="shared" si="43"/>
        <v>906.93629346660782</v>
      </c>
      <c r="AH117" s="181">
        <f t="shared" si="44"/>
        <v>12</v>
      </c>
      <c r="AI117" s="596"/>
      <c r="AJ117" s="187">
        <v>3</v>
      </c>
      <c r="AK117" s="187">
        <v>2720.8088803998235</v>
      </c>
      <c r="AL117" s="184">
        <f t="shared" si="45"/>
        <v>906.93629346660782</v>
      </c>
      <c r="AM117" s="181">
        <f t="shared" si="46"/>
        <v>12</v>
      </c>
      <c r="AN117" s="596"/>
      <c r="AO117" s="187">
        <v>3</v>
      </c>
      <c r="AP117" s="187">
        <v>2720.8088803998235</v>
      </c>
      <c r="AQ117" s="184">
        <f t="shared" si="47"/>
        <v>906.93629346660782</v>
      </c>
      <c r="AR117" s="181">
        <f t="shared" si="48"/>
        <v>12</v>
      </c>
      <c r="AS117" s="596"/>
      <c r="AT117" s="187">
        <v>3</v>
      </c>
      <c r="AU117" s="187">
        <v>2719.9088803998238</v>
      </c>
      <c r="AV117" s="184">
        <f t="shared" si="49"/>
        <v>906.63629346660798</v>
      </c>
      <c r="AW117" s="181">
        <f t="shared" si="50"/>
        <v>12</v>
      </c>
      <c r="AX117" s="596"/>
    </row>
    <row r="118" spans="2:50" ht="14.25" customHeight="1">
      <c r="B118" s="597"/>
      <c r="C118" s="179">
        <v>28</v>
      </c>
      <c r="D118" s="182" t="s">
        <v>434</v>
      </c>
      <c r="E118" s="183">
        <v>3</v>
      </c>
      <c r="F118" s="179">
        <v>3600</v>
      </c>
      <c r="G118" s="184">
        <f t="shared" si="36"/>
        <v>1200</v>
      </c>
      <c r="H118" s="598"/>
      <c r="I118" s="185">
        <f t="shared" si="37"/>
        <v>3</v>
      </c>
      <c r="J118" s="185">
        <f t="shared" si="37"/>
        <v>3187.642043960263</v>
      </c>
      <c r="K118" s="186">
        <f t="shared" si="37"/>
        <v>1062.5473479867544</v>
      </c>
      <c r="L118" s="599"/>
      <c r="M118" s="185">
        <f>RANK(K118, K$91:$K$127)</f>
        <v>8</v>
      </c>
      <c r="N118" s="610"/>
      <c r="O118" s="600"/>
      <c r="P118" s="187">
        <v>3</v>
      </c>
      <c r="Q118" s="187">
        <v>3186.2534725316928</v>
      </c>
      <c r="R118" s="184">
        <f t="shared" si="38"/>
        <v>1062.0844908438976</v>
      </c>
      <c r="S118" s="181">
        <f t="shared" si="39"/>
        <v>8</v>
      </c>
      <c r="T118" s="596"/>
      <c r="U118" s="187">
        <v>3</v>
      </c>
      <c r="V118" s="187">
        <v>3187.6934725316914</v>
      </c>
      <c r="W118" s="184">
        <f t="shared" si="35"/>
        <v>1062.5644908438971</v>
      </c>
      <c r="X118" s="181">
        <f t="shared" si="40"/>
        <v>6</v>
      </c>
      <c r="Y118" s="596"/>
      <c r="Z118" s="187">
        <v>3</v>
      </c>
      <c r="AA118" s="187">
        <v>3186.9734725316912</v>
      </c>
      <c r="AB118" s="184">
        <f t="shared" si="41"/>
        <v>1062.3244908438971</v>
      </c>
      <c r="AC118" s="181">
        <f t="shared" si="42"/>
        <v>7</v>
      </c>
      <c r="AD118" s="596"/>
      <c r="AE118" s="187">
        <v>3</v>
      </c>
      <c r="AF118" s="187">
        <v>3187.6934725316914</v>
      </c>
      <c r="AG118" s="184">
        <f t="shared" si="43"/>
        <v>1062.5644908438971</v>
      </c>
      <c r="AH118" s="181">
        <f t="shared" si="44"/>
        <v>6</v>
      </c>
      <c r="AI118" s="596"/>
      <c r="AJ118" s="187">
        <v>3</v>
      </c>
      <c r="AK118" s="187">
        <v>3187.6934725316914</v>
      </c>
      <c r="AL118" s="184">
        <f t="shared" si="45"/>
        <v>1062.5644908438971</v>
      </c>
      <c r="AM118" s="181">
        <f t="shared" si="46"/>
        <v>7</v>
      </c>
      <c r="AN118" s="596"/>
      <c r="AO118" s="187">
        <v>3</v>
      </c>
      <c r="AP118" s="187">
        <v>3188.0534725316911</v>
      </c>
      <c r="AQ118" s="184">
        <f t="shared" si="47"/>
        <v>1062.684490843897</v>
      </c>
      <c r="AR118" s="181">
        <f t="shared" si="48"/>
        <v>6</v>
      </c>
      <c r="AS118" s="596"/>
      <c r="AT118" s="187">
        <v>3</v>
      </c>
      <c r="AU118" s="187">
        <v>3189.1334725316915</v>
      </c>
      <c r="AV118" s="184">
        <f t="shared" si="49"/>
        <v>1063.0444908438972</v>
      </c>
      <c r="AW118" s="181">
        <f t="shared" si="50"/>
        <v>4</v>
      </c>
      <c r="AX118" s="596"/>
    </row>
    <row r="119" spans="2:50" ht="14.25" customHeight="1">
      <c r="B119" s="597"/>
      <c r="C119" s="179">
        <v>29</v>
      </c>
      <c r="D119" s="182" t="s">
        <v>440</v>
      </c>
      <c r="E119" s="183">
        <v>4</v>
      </c>
      <c r="F119" s="179">
        <v>3000</v>
      </c>
      <c r="G119" s="184">
        <f t="shared" si="36"/>
        <v>750</v>
      </c>
      <c r="H119" s="598"/>
      <c r="I119" s="185">
        <f t="shared" si="37"/>
        <v>4</v>
      </c>
      <c r="J119" s="185">
        <f t="shared" si="37"/>
        <v>2720.0711039469857</v>
      </c>
      <c r="K119" s="186">
        <f t="shared" si="37"/>
        <v>680.01777598674641</v>
      </c>
      <c r="L119" s="599"/>
      <c r="M119" s="185">
        <f>RANK(K119, K$91:$K$127)</f>
        <v>20</v>
      </c>
      <c r="N119" s="610"/>
      <c r="O119" s="600"/>
      <c r="P119" s="187">
        <v>4</v>
      </c>
      <c r="Q119" s="187">
        <v>2719.3853896612723</v>
      </c>
      <c r="R119" s="184">
        <f t="shared" si="38"/>
        <v>679.84634741531806</v>
      </c>
      <c r="S119" s="181">
        <f t="shared" si="39"/>
        <v>19</v>
      </c>
      <c r="T119" s="596"/>
      <c r="U119" s="187">
        <v>4</v>
      </c>
      <c r="V119" s="187">
        <v>2719.9853896612717</v>
      </c>
      <c r="W119" s="184">
        <f t="shared" si="35"/>
        <v>679.99634741531793</v>
      </c>
      <c r="X119" s="181">
        <f t="shared" si="40"/>
        <v>20</v>
      </c>
      <c r="Y119" s="596"/>
      <c r="Z119" s="187">
        <v>4</v>
      </c>
      <c r="AA119" s="187">
        <v>2719.0853896612716</v>
      </c>
      <c r="AB119" s="184">
        <f t="shared" si="41"/>
        <v>679.7713474153179</v>
      </c>
      <c r="AC119" s="181">
        <f t="shared" si="42"/>
        <v>20</v>
      </c>
      <c r="AD119" s="596"/>
      <c r="AE119" s="187">
        <v>4</v>
      </c>
      <c r="AF119" s="187">
        <v>2719.9853896612717</v>
      </c>
      <c r="AG119" s="184">
        <f t="shared" si="43"/>
        <v>679.99634741531793</v>
      </c>
      <c r="AH119" s="181">
        <f t="shared" si="44"/>
        <v>20</v>
      </c>
      <c r="AI119" s="596"/>
      <c r="AJ119" s="187">
        <v>4</v>
      </c>
      <c r="AK119" s="187">
        <v>2720.5853896612712</v>
      </c>
      <c r="AL119" s="184">
        <f t="shared" si="45"/>
        <v>680.14634741531779</v>
      </c>
      <c r="AM119" s="181">
        <f t="shared" si="46"/>
        <v>19</v>
      </c>
      <c r="AN119" s="596"/>
      <c r="AO119" s="187">
        <v>4</v>
      </c>
      <c r="AP119" s="187">
        <v>2719.9853896612713</v>
      </c>
      <c r="AQ119" s="184">
        <f t="shared" si="47"/>
        <v>679.99634741531781</v>
      </c>
      <c r="AR119" s="181">
        <f t="shared" si="48"/>
        <v>19</v>
      </c>
      <c r="AS119" s="596"/>
      <c r="AT119" s="187">
        <v>4</v>
      </c>
      <c r="AU119" s="187">
        <v>2721.4853896612713</v>
      </c>
      <c r="AV119" s="184">
        <f t="shared" si="49"/>
        <v>680.37134741531781</v>
      </c>
      <c r="AW119" s="181">
        <f t="shared" si="50"/>
        <v>19</v>
      </c>
      <c r="AX119" s="596"/>
    </row>
    <row r="120" spans="2:50" ht="14.25" customHeight="1">
      <c r="B120" s="597"/>
      <c r="C120" s="179">
        <v>30</v>
      </c>
      <c r="D120" s="182" t="s">
        <v>507</v>
      </c>
      <c r="E120" s="183">
        <v>5</v>
      </c>
      <c r="F120" s="179">
        <v>3000</v>
      </c>
      <c r="G120" s="184">
        <f t="shared" si="36"/>
        <v>600</v>
      </c>
      <c r="H120" s="598"/>
      <c r="I120" s="185">
        <f t="shared" si="37"/>
        <v>5</v>
      </c>
      <c r="J120" s="185">
        <f t="shared" si="37"/>
        <v>2721.0005940949095</v>
      </c>
      <c r="K120" s="186">
        <f t="shared" si="37"/>
        <v>544.20011881898188</v>
      </c>
      <c r="L120" s="599"/>
      <c r="M120" s="185">
        <f>RANK(K120, K$91:$K$127)</f>
        <v>33</v>
      </c>
      <c r="N120" s="610"/>
      <c r="O120" s="600"/>
      <c r="P120" s="187">
        <v>5</v>
      </c>
      <c r="Q120" s="187">
        <v>2719.2005940949102</v>
      </c>
      <c r="R120" s="184">
        <f t="shared" si="38"/>
        <v>543.84011881898209</v>
      </c>
      <c r="S120" s="181">
        <f t="shared" si="39"/>
        <v>31</v>
      </c>
      <c r="T120" s="596"/>
      <c r="U120" s="187">
        <v>5</v>
      </c>
      <c r="V120" s="187">
        <v>2719.8005940949101</v>
      </c>
      <c r="W120" s="184">
        <f t="shared" si="35"/>
        <v>543.96011881898198</v>
      </c>
      <c r="X120" s="181">
        <f t="shared" si="40"/>
        <v>32</v>
      </c>
      <c r="Y120" s="596"/>
      <c r="Z120" s="187">
        <v>5</v>
      </c>
      <c r="AA120" s="187">
        <v>2720.1005940949099</v>
      </c>
      <c r="AB120" s="184">
        <f t="shared" si="41"/>
        <v>544.02011881898193</v>
      </c>
      <c r="AC120" s="181">
        <f t="shared" si="42"/>
        <v>32</v>
      </c>
      <c r="AD120" s="596"/>
      <c r="AE120" s="187">
        <v>5</v>
      </c>
      <c r="AF120" s="187">
        <v>2721.3005940949097</v>
      </c>
      <c r="AG120" s="184">
        <f t="shared" si="43"/>
        <v>544.26011881898194</v>
      </c>
      <c r="AH120" s="181">
        <f t="shared" si="44"/>
        <v>32</v>
      </c>
      <c r="AI120" s="596"/>
      <c r="AJ120" s="187">
        <v>5</v>
      </c>
      <c r="AK120" s="187">
        <v>2721.6005940949094</v>
      </c>
      <c r="AL120" s="184">
        <f t="shared" si="45"/>
        <v>544.32011881898188</v>
      </c>
      <c r="AM120" s="181">
        <f t="shared" si="46"/>
        <v>32</v>
      </c>
      <c r="AN120" s="596"/>
      <c r="AO120" s="187">
        <v>5</v>
      </c>
      <c r="AP120" s="187">
        <v>2722.8005940949092</v>
      </c>
      <c r="AQ120" s="184">
        <f t="shared" si="47"/>
        <v>544.56011881898189</v>
      </c>
      <c r="AR120" s="181">
        <f t="shared" si="48"/>
        <v>32</v>
      </c>
      <c r="AS120" s="596"/>
      <c r="AT120" s="187">
        <v>5</v>
      </c>
      <c r="AU120" s="187">
        <v>2722.2005940949098</v>
      </c>
      <c r="AV120" s="184">
        <f t="shared" si="49"/>
        <v>544.440118818982</v>
      </c>
      <c r="AW120" s="181">
        <f t="shared" si="50"/>
        <v>32</v>
      </c>
      <c r="AX120" s="596"/>
    </row>
    <row r="121" spans="2:50" ht="14.25" customHeight="1">
      <c r="B121" s="597"/>
      <c r="C121" s="179">
        <v>31</v>
      </c>
      <c r="D121" s="182" t="s">
        <v>663</v>
      </c>
      <c r="E121" s="179">
        <v>6</v>
      </c>
      <c r="F121" s="179">
        <v>3600</v>
      </c>
      <c r="G121" s="184">
        <f t="shared" si="36"/>
        <v>600</v>
      </c>
      <c r="H121" s="598"/>
      <c r="I121" s="185">
        <f t="shared" si="37"/>
        <v>5.1428571428571432</v>
      </c>
      <c r="J121" s="185">
        <f t="shared" si="37"/>
        <v>3261.7303994574918</v>
      </c>
      <c r="K121" s="186">
        <f t="shared" si="37"/>
        <v>636.81625560760688</v>
      </c>
      <c r="L121" s="599"/>
      <c r="M121" s="185">
        <f>RANK(K121, K$91:$K$127)</f>
        <v>30</v>
      </c>
      <c r="N121" s="610"/>
      <c r="O121" s="600"/>
      <c r="P121" s="187">
        <v>6</v>
      </c>
      <c r="Q121" s="187">
        <v>3261.2630996172256</v>
      </c>
      <c r="R121" s="184">
        <f t="shared" si="38"/>
        <v>543.54384993620431</v>
      </c>
      <c r="S121" s="181">
        <f t="shared" si="39"/>
        <v>32</v>
      </c>
      <c r="T121" s="596"/>
      <c r="U121" s="187">
        <v>5</v>
      </c>
      <c r="V121" s="187">
        <v>3260.9030996172255</v>
      </c>
      <c r="W121" s="184">
        <f t="shared" si="35"/>
        <v>652.18061992344508</v>
      </c>
      <c r="X121" s="181">
        <f t="shared" si="40"/>
        <v>22</v>
      </c>
      <c r="Y121" s="596"/>
      <c r="Z121" s="187">
        <v>5</v>
      </c>
      <c r="AA121" s="187">
        <v>3261.6230996172253</v>
      </c>
      <c r="AB121" s="184">
        <f t="shared" si="41"/>
        <v>652.32461992344508</v>
      </c>
      <c r="AC121" s="181">
        <f t="shared" si="42"/>
        <v>22</v>
      </c>
      <c r="AD121" s="596"/>
      <c r="AE121" s="187">
        <v>5</v>
      </c>
      <c r="AF121" s="187">
        <v>3261.6230996172253</v>
      </c>
      <c r="AG121" s="184">
        <f t="shared" si="43"/>
        <v>652.32461992344508</v>
      </c>
      <c r="AH121" s="181">
        <f t="shared" si="44"/>
        <v>22</v>
      </c>
      <c r="AI121" s="596"/>
      <c r="AJ121" s="187">
        <v>5</v>
      </c>
      <c r="AK121" s="187">
        <v>3261.2630996172256</v>
      </c>
      <c r="AL121" s="184">
        <f t="shared" si="45"/>
        <v>652.25261992344508</v>
      </c>
      <c r="AM121" s="181">
        <f t="shared" si="46"/>
        <v>22</v>
      </c>
      <c r="AN121" s="596"/>
      <c r="AO121" s="187">
        <v>5</v>
      </c>
      <c r="AP121" s="187">
        <v>3261.2630996172256</v>
      </c>
      <c r="AQ121" s="184">
        <f t="shared" si="47"/>
        <v>652.25261992344508</v>
      </c>
      <c r="AR121" s="181">
        <f t="shared" si="48"/>
        <v>22</v>
      </c>
      <c r="AS121" s="596"/>
      <c r="AT121" s="187">
        <v>5</v>
      </c>
      <c r="AU121" s="187">
        <v>3264.1741984990908</v>
      </c>
      <c r="AV121" s="184">
        <f t="shared" si="49"/>
        <v>652.83483969981819</v>
      </c>
      <c r="AW121" s="181">
        <f t="shared" si="50"/>
        <v>22</v>
      </c>
      <c r="AX121" s="596"/>
    </row>
    <row r="122" spans="2:50" ht="14.25" customHeight="1">
      <c r="B122" s="597"/>
      <c r="C122" s="179">
        <v>32</v>
      </c>
      <c r="D122" s="182" t="s">
        <v>690</v>
      </c>
      <c r="E122" s="179">
        <v>4</v>
      </c>
      <c r="F122" s="179">
        <v>3000</v>
      </c>
      <c r="G122" s="184">
        <f t="shared" si="36"/>
        <v>750</v>
      </c>
      <c r="H122" s="598"/>
      <c r="I122" s="185">
        <f t="shared" ref="I122:K126" si="51">AVERAGE(P122,U122,Z122,AE122,AJ122,AO122,AT122)</f>
        <v>4</v>
      </c>
      <c r="J122" s="185">
        <f t="shared" si="51"/>
        <v>2719.6427747972325</v>
      </c>
      <c r="K122" s="186">
        <f t="shared" si="51"/>
        <v>679.91069369930813</v>
      </c>
      <c r="L122" s="599"/>
      <c r="M122" s="185">
        <f>RANK(K122, K$91:$K$127)</f>
        <v>21</v>
      </c>
      <c r="N122" s="610"/>
      <c r="O122" s="600"/>
      <c r="P122" s="187">
        <v>4</v>
      </c>
      <c r="Q122" s="187">
        <v>2718.7427747972324</v>
      </c>
      <c r="R122" s="184">
        <f t="shared" si="38"/>
        <v>679.6856936993081</v>
      </c>
      <c r="S122" s="181">
        <f t="shared" si="39"/>
        <v>20</v>
      </c>
      <c r="T122" s="596"/>
      <c r="U122" s="187">
        <v>4</v>
      </c>
      <c r="V122" s="187">
        <v>2720.242774797232</v>
      </c>
      <c r="W122" s="184">
        <f t="shared" si="35"/>
        <v>680.06069369930799</v>
      </c>
      <c r="X122" s="181">
        <f t="shared" si="40"/>
        <v>19</v>
      </c>
      <c r="Y122" s="596"/>
      <c r="Z122" s="187">
        <v>4</v>
      </c>
      <c r="AA122" s="187">
        <v>2719.3427747972323</v>
      </c>
      <c r="AB122" s="184">
        <f t="shared" si="41"/>
        <v>679.83569369930808</v>
      </c>
      <c r="AC122" s="181">
        <f t="shared" si="42"/>
        <v>19</v>
      </c>
      <c r="AD122" s="596"/>
      <c r="AE122" s="187">
        <v>4</v>
      </c>
      <c r="AF122" s="187">
        <v>2720.242774797232</v>
      </c>
      <c r="AG122" s="184">
        <f t="shared" si="43"/>
        <v>680.06069369930799</v>
      </c>
      <c r="AH122" s="181">
        <f t="shared" si="44"/>
        <v>19</v>
      </c>
      <c r="AI122" s="596"/>
      <c r="AJ122" s="187">
        <v>4</v>
      </c>
      <c r="AK122" s="187">
        <v>2720.5427747972321</v>
      </c>
      <c r="AL122" s="184">
        <f t="shared" si="45"/>
        <v>680.13569369930804</v>
      </c>
      <c r="AM122" s="181">
        <f t="shared" si="46"/>
        <v>20</v>
      </c>
      <c r="AN122" s="596"/>
      <c r="AO122" s="187">
        <v>4</v>
      </c>
      <c r="AP122" s="187">
        <v>2719.6427747972321</v>
      </c>
      <c r="AQ122" s="184">
        <f t="shared" si="47"/>
        <v>679.91069369930801</v>
      </c>
      <c r="AR122" s="181">
        <f t="shared" si="48"/>
        <v>20</v>
      </c>
      <c r="AS122" s="596"/>
      <c r="AT122" s="187">
        <v>4</v>
      </c>
      <c r="AU122" s="187">
        <v>2718.7427747972324</v>
      </c>
      <c r="AV122" s="184">
        <f t="shared" si="49"/>
        <v>679.6856936993081</v>
      </c>
      <c r="AW122" s="181">
        <f t="shared" si="50"/>
        <v>20</v>
      </c>
      <c r="AX122" s="596"/>
    </row>
    <row r="123" spans="2:50" ht="14.25" customHeight="1">
      <c r="B123" s="597"/>
      <c r="C123" s="179">
        <v>33</v>
      </c>
      <c r="D123" s="182" t="s">
        <v>691</v>
      </c>
      <c r="E123" s="179">
        <v>6</v>
      </c>
      <c r="F123" s="179">
        <v>3600</v>
      </c>
      <c r="G123" s="184">
        <f t="shared" si="36"/>
        <v>600</v>
      </c>
      <c r="H123" s="598"/>
      <c r="I123" s="185">
        <f t="shared" si="51"/>
        <v>5.1428571428571432</v>
      </c>
      <c r="J123" s="185">
        <f t="shared" si="51"/>
        <v>3263.1339778323959</v>
      </c>
      <c r="K123" s="186">
        <f t="shared" si="51"/>
        <v>637.10447050197126</v>
      </c>
      <c r="L123" s="599"/>
      <c r="M123" s="185">
        <f>RANK(K123, K$91:$K$127)</f>
        <v>29</v>
      </c>
      <c r="N123" s="610"/>
      <c r="O123" s="600"/>
      <c r="P123" s="187">
        <v>6</v>
      </c>
      <c r="Q123" s="187">
        <v>3259.6882635466823</v>
      </c>
      <c r="R123" s="184">
        <f t="shared" si="38"/>
        <v>543.28137725778038</v>
      </c>
      <c r="S123" s="181">
        <f t="shared" si="39"/>
        <v>33</v>
      </c>
      <c r="T123" s="596"/>
      <c r="U123" s="187">
        <v>5</v>
      </c>
      <c r="V123" s="187">
        <v>3261.1282635466823</v>
      </c>
      <c r="W123" s="184">
        <f t="shared" si="35"/>
        <v>652.22565270933649</v>
      </c>
      <c r="X123" s="181">
        <f t="shared" si="40"/>
        <v>21</v>
      </c>
      <c r="Y123" s="596"/>
      <c r="Z123" s="187">
        <v>5</v>
      </c>
      <c r="AA123" s="187">
        <v>3262.9282635466816</v>
      </c>
      <c r="AB123" s="184">
        <f t="shared" si="41"/>
        <v>652.58565270933627</v>
      </c>
      <c r="AC123" s="181">
        <f t="shared" si="42"/>
        <v>21</v>
      </c>
      <c r="AD123" s="596"/>
      <c r="AE123" s="187">
        <v>5</v>
      </c>
      <c r="AF123" s="187">
        <v>3262.9282635466811</v>
      </c>
      <c r="AG123" s="184">
        <f t="shared" si="43"/>
        <v>652.58565270933627</v>
      </c>
      <c r="AH123" s="181">
        <f t="shared" si="44"/>
        <v>21</v>
      </c>
      <c r="AI123" s="596"/>
      <c r="AJ123" s="187">
        <v>5</v>
      </c>
      <c r="AK123" s="187">
        <v>3264.0082635466815</v>
      </c>
      <c r="AL123" s="184">
        <f t="shared" si="45"/>
        <v>652.80165270933628</v>
      </c>
      <c r="AM123" s="181">
        <f t="shared" si="46"/>
        <v>21</v>
      </c>
      <c r="AN123" s="596"/>
      <c r="AO123" s="187">
        <v>5</v>
      </c>
      <c r="AP123" s="187">
        <v>3265.0882635466819</v>
      </c>
      <c r="AQ123" s="184">
        <f t="shared" si="47"/>
        <v>653.0176527093364</v>
      </c>
      <c r="AR123" s="181">
        <f t="shared" si="48"/>
        <v>21</v>
      </c>
      <c r="AS123" s="596"/>
      <c r="AT123" s="187">
        <v>5</v>
      </c>
      <c r="AU123" s="187">
        <v>3266.1682635466818</v>
      </c>
      <c r="AV123" s="184">
        <f t="shared" si="49"/>
        <v>653.23365270933641</v>
      </c>
      <c r="AW123" s="181">
        <f t="shared" si="50"/>
        <v>21</v>
      </c>
      <c r="AX123" s="596"/>
    </row>
    <row r="124" spans="2:50" ht="14.25" customHeight="1">
      <c r="B124" s="597"/>
      <c r="C124" s="179">
        <v>34</v>
      </c>
      <c r="D124" s="182" t="s">
        <v>484</v>
      </c>
      <c r="E124" s="179">
        <v>13</v>
      </c>
      <c r="F124" s="179">
        <v>3600</v>
      </c>
      <c r="G124" s="184">
        <f t="shared" si="36"/>
        <v>276.92307692307691</v>
      </c>
      <c r="H124" s="598"/>
      <c r="I124" s="185">
        <f t="shared" si="51"/>
        <v>13</v>
      </c>
      <c r="J124" s="185">
        <f t="shared" si="51"/>
        <v>3261.7666255692675</v>
      </c>
      <c r="K124" s="186">
        <f t="shared" si="51"/>
        <v>250.90512504378981</v>
      </c>
      <c r="L124" s="599"/>
      <c r="M124" s="185">
        <f>RANK(K124, K$91:$K$127)</f>
        <v>36</v>
      </c>
      <c r="N124" s="610"/>
      <c r="O124" s="600"/>
      <c r="P124" s="187">
        <v>13</v>
      </c>
      <c r="Q124" s="187">
        <v>3260.5837684264093</v>
      </c>
      <c r="R124" s="184">
        <f t="shared" si="38"/>
        <v>250.81413603280072</v>
      </c>
      <c r="S124" s="181">
        <f t="shared" si="39"/>
        <v>36</v>
      </c>
      <c r="T124" s="596"/>
      <c r="U124" s="187">
        <v>13</v>
      </c>
      <c r="V124" s="187">
        <v>3260.5837684264097</v>
      </c>
      <c r="W124" s="184">
        <f t="shared" si="35"/>
        <v>250.81413603280075</v>
      </c>
      <c r="X124" s="181">
        <f t="shared" si="40"/>
        <v>35</v>
      </c>
      <c r="Y124" s="596"/>
      <c r="Z124" s="187">
        <v>13</v>
      </c>
      <c r="AA124" s="187">
        <v>3262.3837684264099</v>
      </c>
      <c r="AB124" s="184">
        <f t="shared" si="41"/>
        <v>250.95259757126229</v>
      </c>
      <c r="AC124" s="181">
        <f t="shared" si="42"/>
        <v>35</v>
      </c>
      <c r="AD124" s="596"/>
      <c r="AE124" s="187">
        <v>13</v>
      </c>
      <c r="AF124" s="187">
        <v>3261.6637684264101</v>
      </c>
      <c r="AG124" s="184">
        <f t="shared" si="43"/>
        <v>250.89721295587771</v>
      </c>
      <c r="AH124" s="181">
        <f t="shared" si="44"/>
        <v>35</v>
      </c>
      <c r="AI124" s="596"/>
      <c r="AJ124" s="187">
        <v>13</v>
      </c>
      <c r="AK124" s="187">
        <v>3262.0237684264102</v>
      </c>
      <c r="AL124" s="184">
        <f t="shared" si="45"/>
        <v>250.92490526357003</v>
      </c>
      <c r="AM124" s="181">
        <f t="shared" si="46"/>
        <v>35</v>
      </c>
      <c r="AN124" s="596"/>
      <c r="AO124" s="187">
        <v>13</v>
      </c>
      <c r="AP124" s="187">
        <v>3262.0237684264107</v>
      </c>
      <c r="AQ124" s="184">
        <f t="shared" si="47"/>
        <v>250.92490526357005</v>
      </c>
      <c r="AR124" s="181">
        <f t="shared" si="48"/>
        <v>35</v>
      </c>
      <c r="AS124" s="596"/>
      <c r="AT124" s="187">
        <v>13</v>
      </c>
      <c r="AU124" s="187">
        <v>3263.1037684264111</v>
      </c>
      <c r="AV124" s="184">
        <f t="shared" si="49"/>
        <v>251.00798218664701</v>
      </c>
      <c r="AW124" s="181">
        <f t="shared" si="50"/>
        <v>35</v>
      </c>
      <c r="AX124" s="596"/>
    </row>
    <row r="125" spans="2:50" ht="14.25" customHeight="1">
      <c r="B125" s="597"/>
      <c r="C125" s="179">
        <v>35</v>
      </c>
      <c r="D125" s="182" t="s">
        <v>345</v>
      </c>
      <c r="E125" s="179">
        <v>3</v>
      </c>
      <c r="F125" s="179">
        <v>3000</v>
      </c>
      <c r="G125" s="184">
        <f t="shared" si="36"/>
        <v>1000</v>
      </c>
      <c r="H125" s="598"/>
      <c r="I125" s="185">
        <f t="shared" si="51"/>
        <v>3</v>
      </c>
      <c r="J125" s="185">
        <f t="shared" si="51"/>
        <v>2718.3110646916716</v>
      </c>
      <c r="K125" s="186">
        <f t="shared" si="51"/>
        <v>906.10368823055728</v>
      </c>
      <c r="L125" s="599"/>
      <c r="M125" s="185">
        <f>RANK(K125, K$91:$K$127)</f>
        <v>14</v>
      </c>
      <c r="N125" s="610"/>
      <c r="O125" s="600"/>
      <c r="P125" s="187">
        <v>3</v>
      </c>
      <c r="Q125" s="187">
        <v>2717.6253504059578</v>
      </c>
      <c r="R125" s="184">
        <f t="shared" si="38"/>
        <v>905.87511680198588</v>
      </c>
      <c r="S125" s="181">
        <f t="shared" si="39"/>
        <v>14</v>
      </c>
      <c r="T125" s="596"/>
      <c r="U125" s="187">
        <v>3</v>
      </c>
      <c r="V125" s="187">
        <v>2718.2253504059572</v>
      </c>
      <c r="W125" s="184">
        <f t="shared" si="35"/>
        <v>906.0751168019857</v>
      </c>
      <c r="X125" s="181">
        <f t="shared" si="40"/>
        <v>13</v>
      </c>
      <c r="Y125" s="596"/>
      <c r="Z125" s="187">
        <v>3</v>
      </c>
      <c r="AA125" s="187">
        <v>2719.4253504059575</v>
      </c>
      <c r="AB125" s="184">
        <f t="shared" si="41"/>
        <v>906.47511680198579</v>
      </c>
      <c r="AC125" s="181">
        <f t="shared" si="42"/>
        <v>13</v>
      </c>
      <c r="AD125" s="596"/>
      <c r="AE125" s="187">
        <v>3</v>
      </c>
      <c r="AF125" s="187">
        <v>2718.8253504059576</v>
      </c>
      <c r="AG125" s="184">
        <f t="shared" si="43"/>
        <v>906.27511680198586</v>
      </c>
      <c r="AH125" s="181">
        <f t="shared" si="44"/>
        <v>13</v>
      </c>
      <c r="AI125" s="596"/>
      <c r="AJ125" s="187">
        <v>3</v>
      </c>
      <c r="AK125" s="187">
        <v>2718.8253504059585</v>
      </c>
      <c r="AL125" s="184">
        <f t="shared" si="45"/>
        <v>906.2751168019862</v>
      </c>
      <c r="AM125" s="181">
        <f t="shared" si="46"/>
        <v>13</v>
      </c>
      <c r="AN125" s="596"/>
      <c r="AO125" s="187">
        <v>3</v>
      </c>
      <c r="AP125" s="187">
        <v>2717.3253504059576</v>
      </c>
      <c r="AQ125" s="184">
        <f t="shared" si="47"/>
        <v>905.77511680198586</v>
      </c>
      <c r="AR125" s="181">
        <f t="shared" si="48"/>
        <v>13</v>
      </c>
      <c r="AS125" s="596"/>
      <c r="AT125" s="187">
        <v>3</v>
      </c>
      <c r="AU125" s="187">
        <v>2717.9253504059579</v>
      </c>
      <c r="AV125" s="184">
        <f t="shared" si="49"/>
        <v>905.97511680198602</v>
      </c>
      <c r="AW125" s="181">
        <f t="shared" si="50"/>
        <v>13</v>
      </c>
      <c r="AX125" s="596"/>
    </row>
    <row r="126" spans="2:50" ht="14.25" customHeight="1">
      <c r="B126" s="597"/>
      <c r="C126" s="179">
        <v>36</v>
      </c>
      <c r="D126" s="182" t="s">
        <v>436</v>
      </c>
      <c r="E126" s="179">
        <v>12</v>
      </c>
      <c r="F126" s="179">
        <v>3600</v>
      </c>
      <c r="G126" s="184">
        <f t="shared" si="36"/>
        <v>300</v>
      </c>
      <c r="H126" s="598"/>
      <c r="I126" s="185">
        <f t="shared" si="51"/>
        <v>12</v>
      </c>
      <c r="J126" s="185">
        <f t="shared" si="51"/>
        <v>3119.1011204348092</v>
      </c>
      <c r="K126" s="186">
        <f t="shared" si="51"/>
        <v>259.92509336956743</v>
      </c>
      <c r="L126" s="599"/>
      <c r="M126" s="185">
        <f>RANK(K126, K$91:$K$127)</f>
        <v>35</v>
      </c>
      <c r="N126" s="610"/>
      <c r="O126" s="600"/>
      <c r="P126" s="187">
        <v>12</v>
      </c>
      <c r="Q126" s="187">
        <v>3119.2512706954089</v>
      </c>
      <c r="R126" s="184">
        <f t="shared" si="38"/>
        <v>259.93760589128408</v>
      </c>
      <c r="S126" s="181">
        <f t="shared" si="39"/>
        <v>35</v>
      </c>
      <c r="T126" s="596"/>
      <c r="U126" s="187">
        <v>12</v>
      </c>
      <c r="V126" s="187">
        <v>3119.6112706954082</v>
      </c>
      <c r="W126" s="184">
        <f t="shared" si="35"/>
        <v>259.96760589128399</v>
      </c>
      <c r="X126" s="181">
        <f t="shared" si="40"/>
        <v>34</v>
      </c>
      <c r="Y126" s="596"/>
      <c r="Z126" s="187">
        <v>12</v>
      </c>
      <c r="AA126" s="187">
        <v>3118.8912706954079</v>
      </c>
      <c r="AB126" s="184">
        <f t="shared" si="41"/>
        <v>259.90760589128399</v>
      </c>
      <c r="AC126" s="181">
        <f t="shared" si="42"/>
        <v>34</v>
      </c>
      <c r="AD126" s="596"/>
      <c r="AE126" s="187">
        <v>12</v>
      </c>
      <c r="AF126" s="187">
        <v>3118.8912706954079</v>
      </c>
      <c r="AG126" s="184">
        <f t="shared" si="43"/>
        <v>259.90760589128399</v>
      </c>
      <c r="AH126" s="181">
        <f t="shared" si="44"/>
        <v>34</v>
      </c>
      <c r="AI126" s="596"/>
      <c r="AJ126" s="187">
        <v>12</v>
      </c>
      <c r="AK126" s="187">
        <v>3118.5312706954078</v>
      </c>
      <c r="AL126" s="184">
        <f t="shared" si="45"/>
        <v>259.87760589128396</v>
      </c>
      <c r="AM126" s="181">
        <f t="shared" si="46"/>
        <v>34</v>
      </c>
      <c r="AN126" s="596"/>
      <c r="AO126" s="187">
        <v>12</v>
      </c>
      <c r="AP126" s="187">
        <v>3117.8112706954075</v>
      </c>
      <c r="AQ126" s="184">
        <f t="shared" si="47"/>
        <v>259.81760589128396</v>
      </c>
      <c r="AR126" s="181">
        <f t="shared" si="48"/>
        <v>34</v>
      </c>
      <c r="AS126" s="596"/>
      <c r="AT126" s="187">
        <v>12</v>
      </c>
      <c r="AU126" s="187">
        <v>3120.7202188712145</v>
      </c>
      <c r="AV126" s="184">
        <f t="shared" si="49"/>
        <v>260.06001823926789</v>
      </c>
      <c r="AW126" s="181">
        <f t="shared" si="50"/>
        <v>33</v>
      </c>
      <c r="AX126" s="596"/>
    </row>
    <row r="127" spans="2:50" ht="14.25" customHeight="1">
      <c r="B127" s="597"/>
      <c r="C127" s="179">
        <v>37</v>
      </c>
      <c r="D127" s="182"/>
      <c r="E127" s="179"/>
      <c r="F127" s="179"/>
      <c r="G127" s="184"/>
      <c r="H127" s="598"/>
      <c r="I127" s="185"/>
      <c r="J127" s="185"/>
      <c r="K127" s="186"/>
      <c r="L127" s="599"/>
      <c r="M127" s="185"/>
      <c r="N127" s="610"/>
      <c r="O127" s="600"/>
      <c r="P127" s="187"/>
      <c r="Q127" s="187"/>
      <c r="R127" s="184"/>
      <c r="S127" s="181"/>
      <c r="T127" s="596"/>
      <c r="U127" s="187"/>
      <c r="V127" s="187"/>
      <c r="W127" s="184"/>
      <c r="X127" s="181"/>
      <c r="Y127" s="596"/>
      <c r="Z127" s="187"/>
      <c r="AA127" s="187"/>
      <c r="AB127" s="184"/>
      <c r="AC127" s="181"/>
      <c r="AD127" s="596"/>
      <c r="AE127" s="187"/>
      <c r="AF127" s="187"/>
      <c r="AG127" s="184"/>
      <c r="AH127" s="181"/>
      <c r="AI127" s="596"/>
      <c r="AJ127" s="187"/>
      <c r="AK127" s="187"/>
      <c r="AL127" s="184"/>
      <c r="AM127" s="181"/>
      <c r="AN127" s="596"/>
      <c r="AO127" s="187"/>
      <c r="AP127" s="187"/>
      <c r="AQ127" s="184"/>
      <c r="AR127" s="181"/>
      <c r="AS127" s="596"/>
      <c r="AT127" s="187"/>
      <c r="AU127" s="187"/>
      <c r="AV127" s="184"/>
      <c r="AW127" s="181"/>
      <c r="AX127" s="596"/>
    </row>
  </sheetData>
  <mergeCells count="177">
    <mergeCell ref="AX7:AX43"/>
    <mergeCell ref="B7:B43"/>
    <mergeCell ref="H7:H43"/>
    <mergeCell ref="L7:L43"/>
    <mergeCell ref="T7:T43"/>
    <mergeCell ref="Y7:Y43"/>
    <mergeCell ref="AD7:AD43"/>
    <mergeCell ref="AI7:AI43"/>
    <mergeCell ref="AN7:AN43"/>
    <mergeCell ref="AS7:AS43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44:AX44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43"/>
    <mergeCell ref="O4:O43"/>
    <mergeCell ref="U46:X46"/>
    <mergeCell ref="Y46:Y48"/>
    <mergeCell ref="Z46:AC46"/>
    <mergeCell ref="AD46:AD48"/>
    <mergeCell ref="L46:L48"/>
    <mergeCell ref="M46:M48"/>
    <mergeCell ref="AX4:AX6"/>
    <mergeCell ref="B44:M45"/>
    <mergeCell ref="N44:N45"/>
    <mergeCell ref="O44:O45"/>
    <mergeCell ref="P44:T44"/>
    <mergeCell ref="U44:Y44"/>
    <mergeCell ref="P45:T45"/>
    <mergeCell ref="U45:Y45"/>
    <mergeCell ref="AE4:AH4"/>
    <mergeCell ref="Z45:AD45"/>
    <mergeCell ref="AE45:AI45"/>
    <mergeCell ref="AJ45:AN45"/>
    <mergeCell ref="AO45:AS45"/>
    <mergeCell ref="AT45:AX45"/>
    <mergeCell ref="Z44:AD44"/>
    <mergeCell ref="AE44:AI44"/>
    <mergeCell ref="AJ44:AN44"/>
    <mergeCell ref="AO44:AS44"/>
    <mergeCell ref="AI46:AI48"/>
    <mergeCell ref="AJ46:AM46"/>
    <mergeCell ref="AN46:AN48"/>
    <mergeCell ref="AO46:AR46"/>
    <mergeCell ref="AD49:AD85"/>
    <mergeCell ref="AI49:AI85"/>
    <mergeCell ref="AN49:AN85"/>
    <mergeCell ref="AS49:AS85"/>
    <mergeCell ref="B2:M3"/>
    <mergeCell ref="N2:N3"/>
    <mergeCell ref="O2:O3"/>
    <mergeCell ref="P2:T2"/>
    <mergeCell ref="U2:Y2"/>
    <mergeCell ref="Z2:AD2"/>
    <mergeCell ref="U47:X47"/>
    <mergeCell ref="Z47:AC47"/>
    <mergeCell ref="AE47:AH47"/>
    <mergeCell ref="B4:B6"/>
    <mergeCell ref="C4:D6"/>
    <mergeCell ref="E4:G4"/>
    <mergeCell ref="H4:H6"/>
    <mergeCell ref="AE5:AH5"/>
    <mergeCell ref="I4:K4"/>
    <mergeCell ref="T46:T48"/>
    <mergeCell ref="AX49:AX85"/>
    <mergeCell ref="B49:B85"/>
    <mergeCell ref="H49:H85"/>
    <mergeCell ref="L49:L85"/>
    <mergeCell ref="T49:T85"/>
    <mergeCell ref="Y49:Y85"/>
    <mergeCell ref="N46:N85"/>
    <mergeCell ref="O46:O85"/>
    <mergeCell ref="P46:S46"/>
    <mergeCell ref="B46:B48"/>
    <mergeCell ref="C46:D48"/>
    <mergeCell ref="E46:G46"/>
    <mergeCell ref="H46:H48"/>
    <mergeCell ref="I46:K46"/>
    <mergeCell ref="AS46:AS48"/>
    <mergeCell ref="AT46:AW46"/>
    <mergeCell ref="AX46:AX48"/>
    <mergeCell ref="E47:G47"/>
    <mergeCell ref="I47:K47"/>
    <mergeCell ref="P47:S47"/>
    <mergeCell ref="AJ47:AM47"/>
    <mergeCell ref="AO47:AR47"/>
    <mergeCell ref="AT47:AW47"/>
    <mergeCell ref="AE46:AH46"/>
    <mergeCell ref="B86:M87"/>
    <mergeCell ref="N86:N87"/>
    <mergeCell ref="O86:O87"/>
    <mergeCell ref="P86:T86"/>
    <mergeCell ref="U86:Y86"/>
    <mergeCell ref="Z86:AD86"/>
    <mergeCell ref="AE86:AI86"/>
    <mergeCell ref="AJ86:AN86"/>
    <mergeCell ref="AO86:AS86"/>
    <mergeCell ref="AT86:AX86"/>
    <mergeCell ref="P87:T87"/>
    <mergeCell ref="U87:Y87"/>
    <mergeCell ref="Z87:AD87"/>
    <mergeCell ref="AE87:AI87"/>
    <mergeCell ref="AJ87:AN87"/>
    <mergeCell ref="AO87:AS87"/>
    <mergeCell ref="AT87:AX87"/>
    <mergeCell ref="B88:B90"/>
    <mergeCell ref="C88:D90"/>
    <mergeCell ref="E88:G88"/>
    <mergeCell ref="H88:H90"/>
    <mergeCell ref="I88:K88"/>
    <mergeCell ref="L88:L90"/>
    <mergeCell ref="M88:M90"/>
    <mergeCell ref="N88:N127"/>
    <mergeCell ref="O88:O127"/>
    <mergeCell ref="P88:S88"/>
    <mergeCell ref="T88:T90"/>
    <mergeCell ref="U88:X88"/>
    <mergeCell ref="Y88:Y90"/>
    <mergeCell ref="Z88:AC88"/>
    <mergeCell ref="AD88:AD90"/>
    <mergeCell ref="AE88:AH88"/>
    <mergeCell ref="AI88:AI90"/>
    <mergeCell ref="AJ88:AM88"/>
    <mergeCell ref="AN88:AN90"/>
    <mergeCell ref="AO88:AR88"/>
    <mergeCell ref="AS88:AS90"/>
    <mergeCell ref="AT88:AW88"/>
    <mergeCell ref="AX88:AX90"/>
    <mergeCell ref="E89:G89"/>
    <mergeCell ref="I89:K89"/>
    <mergeCell ref="P89:S89"/>
    <mergeCell ref="U89:X89"/>
    <mergeCell ref="Z89:AC89"/>
    <mergeCell ref="AE89:AH89"/>
    <mergeCell ref="AJ89:AM89"/>
    <mergeCell ref="AO89:AR89"/>
    <mergeCell ref="AT89:AW89"/>
    <mergeCell ref="AX91:AX127"/>
    <mergeCell ref="B91:B127"/>
    <mergeCell ref="H91:H127"/>
    <mergeCell ref="L91:L127"/>
    <mergeCell ref="T91:T127"/>
    <mergeCell ref="Y91:Y127"/>
    <mergeCell ref="AD91:AD127"/>
    <mergeCell ref="AI91:AI127"/>
    <mergeCell ref="AN91:AN127"/>
    <mergeCell ref="AS91:AS127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126"/>
  <sheetViews>
    <sheetView zoomScaleNormal="100" workbookViewId="0">
      <pane xSplit="13" ySplit="1" topLeftCell="N29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M47" sqref="M47:M49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8" t="s">
        <v>744</v>
      </c>
      <c r="C1" s="174">
        <f>AVERAGE(L7,L27,L47)</f>
        <v>298.86613162126952</v>
      </c>
    </row>
    <row r="2" spans="1:50" ht="14.25" customHeight="1">
      <c r="B2" s="625" t="s">
        <v>709</v>
      </c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2"/>
      <c r="N2" s="629" t="s">
        <v>363</v>
      </c>
      <c r="O2" s="615" t="s">
        <v>105</v>
      </c>
      <c r="P2" s="617">
        <v>46203</v>
      </c>
      <c r="Q2" s="618"/>
      <c r="R2" s="618"/>
      <c r="S2" s="618"/>
      <c r="T2" s="618"/>
      <c r="U2" s="619">
        <v>46204</v>
      </c>
      <c r="V2" s="620"/>
      <c r="W2" s="620"/>
      <c r="X2" s="620"/>
      <c r="Y2" s="620"/>
      <c r="Z2" s="617">
        <v>46205</v>
      </c>
      <c r="AA2" s="618"/>
      <c r="AB2" s="618"/>
      <c r="AC2" s="618"/>
      <c r="AD2" s="618"/>
      <c r="AE2" s="619">
        <v>46206</v>
      </c>
      <c r="AF2" s="620"/>
      <c r="AG2" s="620"/>
      <c r="AH2" s="620"/>
      <c r="AI2" s="620"/>
      <c r="AJ2" s="602">
        <v>46207</v>
      </c>
      <c r="AK2" s="603"/>
      <c r="AL2" s="603"/>
      <c r="AM2" s="603"/>
      <c r="AN2" s="604"/>
      <c r="AO2" s="619">
        <v>46208</v>
      </c>
      <c r="AP2" s="620"/>
      <c r="AQ2" s="620"/>
      <c r="AR2" s="620"/>
      <c r="AS2" s="620"/>
      <c r="AT2" s="602">
        <v>46209</v>
      </c>
      <c r="AU2" s="603"/>
      <c r="AV2" s="603"/>
      <c r="AW2" s="603"/>
      <c r="AX2" s="604"/>
    </row>
    <row r="3" spans="1:50" ht="14.25" customHeight="1"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4"/>
      <c r="N3" s="630"/>
      <c r="O3" s="616"/>
      <c r="P3" s="605">
        <v>46196</v>
      </c>
      <c r="Q3" s="605"/>
      <c r="R3" s="605"/>
      <c r="S3" s="605"/>
      <c r="T3" s="605"/>
      <c r="U3" s="606">
        <v>46197</v>
      </c>
      <c r="V3" s="606"/>
      <c r="W3" s="606"/>
      <c r="X3" s="606"/>
      <c r="Y3" s="606"/>
      <c r="Z3" s="605">
        <v>46198</v>
      </c>
      <c r="AA3" s="605"/>
      <c r="AB3" s="605"/>
      <c r="AC3" s="605"/>
      <c r="AD3" s="605"/>
      <c r="AE3" s="606">
        <v>46199</v>
      </c>
      <c r="AF3" s="606"/>
      <c r="AG3" s="606"/>
      <c r="AH3" s="606"/>
      <c r="AI3" s="606"/>
      <c r="AJ3" s="607">
        <v>46200</v>
      </c>
      <c r="AK3" s="608"/>
      <c r="AL3" s="608"/>
      <c r="AM3" s="608"/>
      <c r="AN3" s="609"/>
      <c r="AO3" s="606">
        <v>46201</v>
      </c>
      <c r="AP3" s="606"/>
      <c r="AQ3" s="606"/>
      <c r="AR3" s="606"/>
      <c r="AS3" s="606"/>
      <c r="AT3" s="607">
        <v>46202</v>
      </c>
      <c r="AU3" s="608"/>
      <c r="AV3" s="608"/>
      <c r="AW3" s="608"/>
      <c r="AX3" s="609"/>
    </row>
    <row r="4" spans="1:50" ht="14.25" customHeight="1">
      <c r="B4" s="597" t="s">
        <v>162</v>
      </c>
      <c r="C4" s="597" t="s">
        <v>157</v>
      </c>
      <c r="D4" s="597"/>
      <c r="E4" s="597" t="s">
        <v>158</v>
      </c>
      <c r="F4" s="597"/>
      <c r="G4" s="597"/>
      <c r="H4" s="597" t="s">
        <v>163</v>
      </c>
      <c r="I4" s="601" t="s">
        <v>364</v>
      </c>
      <c r="J4" s="601"/>
      <c r="K4" s="601"/>
      <c r="L4" s="601" t="s">
        <v>163</v>
      </c>
      <c r="M4" s="601" t="s">
        <v>165</v>
      </c>
      <c r="N4" s="597"/>
      <c r="O4" s="597" t="s">
        <v>164</v>
      </c>
      <c r="P4" s="597" t="s">
        <v>160</v>
      </c>
      <c r="Q4" s="597"/>
      <c r="R4" s="597"/>
      <c r="S4" s="597"/>
      <c r="T4" s="597" t="s">
        <v>163</v>
      </c>
      <c r="U4" s="597" t="s">
        <v>160</v>
      </c>
      <c r="V4" s="597"/>
      <c r="W4" s="597"/>
      <c r="X4" s="597"/>
      <c r="Y4" s="597" t="s">
        <v>163</v>
      </c>
      <c r="Z4" s="597" t="s">
        <v>160</v>
      </c>
      <c r="AA4" s="597"/>
      <c r="AB4" s="597"/>
      <c r="AC4" s="597"/>
      <c r="AD4" s="597" t="s">
        <v>163</v>
      </c>
      <c r="AE4" s="597" t="s">
        <v>160</v>
      </c>
      <c r="AF4" s="597"/>
      <c r="AG4" s="597"/>
      <c r="AH4" s="597"/>
      <c r="AI4" s="597" t="s">
        <v>163</v>
      </c>
      <c r="AJ4" s="597" t="s">
        <v>160</v>
      </c>
      <c r="AK4" s="597"/>
      <c r="AL4" s="597"/>
      <c r="AM4" s="597"/>
      <c r="AN4" s="597" t="s">
        <v>163</v>
      </c>
      <c r="AO4" s="597" t="s">
        <v>160</v>
      </c>
      <c r="AP4" s="597"/>
      <c r="AQ4" s="597"/>
      <c r="AR4" s="597"/>
      <c r="AS4" s="597" t="s">
        <v>163</v>
      </c>
      <c r="AT4" s="597" t="s">
        <v>160</v>
      </c>
      <c r="AU4" s="597"/>
      <c r="AV4" s="597"/>
      <c r="AW4" s="597"/>
      <c r="AX4" s="597" t="s">
        <v>163</v>
      </c>
    </row>
    <row r="5" spans="1:50" ht="14.25" customHeight="1">
      <c r="B5" s="597"/>
      <c r="C5" s="597"/>
      <c r="D5" s="597"/>
      <c r="E5" s="597" t="s">
        <v>365</v>
      </c>
      <c r="F5" s="597"/>
      <c r="G5" s="597"/>
      <c r="H5" s="597"/>
      <c r="I5" s="601" t="s">
        <v>365</v>
      </c>
      <c r="J5" s="601"/>
      <c r="K5" s="601"/>
      <c r="L5" s="601"/>
      <c r="M5" s="601"/>
      <c r="N5" s="597"/>
      <c r="O5" s="597"/>
      <c r="P5" s="597" t="s">
        <v>366</v>
      </c>
      <c r="Q5" s="597"/>
      <c r="R5" s="597"/>
      <c r="S5" s="597"/>
      <c r="T5" s="597"/>
      <c r="U5" s="597" t="s">
        <v>366</v>
      </c>
      <c r="V5" s="597"/>
      <c r="W5" s="597"/>
      <c r="X5" s="597"/>
      <c r="Y5" s="597"/>
      <c r="Z5" s="597" t="s">
        <v>366</v>
      </c>
      <c r="AA5" s="597"/>
      <c r="AB5" s="597"/>
      <c r="AC5" s="597"/>
      <c r="AD5" s="597"/>
      <c r="AE5" s="597" t="s">
        <v>366</v>
      </c>
      <c r="AF5" s="597"/>
      <c r="AG5" s="597"/>
      <c r="AH5" s="597"/>
      <c r="AI5" s="597"/>
      <c r="AJ5" s="597" t="s">
        <v>366</v>
      </c>
      <c r="AK5" s="597"/>
      <c r="AL5" s="597"/>
      <c r="AM5" s="597"/>
      <c r="AN5" s="597"/>
      <c r="AO5" s="597" t="s">
        <v>366</v>
      </c>
      <c r="AP5" s="597"/>
      <c r="AQ5" s="597"/>
      <c r="AR5" s="597"/>
      <c r="AS5" s="597"/>
      <c r="AT5" s="597" t="s">
        <v>366</v>
      </c>
      <c r="AU5" s="597"/>
      <c r="AV5" s="597"/>
      <c r="AW5" s="597"/>
      <c r="AX5" s="597"/>
    </row>
    <row r="6" spans="1:50" ht="14.25" customHeight="1">
      <c r="B6" s="597"/>
      <c r="C6" s="597"/>
      <c r="D6" s="597"/>
      <c r="E6" s="179" t="s">
        <v>159</v>
      </c>
      <c r="F6" s="179" t="s">
        <v>367</v>
      </c>
      <c r="G6" s="179" t="s">
        <v>161</v>
      </c>
      <c r="H6" s="597"/>
      <c r="I6" s="180" t="s">
        <v>159</v>
      </c>
      <c r="J6" s="180" t="s">
        <v>367</v>
      </c>
      <c r="K6" s="180" t="s">
        <v>161</v>
      </c>
      <c r="L6" s="601"/>
      <c r="M6" s="601"/>
      <c r="N6" s="597"/>
      <c r="O6" s="597"/>
      <c r="P6" s="179" t="s">
        <v>159</v>
      </c>
      <c r="Q6" s="179" t="s">
        <v>367</v>
      </c>
      <c r="R6" s="179" t="s">
        <v>161</v>
      </c>
      <c r="S6" s="181" t="s">
        <v>165</v>
      </c>
      <c r="T6" s="597"/>
      <c r="U6" s="179" t="s">
        <v>159</v>
      </c>
      <c r="V6" s="179" t="s">
        <v>367</v>
      </c>
      <c r="W6" s="179" t="s">
        <v>161</v>
      </c>
      <c r="X6" s="181" t="s">
        <v>165</v>
      </c>
      <c r="Y6" s="597"/>
      <c r="Z6" s="179" t="s">
        <v>159</v>
      </c>
      <c r="AA6" s="179" t="s">
        <v>367</v>
      </c>
      <c r="AB6" s="179" t="s">
        <v>161</v>
      </c>
      <c r="AC6" s="181" t="s">
        <v>165</v>
      </c>
      <c r="AD6" s="597"/>
      <c r="AE6" s="179" t="s">
        <v>159</v>
      </c>
      <c r="AF6" s="179" t="s">
        <v>367</v>
      </c>
      <c r="AG6" s="179" t="s">
        <v>161</v>
      </c>
      <c r="AH6" s="181" t="s">
        <v>165</v>
      </c>
      <c r="AI6" s="597"/>
      <c r="AJ6" s="179" t="s">
        <v>159</v>
      </c>
      <c r="AK6" s="179" t="s">
        <v>367</v>
      </c>
      <c r="AL6" s="179" t="s">
        <v>161</v>
      </c>
      <c r="AM6" s="181" t="s">
        <v>165</v>
      </c>
      <c r="AN6" s="597"/>
      <c r="AO6" s="179" t="s">
        <v>159</v>
      </c>
      <c r="AP6" s="179" t="s">
        <v>367</v>
      </c>
      <c r="AQ6" s="179" t="s">
        <v>161</v>
      </c>
      <c r="AR6" s="181" t="s">
        <v>165</v>
      </c>
      <c r="AS6" s="597"/>
      <c r="AT6" s="179" t="s">
        <v>159</v>
      </c>
      <c r="AU6" s="179" t="s">
        <v>367</v>
      </c>
      <c r="AV6" s="179" t="s">
        <v>161</v>
      </c>
      <c r="AW6" s="181" t="s">
        <v>165</v>
      </c>
      <c r="AX6" s="597"/>
    </row>
    <row r="7" spans="1:50" ht="14.25" customHeight="1">
      <c r="B7" s="597" t="s">
        <v>369</v>
      </c>
      <c r="C7" s="179">
        <v>1</v>
      </c>
      <c r="D7" s="182" t="s">
        <v>346</v>
      </c>
      <c r="E7" s="183">
        <v>10</v>
      </c>
      <c r="F7" s="179">
        <v>3600</v>
      </c>
      <c r="G7" s="184">
        <f>IFERROR(F7/E7,"")</f>
        <v>360</v>
      </c>
      <c r="H7" s="598">
        <f>AVERAGE(G7:G21)</f>
        <v>338.18181818181819</v>
      </c>
      <c r="I7" s="185">
        <f>AVERAGE(P7,U7,Z7,AE7,AJ7,AO7,AT7)</f>
        <v>10</v>
      </c>
      <c r="J7" s="185">
        <f>AVERAGE(Q7,V7,AA7,AF7,AK7,AP7,AU7)</f>
        <v>3214.6266940103314</v>
      </c>
      <c r="K7" s="186">
        <f>AVERAGE(R7,W7,AB7,AG7,AL7,AQ7,AV7)</f>
        <v>321.46266940103317</v>
      </c>
      <c r="L7" s="599">
        <f>IFERROR(AVERAGE(K7:K21),"-")</f>
        <v>298.7349159971597</v>
      </c>
      <c r="M7" s="185">
        <f>RANK(K7, K$7:$K$21)</f>
        <v>1</v>
      </c>
      <c r="N7" s="597"/>
      <c r="O7" s="597"/>
      <c r="P7" s="187">
        <v>10</v>
      </c>
      <c r="Q7" s="187">
        <v>3214.0095511531895</v>
      </c>
      <c r="R7" s="184">
        <f>IFERROR(Q7/P7,"")</f>
        <v>321.40095511531894</v>
      </c>
      <c r="S7" s="181">
        <f>RANK(R7, R$7:R$21)</f>
        <v>1</v>
      </c>
      <c r="T7" s="598">
        <f>AVERAGE(R7:R21)</f>
        <v>298.65610207937124</v>
      </c>
      <c r="U7" s="187">
        <v>10</v>
      </c>
      <c r="V7" s="187">
        <v>3214.7295511531888</v>
      </c>
      <c r="W7" s="184">
        <f t="shared" ref="W7:W9" si="0">IFERROR(V7/U7,"")</f>
        <v>321.47295511531888</v>
      </c>
      <c r="X7" s="181">
        <f>RANK(W7, W$7:W$21)</f>
        <v>1</v>
      </c>
      <c r="Y7" s="598">
        <f>AVERAGE(W7:W21)</f>
        <v>298.72373844300751</v>
      </c>
      <c r="Z7" s="187">
        <v>10</v>
      </c>
      <c r="AA7" s="187">
        <v>3214.0095511531886</v>
      </c>
      <c r="AB7" s="184">
        <f>IFERROR(AA7/Z7,"")</f>
        <v>321.40095511531888</v>
      </c>
      <c r="AC7" s="181">
        <f>RANK(AB7, AB$7:AB$21)</f>
        <v>1</v>
      </c>
      <c r="AD7" s="598">
        <f>AVERAGE(AB7:AB21)</f>
        <v>298.69973844300756</v>
      </c>
      <c r="AE7" s="187">
        <v>10</v>
      </c>
      <c r="AF7" s="187">
        <v>3215.089551153188</v>
      </c>
      <c r="AG7" s="184">
        <f>IFERROR(AF7/AE7,"")</f>
        <v>321.50895511531883</v>
      </c>
      <c r="AH7" s="181">
        <f>RANK(AG7, AG$7:AG$21)</f>
        <v>1</v>
      </c>
      <c r="AI7" s="598">
        <f>AVERAGE(AG7:AG21)</f>
        <v>298.77937480664383</v>
      </c>
      <c r="AJ7" s="187">
        <v>10</v>
      </c>
      <c r="AK7" s="187">
        <v>3215.089551153188</v>
      </c>
      <c r="AL7" s="184">
        <f>IFERROR(AK7/AJ7,"")</f>
        <v>321.50895511531883</v>
      </c>
      <c r="AM7" s="181">
        <f>RANK(AL7, AL$7:AL$21)</f>
        <v>1</v>
      </c>
      <c r="AN7" s="598">
        <f>AVERAGE(AL7:AL21)</f>
        <v>298.73573844300751</v>
      </c>
      <c r="AO7" s="187">
        <v>10</v>
      </c>
      <c r="AP7" s="187">
        <v>3215.4495511531882</v>
      </c>
      <c r="AQ7" s="184">
        <f>IFERROR(AP7/AO7,"")</f>
        <v>321.54495511531883</v>
      </c>
      <c r="AR7" s="181">
        <f>RANK(AQ7, AQ$7:AQ$21)</f>
        <v>1</v>
      </c>
      <c r="AS7" s="598">
        <f>AVERAGE(AQ7:AQ21)</f>
        <v>298.74773844300756</v>
      </c>
      <c r="AT7" s="187">
        <v>10</v>
      </c>
      <c r="AU7" s="187">
        <v>3214.009551153189</v>
      </c>
      <c r="AV7" s="184">
        <f>IFERROR(AU7/AT7,"")</f>
        <v>321.40095511531888</v>
      </c>
      <c r="AW7" s="181">
        <f>RANK(AV7, AV$7:AV$21)</f>
        <v>1</v>
      </c>
      <c r="AX7" s="598">
        <f>AVERAGE(AV7:AV21)</f>
        <v>298.80198132207244</v>
      </c>
    </row>
    <row r="8" spans="1:50" ht="14.25" customHeight="1">
      <c r="B8" s="597"/>
      <c r="C8" s="179">
        <v>2</v>
      </c>
      <c r="D8" s="182" t="s">
        <v>521</v>
      </c>
      <c r="E8" s="179">
        <v>11</v>
      </c>
      <c r="F8" s="179">
        <v>3600</v>
      </c>
      <c r="G8" s="184">
        <f t="shared" ref="G8:G9" si="1">IFERROR(F8/E8,"")</f>
        <v>327.27272727272725</v>
      </c>
      <c r="H8" s="598"/>
      <c r="I8" s="185">
        <f>AVERAGE(P8,U8,Z8,AE8,AJ8,AO8,AT8)</f>
        <v>11</v>
      </c>
      <c r="J8" s="185">
        <f t="shared" ref="J8:K9" si="2">AVERAGE(Q8,V8,AA8,AF8,AK8,AP8,AU8)</f>
        <v>3160.251814885316</v>
      </c>
      <c r="K8" s="186">
        <f t="shared" si="2"/>
        <v>287.29561953502878</v>
      </c>
      <c r="L8" s="599"/>
      <c r="M8" s="185">
        <f>RANK(K8, K$7:$K$21)</f>
        <v>3</v>
      </c>
      <c r="N8" s="597"/>
      <c r="O8" s="597"/>
      <c r="P8" s="187">
        <v>11</v>
      </c>
      <c r="Q8" s="187">
        <v>3159.2040984554387</v>
      </c>
      <c r="R8" s="184">
        <f t="shared" ref="R8:R9" si="3">IFERROR(Q8/P8,"")</f>
        <v>287.20037258685807</v>
      </c>
      <c r="S8" s="181">
        <f t="shared" ref="S8:S9" si="4">RANK(R8, R$7:R$21)</f>
        <v>3</v>
      </c>
      <c r="T8" s="598"/>
      <c r="U8" s="187">
        <v>11</v>
      </c>
      <c r="V8" s="187">
        <v>3160.6440984554388</v>
      </c>
      <c r="W8" s="184">
        <f t="shared" si="0"/>
        <v>287.33128167776715</v>
      </c>
      <c r="X8" s="181">
        <f t="shared" ref="X8:X9" si="5">RANK(W8, W$7:W$21)</f>
        <v>3</v>
      </c>
      <c r="Y8" s="598"/>
      <c r="Z8" s="187">
        <v>11</v>
      </c>
      <c r="AA8" s="187">
        <v>3160.6440984554383</v>
      </c>
      <c r="AB8" s="184">
        <f t="shared" ref="AB8:AB9" si="6">IFERROR(AA8/Z8,"")</f>
        <v>287.33128167776709</v>
      </c>
      <c r="AC8" s="181">
        <f t="shared" ref="AC8:AC9" si="7">RANK(AB8, AB$7:AB$21)</f>
        <v>3</v>
      </c>
      <c r="AD8" s="598"/>
      <c r="AE8" s="187">
        <v>11</v>
      </c>
      <c r="AF8" s="187">
        <v>3161.0040984554385</v>
      </c>
      <c r="AG8" s="184">
        <f t="shared" ref="AG8:AG9" si="8">IFERROR(AF8/AE8,"")</f>
        <v>287.36400895049439</v>
      </c>
      <c r="AH8" s="181">
        <f t="shared" ref="AH8:AH9" si="9">RANK(AG8, AG$7:AG$21)</f>
        <v>3</v>
      </c>
      <c r="AI8" s="598"/>
      <c r="AJ8" s="187">
        <v>11</v>
      </c>
      <c r="AK8" s="187">
        <v>3159.5640984554384</v>
      </c>
      <c r="AL8" s="184">
        <f t="shared" ref="AL8:AL9" si="10">IFERROR(AK8/AJ8,"")</f>
        <v>287.23309985958531</v>
      </c>
      <c r="AM8" s="181">
        <f t="shared" ref="AM8:AM9" si="11">RANK(AL8, AL$7:AL$21)</f>
        <v>3</v>
      </c>
      <c r="AN8" s="598"/>
      <c r="AO8" s="187">
        <v>11</v>
      </c>
      <c r="AP8" s="187">
        <v>3159.5640984554389</v>
      </c>
      <c r="AQ8" s="184">
        <f t="shared" ref="AQ8:AQ9" si="12">IFERROR(AP8/AO8,"")</f>
        <v>287.23309985958537</v>
      </c>
      <c r="AR8" s="181">
        <f t="shared" ref="AR8:AR9" si="13">RANK(AQ8, AQ$7:AQ$21)</f>
        <v>3</v>
      </c>
      <c r="AS8" s="598"/>
      <c r="AT8" s="187">
        <v>11</v>
      </c>
      <c r="AU8" s="187">
        <v>3161.1381134645817</v>
      </c>
      <c r="AV8" s="184">
        <f t="shared" ref="AV8:AV9" si="14">IFERROR(AU8/AT8,"")</f>
        <v>287.37619213314377</v>
      </c>
      <c r="AW8" s="181">
        <f t="shared" ref="AW8:AW9" si="15">RANK(AV8, AV$7:AV$21)</f>
        <v>3</v>
      </c>
      <c r="AX8" s="598"/>
    </row>
    <row r="9" spans="1:50" ht="14.25" customHeight="1">
      <c r="B9" s="597"/>
      <c r="C9" s="179">
        <v>3</v>
      </c>
      <c r="D9" s="182" t="s">
        <v>522</v>
      </c>
      <c r="E9" s="179">
        <v>11</v>
      </c>
      <c r="F9" s="179">
        <v>3600</v>
      </c>
      <c r="G9" s="184">
        <f t="shared" si="1"/>
        <v>327.27272727272725</v>
      </c>
      <c r="H9" s="598"/>
      <c r="I9" s="185">
        <f>AVERAGE(P9,U9,Z9,AE9,AJ9,AO9,AT9)</f>
        <v>11</v>
      </c>
      <c r="J9" s="185">
        <f t="shared" si="2"/>
        <v>3161.9110496095886</v>
      </c>
      <c r="K9" s="186">
        <f t="shared" si="2"/>
        <v>287.44645905541705</v>
      </c>
      <c r="L9" s="599"/>
      <c r="M9" s="185">
        <f>RANK(K9, K$7:$K$21)</f>
        <v>2</v>
      </c>
      <c r="N9" s="597"/>
      <c r="O9" s="597"/>
      <c r="P9" s="187">
        <v>11</v>
      </c>
      <c r="Q9" s="187">
        <v>3161.0367638953021</v>
      </c>
      <c r="R9" s="184">
        <f t="shared" si="3"/>
        <v>287.36697853593654</v>
      </c>
      <c r="S9" s="181">
        <f t="shared" si="4"/>
        <v>2</v>
      </c>
      <c r="T9" s="598"/>
      <c r="U9" s="187">
        <v>11</v>
      </c>
      <c r="V9" s="187">
        <v>3161.0367638953021</v>
      </c>
      <c r="W9" s="184">
        <f t="shared" si="0"/>
        <v>287.36697853593654</v>
      </c>
      <c r="X9" s="181">
        <f t="shared" si="5"/>
        <v>2</v>
      </c>
      <c r="Y9" s="598"/>
      <c r="Z9" s="187">
        <v>11</v>
      </c>
      <c r="AA9" s="187">
        <v>3161.0367638953026</v>
      </c>
      <c r="AB9" s="184">
        <f t="shared" si="6"/>
        <v>287.3669785359366</v>
      </c>
      <c r="AC9" s="181">
        <f t="shared" si="7"/>
        <v>2</v>
      </c>
      <c r="AD9" s="598"/>
      <c r="AE9" s="187">
        <v>11</v>
      </c>
      <c r="AF9" s="187">
        <v>3162.1167638953025</v>
      </c>
      <c r="AG9" s="184">
        <f t="shared" si="8"/>
        <v>287.46516035411838</v>
      </c>
      <c r="AH9" s="181">
        <f t="shared" si="9"/>
        <v>2</v>
      </c>
      <c r="AI9" s="598"/>
      <c r="AJ9" s="187">
        <v>11</v>
      </c>
      <c r="AK9" s="187">
        <v>3162.1167638953029</v>
      </c>
      <c r="AL9" s="184">
        <f t="shared" si="10"/>
        <v>287.46516035411844</v>
      </c>
      <c r="AM9" s="181">
        <f t="shared" si="11"/>
        <v>2</v>
      </c>
      <c r="AN9" s="598"/>
      <c r="AO9" s="187">
        <v>11</v>
      </c>
      <c r="AP9" s="187">
        <v>3162.1167638953029</v>
      </c>
      <c r="AQ9" s="184">
        <f t="shared" si="12"/>
        <v>287.46516035411844</v>
      </c>
      <c r="AR9" s="181">
        <f t="shared" si="13"/>
        <v>2</v>
      </c>
      <c r="AS9" s="598"/>
      <c r="AT9" s="187">
        <v>11</v>
      </c>
      <c r="AU9" s="187">
        <v>3163.9167638953031</v>
      </c>
      <c r="AV9" s="184">
        <f t="shared" si="14"/>
        <v>287.62879671775482</v>
      </c>
      <c r="AW9" s="181">
        <f t="shared" si="15"/>
        <v>2</v>
      </c>
      <c r="AX9" s="598"/>
    </row>
    <row r="10" spans="1:50" ht="14.25" customHeight="1">
      <c r="B10" s="597"/>
      <c r="C10" s="179">
        <v>4</v>
      </c>
      <c r="D10" s="182"/>
      <c r="E10" s="179"/>
      <c r="F10" s="179"/>
      <c r="G10" s="184"/>
      <c r="H10" s="598"/>
      <c r="I10" s="185"/>
      <c r="J10" s="185"/>
      <c r="K10" s="186"/>
      <c r="L10" s="599"/>
      <c r="M10" s="185"/>
      <c r="N10" s="597"/>
      <c r="O10" s="597"/>
      <c r="P10" s="187"/>
      <c r="Q10" s="187"/>
      <c r="R10" s="184"/>
      <c r="S10" s="181"/>
      <c r="T10" s="598"/>
      <c r="U10" s="187"/>
      <c r="V10" s="187"/>
      <c r="W10" s="184"/>
      <c r="X10" s="181"/>
      <c r="Y10" s="598"/>
      <c r="Z10" s="187"/>
      <c r="AA10" s="187"/>
      <c r="AB10" s="184"/>
      <c r="AC10" s="181"/>
      <c r="AD10" s="598"/>
      <c r="AE10" s="187"/>
      <c r="AF10" s="187"/>
      <c r="AG10" s="184"/>
      <c r="AH10" s="181"/>
      <c r="AI10" s="598"/>
      <c r="AJ10" s="187"/>
      <c r="AK10" s="187"/>
      <c r="AL10" s="184"/>
      <c r="AM10" s="181"/>
      <c r="AN10" s="598"/>
      <c r="AO10" s="187"/>
      <c r="AP10" s="187"/>
      <c r="AQ10" s="184"/>
      <c r="AR10" s="181"/>
      <c r="AS10" s="598"/>
      <c r="AT10" s="187"/>
      <c r="AU10" s="187"/>
      <c r="AV10" s="184"/>
      <c r="AW10" s="181"/>
      <c r="AX10" s="598"/>
    </row>
    <row r="11" spans="1:50" ht="14.25" customHeight="1">
      <c r="B11" s="597"/>
      <c r="C11" s="179">
        <v>5</v>
      </c>
      <c r="D11" s="182"/>
      <c r="E11" s="179"/>
      <c r="F11" s="179"/>
      <c r="G11" s="184"/>
      <c r="H11" s="598"/>
      <c r="I11" s="185"/>
      <c r="J11" s="185"/>
      <c r="K11" s="186"/>
      <c r="L11" s="599"/>
      <c r="M11" s="185"/>
      <c r="N11" s="597"/>
      <c r="O11" s="597"/>
      <c r="P11" s="187"/>
      <c r="Q11" s="187"/>
      <c r="R11" s="184"/>
      <c r="S11" s="181"/>
      <c r="T11" s="598"/>
      <c r="U11" s="187"/>
      <c r="V11" s="187"/>
      <c r="W11" s="184"/>
      <c r="X11" s="181"/>
      <c r="Y11" s="598"/>
      <c r="Z11" s="187"/>
      <c r="AA11" s="187"/>
      <c r="AB11" s="184"/>
      <c r="AC11" s="181"/>
      <c r="AD11" s="598"/>
      <c r="AE11" s="187"/>
      <c r="AF11" s="187"/>
      <c r="AG11" s="184"/>
      <c r="AH11" s="181"/>
      <c r="AI11" s="598"/>
      <c r="AJ11" s="187"/>
      <c r="AK11" s="187"/>
      <c r="AL11" s="184"/>
      <c r="AM11" s="181"/>
      <c r="AN11" s="598"/>
      <c r="AO11" s="187"/>
      <c r="AP11" s="187"/>
      <c r="AQ11" s="184"/>
      <c r="AR11" s="181"/>
      <c r="AS11" s="598"/>
      <c r="AT11" s="187"/>
      <c r="AU11" s="187"/>
      <c r="AV11" s="184"/>
      <c r="AW11" s="181"/>
      <c r="AX11" s="598"/>
    </row>
    <row r="12" spans="1:50" ht="14.25" customHeight="1">
      <c r="B12" s="597"/>
      <c r="C12" s="179">
        <v>6</v>
      </c>
      <c r="D12" s="182"/>
      <c r="E12" s="179"/>
      <c r="F12" s="179"/>
      <c r="G12" s="184"/>
      <c r="H12" s="598"/>
      <c r="I12" s="185"/>
      <c r="J12" s="185"/>
      <c r="K12" s="186"/>
      <c r="L12" s="599"/>
      <c r="M12" s="185"/>
      <c r="N12" s="597"/>
      <c r="O12" s="597"/>
      <c r="P12" s="187"/>
      <c r="Q12" s="187"/>
      <c r="R12" s="184"/>
      <c r="S12" s="181"/>
      <c r="T12" s="598"/>
      <c r="U12" s="187"/>
      <c r="V12" s="187"/>
      <c r="W12" s="184"/>
      <c r="X12" s="181"/>
      <c r="Y12" s="598"/>
      <c r="Z12" s="187"/>
      <c r="AA12" s="187"/>
      <c r="AB12" s="184"/>
      <c r="AC12" s="181"/>
      <c r="AD12" s="598"/>
      <c r="AE12" s="187"/>
      <c r="AF12" s="187"/>
      <c r="AG12" s="184"/>
      <c r="AH12" s="181"/>
      <c r="AI12" s="598"/>
      <c r="AJ12" s="187"/>
      <c r="AK12" s="187"/>
      <c r="AL12" s="184"/>
      <c r="AM12" s="181"/>
      <c r="AN12" s="598"/>
      <c r="AO12" s="187"/>
      <c r="AP12" s="187"/>
      <c r="AQ12" s="184"/>
      <c r="AR12" s="181"/>
      <c r="AS12" s="598"/>
      <c r="AT12" s="187"/>
      <c r="AU12" s="187"/>
      <c r="AV12" s="184"/>
      <c r="AW12" s="181"/>
      <c r="AX12" s="598"/>
    </row>
    <row r="13" spans="1:50" ht="14.25" customHeight="1">
      <c r="B13" s="597"/>
      <c r="C13" s="179">
        <v>7</v>
      </c>
      <c r="D13" s="182"/>
      <c r="E13" s="179"/>
      <c r="F13" s="179"/>
      <c r="G13" s="184"/>
      <c r="H13" s="598"/>
      <c r="I13" s="185"/>
      <c r="J13" s="185"/>
      <c r="K13" s="186"/>
      <c r="L13" s="599"/>
      <c r="M13" s="185"/>
      <c r="N13" s="597"/>
      <c r="O13" s="597"/>
      <c r="P13" s="187"/>
      <c r="Q13" s="187"/>
      <c r="R13" s="184"/>
      <c r="S13" s="181"/>
      <c r="T13" s="598"/>
      <c r="U13" s="187"/>
      <c r="V13" s="187"/>
      <c r="W13" s="184"/>
      <c r="X13" s="181"/>
      <c r="Y13" s="598"/>
      <c r="Z13" s="187"/>
      <c r="AA13" s="187"/>
      <c r="AB13" s="184"/>
      <c r="AC13" s="181"/>
      <c r="AD13" s="598"/>
      <c r="AE13" s="187"/>
      <c r="AF13" s="187"/>
      <c r="AG13" s="184"/>
      <c r="AH13" s="181"/>
      <c r="AI13" s="598"/>
      <c r="AJ13" s="187"/>
      <c r="AK13" s="187"/>
      <c r="AL13" s="184"/>
      <c r="AM13" s="181"/>
      <c r="AN13" s="598"/>
      <c r="AO13" s="187"/>
      <c r="AP13" s="187"/>
      <c r="AQ13" s="184"/>
      <c r="AR13" s="181"/>
      <c r="AS13" s="598"/>
      <c r="AT13" s="187"/>
      <c r="AU13" s="187"/>
      <c r="AV13" s="184"/>
      <c r="AW13" s="181"/>
      <c r="AX13" s="598"/>
    </row>
    <row r="14" spans="1:50" ht="14.25" customHeight="1">
      <c r="B14" s="597"/>
      <c r="C14" s="179">
        <v>8</v>
      </c>
      <c r="D14" s="182"/>
      <c r="E14" s="179"/>
      <c r="F14" s="179"/>
      <c r="G14" s="184"/>
      <c r="H14" s="598"/>
      <c r="I14" s="185"/>
      <c r="J14" s="185"/>
      <c r="K14" s="186"/>
      <c r="L14" s="599"/>
      <c r="M14" s="185"/>
      <c r="N14" s="597"/>
      <c r="O14" s="597"/>
      <c r="P14" s="187"/>
      <c r="Q14" s="187"/>
      <c r="R14" s="184"/>
      <c r="S14" s="181"/>
      <c r="T14" s="598"/>
      <c r="U14" s="187"/>
      <c r="V14" s="187"/>
      <c r="W14" s="184"/>
      <c r="X14" s="181"/>
      <c r="Y14" s="598"/>
      <c r="Z14" s="187"/>
      <c r="AA14" s="187"/>
      <c r="AB14" s="184"/>
      <c r="AC14" s="181"/>
      <c r="AD14" s="598"/>
      <c r="AE14" s="187"/>
      <c r="AF14" s="187"/>
      <c r="AG14" s="184"/>
      <c r="AH14" s="181"/>
      <c r="AI14" s="598"/>
      <c r="AJ14" s="187"/>
      <c r="AK14" s="187"/>
      <c r="AL14" s="184"/>
      <c r="AM14" s="181"/>
      <c r="AN14" s="598"/>
      <c r="AO14" s="187"/>
      <c r="AP14" s="187"/>
      <c r="AQ14" s="184"/>
      <c r="AR14" s="181"/>
      <c r="AS14" s="598"/>
      <c r="AT14" s="187"/>
      <c r="AU14" s="187"/>
      <c r="AV14" s="184"/>
      <c r="AW14" s="181"/>
      <c r="AX14" s="598"/>
    </row>
    <row r="15" spans="1:50" ht="14.25" customHeight="1">
      <c r="B15" s="597"/>
      <c r="C15" s="179">
        <v>9</v>
      </c>
      <c r="D15" s="182"/>
      <c r="E15" s="179"/>
      <c r="F15" s="179"/>
      <c r="G15" s="184"/>
      <c r="H15" s="598"/>
      <c r="I15" s="185"/>
      <c r="J15" s="185"/>
      <c r="K15" s="186"/>
      <c r="L15" s="599"/>
      <c r="M15" s="185"/>
      <c r="N15" s="597"/>
      <c r="O15" s="597"/>
      <c r="P15" s="187"/>
      <c r="Q15" s="187"/>
      <c r="R15" s="184"/>
      <c r="S15" s="181"/>
      <c r="T15" s="598"/>
      <c r="U15" s="187"/>
      <c r="V15" s="187"/>
      <c r="W15" s="184"/>
      <c r="X15" s="181"/>
      <c r="Y15" s="598"/>
      <c r="Z15" s="187"/>
      <c r="AA15" s="187"/>
      <c r="AB15" s="184"/>
      <c r="AC15" s="181"/>
      <c r="AD15" s="598"/>
      <c r="AE15" s="187"/>
      <c r="AF15" s="187"/>
      <c r="AG15" s="184"/>
      <c r="AH15" s="181"/>
      <c r="AI15" s="598"/>
      <c r="AJ15" s="187"/>
      <c r="AK15" s="187"/>
      <c r="AL15" s="184"/>
      <c r="AM15" s="181"/>
      <c r="AN15" s="598"/>
      <c r="AO15" s="187"/>
      <c r="AP15" s="187"/>
      <c r="AQ15" s="184"/>
      <c r="AR15" s="181"/>
      <c r="AS15" s="598"/>
      <c r="AT15" s="187"/>
      <c r="AU15" s="187"/>
      <c r="AV15" s="184"/>
      <c r="AW15" s="181"/>
      <c r="AX15" s="598"/>
    </row>
    <row r="16" spans="1:50" ht="14.25" customHeight="1">
      <c r="B16" s="597"/>
      <c r="C16" s="179">
        <v>10</v>
      </c>
      <c r="D16" s="182"/>
      <c r="E16" s="179"/>
      <c r="F16" s="179"/>
      <c r="G16" s="184"/>
      <c r="H16" s="598"/>
      <c r="I16" s="185"/>
      <c r="J16" s="185"/>
      <c r="K16" s="186"/>
      <c r="L16" s="599"/>
      <c r="M16" s="185"/>
      <c r="N16" s="597"/>
      <c r="O16" s="597"/>
      <c r="P16" s="187"/>
      <c r="Q16" s="187"/>
      <c r="R16" s="184"/>
      <c r="S16" s="181"/>
      <c r="T16" s="598"/>
      <c r="U16" s="187"/>
      <c r="V16" s="187"/>
      <c r="W16" s="184"/>
      <c r="X16" s="181"/>
      <c r="Y16" s="598"/>
      <c r="Z16" s="187"/>
      <c r="AA16" s="187"/>
      <c r="AB16" s="184"/>
      <c r="AC16" s="181"/>
      <c r="AD16" s="598"/>
      <c r="AE16" s="187"/>
      <c r="AF16" s="187"/>
      <c r="AG16" s="184"/>
      <c r="AH16" s="181"/>
      <c r="AI16" s="598"/>
      <c r="AJ16" s="187"/>
      <c r="AK16" s="187"/>
      <c r="AL16" s="184"/>
      <c r="AM16" s="181"/>
      <c r="AN16" s="598"/>
      <c r="AO16" s="187"/>
      <c r="AP16" s="187"/>
      <c r="AQ16" s="184"/>
      <c r="AR16" s="181"/>
      <c r="AS16" s="598"/>
      <c r="AT16" s="187"/>
      <c r="AU16" s="187"/>
      <c r="AV16" s="184"/>
      <c r="AW16" s="181"/>
      <c r="AX16" s="598"/>
    </row>
    <row r="17" spans="2:50" ht="14.25" customHeight="1">
      <c r="B17" s="597"/>
      <c r="C17" s="179">
        <v>11</v>
      </c>
      <c r="D17" s="182"/>
      <c r="E17" s="179"/>
      <c r="F17" s="179"/>
      <c r="G17" s="184"/>
      <c r="H17" s="598"/>
      <c r="I17" s="185"/>
      <c r="J17" s="185"/>
      <c r="K17" s="186"/>
      <c r="L17" s="599"/>
      <c r="M17" s="185"/>
      <c r="N17" s="597"/>
      <c r="O17" s="597"/>
      <c r="P17" s="187"/>
      <c r="Q17" s="187"/>
      <c r="R17" s="184"/>
      <c r="S17" s="181"/>
      <c r="T17" s="598"/>
      <c r="U17" s="187"/>
      <c r="V17" s="187"/>
      <c r="W17" s="184"/>
      <c r="X17" s="181"/>
      <c r="Y17" s="598"/>
      <c r="Z17" s="187"/>
      <c r="AA17" s="187"/>
      <c r="AB17" s="184"/>
      <c r="AC17" s="181"/>
      <c r="AD17" s="598"/>
      <c r="AE17" s="187"/>
      <c r="AF17" s="187"/>
      <c r="AG17" s="184"/>
      <c r="AH17" s="181"/>
      <c r="AI17" s="598"/>
      <c r="AJ17" s="187"/>
      <c r="AK17" s="187"/>
      <c r="AL17" s="184"/>
      <c r="AM17" s="181"/>
      <c r="AN17" s="598"/>
      <c r="AO17" s="187"/>
      <c r="AP17" s="187"/>
      <c r="AQ17" s="184"/>
      <c r="AR17" s="181"/>
      <c r="AS17" s="598"/>
      <c r="AT17" s="187"/>
      <c r="AU17" s="187"/>
      <c r="AV17" s="184"/>
      <c r="AW17" s="181"/>
      <c r="AX17" s="598"/>
    </row>
    <row r="18" spans="2:50" ht="14.25" customHeight="1">
      <c r="B18" s="597"/>
      <c r="C18" s="179">
        <v>12</v>
      </c>
      <c r="D18" s="182"/>
      <c r="E18" s="179"/>
      <c r="F18" s="179"/>
      <c r="G18" s="184"/>
      <c r="H18" s="598"/>
      <c r="I18" s="185"/>
      <c r="J18" s="185"/>
      <c r="K18" s="186"/>
      <c r="L18" s="599"/>
      <c r="M18" s="185"/>
      <c r="N18" s="597"/>
      <c r="O18" s="597"/>
      <c r="P18" s="187"/>
      <c r="Q18" s="187"/>
      <c r="R18" s="184"/>
      <c r="S18" s="181"/>
      <c r="T18" s="598"/>
      <c r="U18" s="187"/>
      <c r="V18" s="187"/>
      <c r="W18" s="184"/>
      <c r="X18" s="181"/>
      <c r="Y18" s="598"/>
      <c r="Z18" s="187"/>
      <c r="AA18" s="187"/>
      <c r="AB18" s="184"/>
      <c r="AC18" s="181"/>
      <c r="AD18" s="598"/>
      <c r="AE18" s="187"/>
      <c r="AF18" s="187"/>
      <c r="AG18" s="184"/>
      <c r="AH18" s="181"/>
      <c r="AI18" s="598"/>
      <c r="AJ18" s="187"/>
      <c r="AK18" s="187"/>
      <c r="AL18" s="184"/>
      <c r="AM18" s="181"/>
      <c r="AN18" s="598"/>
      <c r="AO18" s="187"/>
      <c r="AP18" s="187"/>
      <c r="AQ18" s="184"/>
      <c r="AR18" s="181"/>
      <c r="AS18" s="598"/>
      <c r="AT18" s="187"/>
      <c r="AU18" s="187"/>
      <c r="AV18" s="184"/>
      <c r="AW18" s="181"/>
      <c r="AX18" s="598"/>
    </row>
    <row r="19" spans="2:50" ht="14.25" customHeight="1">
      <c r="B19" s="597"/>
      <c r="C19" s="179">
        <v>13</v>
      </c>
      <c r="D19" s="182"/>
      <c r="E19" s="179"/>
      <c r="F19" s="179"/>
      <c r="G19" s="184"/>
      <c r="H19" s="598"/>
      <c r="I19" s="185"/>
      <c r="J19" s="185"/>
      <c r="K19" s="186"/>
      <c r="L19" s="599"/>
      <c r="M19" s="185"/>
      <c r="N19" s="597"/>
      <c r="O19" s="597"/>
      <c r="P19" s="187"/>
      <c r="Q19" s="187"/>
      <c r="R19" s="184"/>
      <c r="S19" s="181"/>
      <c r="T19" s="598"/>
      <c r="U19" s="187"/>
      <c r="V19" s="187"/>
      <c r="W19" s="184"/>
      <c r="X19" s="181"/>
      <c r="Y19" s="598"/>
      <c r="Z19" s="187"/>
      <c r="AA19" s="187"/>
      <c r="AB19" s="184"/>
      <c r="AC19" s="181"/>
      <c r="AD19" s="598"/>
      <c r="AE19" s="187"/>
      <c r="AF19" s="187"/>
      <c r="AG19" s="184"/>
      <c r="AH19" s="181"/>
      <c r="AI19" s="598"/>
      <c r="AJ19" s="187"/>
      <c r="AK19" s="187"/>
      <c r="AL19" s="184"/>
      <c r="AM19" s="181"/>
      <c r="AN19" s="598"/>
      <c r="AO19" s="187"/>
      <c r="AP19" s="187"/>
      <c r="AQ19" s="184"/>
      <c r="AR19" s="181"/>
      <c r="AS19" s="598"/>
      <c r="AT19" s="187"/>
      <c r="AU19" s="187"/>
      <c r="AV19" s="184"/>
      <c r="AW19" s="181"/>
      <c r="AX19" s="598"/>
    </row>
    <row r="20" spans="2:50" ht="14.25" customHeight="1">
      <c r="B20" s="597"/>
      <c r="C20" s="179">
        <v>14</v>
      </c>
      <c r="D20" s="182"/>
      <c r="E20" s="179"/>
      <c r="F20" s="179"/>
      <c r="G20" s="184"/>
      <c r="H20" s="598"/>
      <c r="I20" s="185"/>
      <c r="J20" s="185"/>
      <c r="K20" s="186"/>
      <c r="L20" s="599"/>
      <c r="M20" s="185"/>
      <c r="N20" s="597"/>
      <c r="O20" s="597"/>
      <c r="P20" s="187"/>
      <c r="Q20" s="187"/>
      <c r="R20" s="184"/>
      <c r="S20" s="181"/>
      <c r="T20" s="598"/>
      <c r="U20" s="187"/>
      <c r="V20" s="187"/>
      <c r="W20" s="184"/>
      <c r="X20" s="181"/>
      <c r="Y20" s="598"/>
      <c r="Z20" s="187"/>
      <c r="AA20" s="187"/>
      <c r="AB20" s="184"/>
      <c r="AC20" s="181"/>
      <c r="AD20" s="598"/>
      <c r="AE20" s="187"/>
      <c r="AF20" s="187"/>
      <c r="AG20" s="184"/>
      <c r="AH20" s="181"/>
      <c r="AI20" s="598"/>
      <c r="AJ20" s="187"/>
      <c r="AK20" s="187"/>
      <c r="AL20" s="184"/>
      <c r="AM20" s="181"/>
      <c r="AN20" s="598"/>
      <c r="AO20" s="187"/>
      <c r="AP20" s="187"/>
      <c r="AQ20" s="184"/>
      <c r="AR20" s="181"/>
      <c r="AS20" s="598"/>
      <c r="AT20" s="187"/>
      <c r="AU20" s="187"/>
      <c r="AV20" s="184"/>
      <c r="AW20" s="181"/>
      <c r="AX20" s="598"/>
    </row>
    <row r="21" spans="2:50" ht="14.25" customHeight="1">
      <c r="B21" s="597"/>
      <c r="C21" s="179">
        <v>15</v>
      </c>
      <c r="D21" s="182"/>
      <c r="E21" s="179"/>
      <c r="F21" s="179"/>
      <c r="G21" s="184"/>
      <c r="H21" s="598"/>
      <c r="I21" s="185"/>
      <c r="J21" s="185"/>
      <c r="K21" s="186"/>
      <c r="L21" s="599"/>
      <c r="M21" s="185"/>
      <c r="N21" s="597"/>
      <c r="O21" s="597"/>
      <c r="P21" s="187"/>
      <c r="Q21" s="187"/>
      <c r="R21" s="184"/>
      <c r="S21" s="181"/>
      <c r="T21" s="598"/>
      <c r="U21" s="187"/>
      <c r="V21" s="187"/>
      <c r="W21" s="184"/>
      <c r="X21" s="181"/>
      <c r="Y21" s="598"/>
      <c r="Z21" s="187"/>
      <c r="AA21" s="187"/>
      <c r="AB21" s="184"/>
      <c r="AC21" s="181"/>
      <c r="AD21" s="598"/>
      <c r="AE21" s="187"/>
      <c r="AF21" s="187"/>
      <c r="AG21" s="184"/>
      <c r="AH21" s="181"/>
      <c r="AI21" s="598"/>
      <c r="AJ21" s="187"/>
      <c r="AK21" s="187"/>
      <c r="AL21" s="184"/>
      <c r="AM21" s="181"/>
      <c r="AN21" s="598"/>
      <c r="AO21" s="187"/>
      <c r="AP21" s="187"/>
      <c r="AQ21" s="184"/>
      <c r="AR21" s="181"/>
      <c r="AS21" s="598"/>
      <c r="AT21" s="187"/>
      <c r="AU21" s="187"/>
      <c r="AV21" s="184"/>
      <c r="AW21" s="181"/>
      <c r="AX21" s="598"/>
    </row>
    <row r="22" spans="2:50" ht="14.25" customHeight="1">
      <c r="B22" s="625" t="s">
        <v>773</v>
      </c>
      <c r="C22" s="631"/>
      <c r="D22" s="631"/>
      <c r="E22" s="631"/>
      <c r="F22" s="631"/>
      <c r="G22" s="631"/>
      <c r="H22" s="631"/>
      <c r="I22" s="631"/>
      <c r="J22" s="631"/>
      <c r="K22" s="631"/>
      <c r="L22" s="631"/>
      <c r="M22" s="632"/>
      <c r="N22" s="629" t="s">
        <v>363</v>
      </c>
      <c r="O22" s="629" t="s">
        <v>105</v>
      </c>
      <c r="P22" s="617">
        <v>46210</v>
      </c>
      <c r="Q22" s="618"/>
      <c r="R22" s="618"/>
      <c r="S22" s="618"/>
      <c r="T22" s="618"/>
      <c r="U22" s="619">
        <v>46211</v>
      </c>
      <c r="V22" s="620"/>
      <c r="W22" s="620"/>
      <c r="X22" s="620"/>
      <c r="Y22" s="620"/>
      <c r="Z22" s="617">
        <v>46212</v>
      </c>
      <c r="AA22" s="618"/>
      <c r="AB22" s="618"/>
      <c r="AC22" s="618"/>
      <c r="AD22" s="618"/>
      <c r="AE22" s="619">
        <v>46213</v>
      </c>
      <c r="AF22" s="620"/>
      <c r="AG22" s="620"/>
      <c r="AH22" s="620"/>
      <c r="AI22" s="620"/>
      <c r="AJ22" s="602">
        <v>46214</v>
      </c>
      <c r="AK22" s="603"/>
      <c r="AL22" s="603"/>
      <c r="AM22" s="603"/>
      <c r="AN22" s="604"/>
      <c r="AO22" s="619">
        <v>46215</v>
      </c>
      <c r="AP22" s="620"/>
      <c r="AQ22" s="620"/>
      <c r="AR22" s="620"/>
      <c r="AS22" s="620"/>
      <c r="AT22" s="602">
        <v>46216</v>
      </c>
      <c r="AU22" s="603"/>
      <c r="AV22" s="603"/>
      <c r="AW22" s="603"/>
      <c r="AX22" s="604"/>
    </row>
    <row r="23" spans="2:50" ht="14.25" customHeight="1"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4"/>
      <c r="N23" s="630"/>
      <c r="O23" s="630"/>
      <c r="P23" s="605">
        <v>46196</v>
      </c>
      <c r="Q23" s="605"/>
      <c r="R23" s="605"/>
      <c r="S23" s="605"/>
      <c r="T23" s="605"/>
      <c r="U23" s="606">
        <v>46197</v>
      </c>
      <c r="V23" s="606"/>
      <c r="W23" s="606"/>
      <c r="X23" s="606"/>
      <c r="Y23" s="606"/>
      <c r="Z23" s="605">
        <v>46198</v>
      </c>
      <c r="AA23" s="605"/>
      <c r="AB23" s="605"/>
      <c r="AC23" s="605"/>
      <c r="AD23" s="605"/>
      <c r="AE23" s="606">
        <v>46199</v>
      </c>
      <c r="AF23" s="606"/>
      <c r="AG23" s="606"/>
      <c r="AH23" s="606"/>
      <c r="AI23" s="606"/>
      <c r="AJ23" s="607">
        <v>46200</v>
      </c>
      <c r="AK23" s="608"/>
      <c r="AL23" s="608"/>
      <c r="AM23" s="608"/>
      <c r="AN23" s="609"/>
      <c r="AO23" s="606">
        <v>46201</v>
      </c>
      <c r="AP23" s="606"/>
      <c r="AQ23" s="606"/>
      <c r="AR23" s="606"/>
      <c r="AS23" s="606"/>
      <c r="AT23" s="607">
        <v>46202</v>
      </c>
      <c r="AU23" s="608"/>
      <c r="AV23" s="608"/>
      <c r="AW23" s="608"/>
      <c r="AX23" s="609"/>
    </row>
    <row r="24" spans="2:50" ht="14.25" customHeight="1">
      <c r="B24" s="597" t="s">
        <v>162</v>
      </c>
      <c r="C24" s="597" t="s">
        <v>157</v>
      </c>
      <c r="D24" s="597"/>
      <c r="E24" s="597" t="s">
        <v>158</v>
      </c>
      <c r="F24" s="597"/>
      <c r="G24" s="597"/>
      <c r="H24" s="597" t="s">
        <v>163</v>
      </c>
      <c r="I24" s="601" t="s">
        <v>364</v>
      </c>
      <c r="J24" s="601"/>
      <c r="K24" s="601"/>
      <c r="L24" s="601" t="s">
        <v>163</v>
      </c>
      <c r="M24" s="601" t="s">
        <v>165</v>
      </c>
      <c r="N24" s="597"/>
      <c r="O24" s="597" t="s">
        <v>164</v>
      </c>
      <c r="P24" s="597" t="s">
        <v>160</v>
      </c>
      <c r="Q24" s="597"/>
      <c r="R24" s="597"/>
      <c r="S24" s="597"/>
      <c r="T24" s="597" t="s">
        <v>163</v>
      </c>
      <c r="U24" s="597" t="s">
        <v>160</v>
      </c>
      <c r="V24" s="597"/>
      <c r="W24" s="597"/>
      <c r="X24" s="597"/>
      <c r="Y24" s="597" t="s">
        <v>163</v>
      </c>
      <c r="Z24" s="597" t="s">
        <v>160</v>
      </c>
      <c r="AA24" s="597"/>
      <c r="AB24" s="597"/>
      <c r="AC24" s="597"/>
      <c r="AD24" s="597" t="s">
        <v>163</v>
      </c>
      <c r="AE24" s="597" t="s">
        <v>160</v>
      </c>
      <c r="AF24" s="597"/>
      <c r="AG24" s="597"/>
      <c r="AH24" s="597"/>
      <c r="AI24" s="597" t="s">
        <v>163</v>
      </c>
      <c r="AJ24" s="597" t="s">
        <v>160</v>
      </c>
      <c r="AK24" s="597"/>
      <c r="AL24" s="597"/>
      <c r="AM24" s="597"/>
      <c r="AN24" s="597" t="s">
        <v>163</v>
      </c>
      <c r="AO24" s="597" t="s">
        <v>160</v>
      </c>
      <c r="AP24" s="597"/>
      <c r="AQ24" s="597"/>
      <c r="AR24" s="597"/>
      <c r="AS24" s="597" t="s">
        <v>163</v>
      </c>
      <c r="AT24" s="597" t="s">
        <v>160</v>
      </c>
      <c r="AU24" s="597"/>
      <c r="AV24" s="597"/>
      <c r="AW24" s="597"/>
      <c r="AX24" s="597" t="s">
        <v>163</v>
      </c>
    </row>
    <row r="25" spans="2:50" ht="14.25" customHeight="1">
      <c r="B25" s="597"/>
      <c r="C25" s="597"/>
      <c r="D25" s="597"/>
      <c r="E25" s="597" t="s">
        <v>365</v>
      </c>
      <c r="F25" s="597"/>
      <c r="G25" s="597"/>
      <c r="H25" s="597"/>
      <c r="I25" s="601" t="s">
        <v>365</v>
      </c>
      <c r="J25" s="601"/>
      <c r="K25" s="601"/>
      <c r="L25" s="601"/>
      <c r="M25" s="601"/>
      <c r="N25" s="597"/>
      <c r="O25" s="597"/>
      <c r="P25" s="597" t="s">
        <v>366</v>
      </c>
      <c r="Q25" s="597"/>
      <c r="R25" s="597"/>
      <c r="S25" s="597"/>
      <c r="T25" s="597"/>
      <c r="U25" s="597" t="s">
        <v>366</v>
      </c>
      <c r="V25" s="597"/>
      <c r="W25" s="597"/>
      <c r="X25" s="597"/>
      <c r="Y25" s="597"/>
      <c r="Z25" s="597" t="s">
        <v>366</v>
      </c>
      <c r="AA25" s="597"/>
      <c r="AB25" s="597"/>
      <c r="AC25" s="597"/>
      <c r="AD25" s="597"/>
      <c r="AE25" s="597" t="s">
        <v>366</v>
      </c>
      <c r="AF25" s="597"/>
      <c r="AG25" s="597"/>
      <c r="AH25" s="597"/>
      <c r="AI25" s="597"/>
      <c r="AJ25" s="597" t="s">
        <v>366</v>
      </c>
      <c r="AK25" s="597"/>
      <c r="AL25" s="597"/>
      <c r="AM25" s="597"/>
      <c r="AN25" s="597"/>
      <c r="AO25" s="597" t="s">
        <v>366</v>
      </c>
      <c r="AP25" s="597"/>
      <c r="AQ25" s="597"/>
      <c r="AR25" s="597"/>
      <c r="AS25" s="597"/>
      <c r="AT25" s="597" t="s">
        <v>366</v>
      </c>
      <c r="AU25" s="597"/>
      <c r="AV25" s="597"/>
      <c r="AW25" s="597"/>
      <c r="AX25" s="597"/>
    </row>
    <row r="26" spans="2:50" ht="14.25" customHeight="1">
      <c r="B26" s="597"/>
      <c r="C26" s="597"/>
      <c r="D26" s="597"/>
      <c r="E26" s="179" t="s">
        <v>159</v>
      </c>
      <c r="F26" s="179" t="s">
        <v>367</v>
      </c>
      <c r="G26" s="179" t="s">
        <v>161</v>
      </c>
      <c r="H26" s="597"/>
      <c r="I26" s="180" t="s">
        <v>159</v>
      </c>
      <c r="J26" s="180" t="s">
        <v>367</v>
      </c>
      <c r="K26" s="180" t="s">
        <v>161</v>
      </c>
      <c r="L26" s="601"/>
      <c r="M26" s="601"/>
      <c r="N26" s="597"/>
      <c r="O26" s="597"/>
      <c r="P26" s="179" t="s">
        <v>159</v>
      </c>
      <c r="Q26" s="179" t="s">
        <v>367</v>
      </c>
      <c r="R26" s="179" t="s">
        <v>161</v>
      </c>
      <c r="S26" s="181" t="s">
        <v>165</v>
      </c>
      <c r="T26" s="597"/>
      <c r="U26" s="179" t="s">
        <v>159</v>
      </c>
      <c r="V26" s="179" t="s">
        <v>367</v>
      </c>
      <c r="W26" s="179" t="s">
        <v>161</v>
      </c>
      <c r="X26" s="181" t="s">
        <v>165</v>
      </c>
      <c r="Y26" s="597"/>
      <c r="Z26" s="179" t="s">
        <v>159</v>
      </c>
      <c r="AA26" s="179" t="s">
        <v>367</v>
      </c>
      <c r="AB26" s="179" t="s">
        <v>161</v>
      </c>
      <c r="AC26" s="181" t="s">
        <v>165</v>
      </c>
      <c r="AD26" s="597"/>
      <c r="AE26" s="179" t="s">
        <v>159</v>
      </c>
      <c r="AF26" s="179" t="s">
        <v>367</v>
      </c>
      <c r="AG26" s="179" t="s">
        <v>161</v>
      </c>
      <c r="AH26" s="181" t="s">
        <v>165</v>
      </c>
      <c r="AI26" s="597"/>
      <c r="AJ26" s="179" t="s">
        <v>159</v>
      </c>
      <c r="AK26" s="179" t="s">
        <v>367</v>
      </c>
      <c r="AL26" s="179" t="s">
        <v>161</v>
      </c>
      <c r="AM26" s="181" t="s">
        <v>165</v>
      </c>
      <c r="AN26" s="597"/>
      <c r="AO26" s="179" t="s">
        <v>159</v>
      </c>
      <c r="AP26" s="179" t="s">
        <v>367</v>
      </c>
      <c r="AQ26" s="179" t="s">
        <v>161</v>
      </c>
      <c r="AR26" s="181" t="s">
        <v>165</v>
      </c>
      <c r="AS26" s="597"/>
      <c r="AT26" s="179" t="s">
        <v>159</v>
      </c>
      <c r="AU26" s="179" t="s">
        <v>367</v>
      </c>
      <c r="AV26" s="179" t="s">
        <v>161</v>
      </c>
      <c r="AW26" s="181" t="s">
        <v>165</v>
      </c>
      <c r="AX26" s="597"/>
    </row>
    <row r="27" spans="2:50" ht="14.25" customHeight="1">
      <c r="B27" s="597" t="s">
        <v>369</v>
      </c>
      <c r="C27" s="179">
        <v>1</v>
      </c>
      <c r="D27" s="182" t="s">
        <v>346</v>
      </c>
      <c r="E27" s="183">
        <v>10</v>
      </c>
      <c r="F27" s="179">
        <v>3600</v>
      </c>
      <c r="G27" s="184">
        <f t="shared" ref="G27:G29" si="16">IFERROR(F27/E27,"")</f>
        <v>360</v>
      </c>
      <c r="H27" s="598">
        <f>AVERAGE(G27:G41)</f>
        <v>338.18181818181819</v>
      </c>
      <c r="I27" s="185">
        <f>AVERAGE(P27,U27,Z27,AE27,AJ27,AO27,AT27)</f>
        <v>10</v>
      </c>
      <c r="J27" s="185">
        <f>AVERAGE(Q27,V27,AA27,AF27,AK27,AP27,AU27)</f>
        <v>3216.015265438903</v>
      </c>
      <c r="K27" s="186">
        <f>AVERAGE(R27,W27,AB27,AG27,AL27,AQ27,AV27)</f>
        <v>321.60152654389032</v>
      </c>
      <c r="L27" s="599">
        <f>IFERROR(AVERAGE(K27:K41),"-")</f>
        <v>298.97235939929243</v>
      </c>
      <c r="M27" s="185">
        <f>RANK(K27, K$27:$K$41)</f>
        <v>1</v>
      </c>
      <c r="N27" s="597"/>
      <c r="O27" s="597"/>
      <c r="P27" s="187">
        <v>10</v>
      </c>
      <c r="Q27" s="187">
        <v>3213.2895511531888</v>
      </c>
      <c r="R27" s="184">
        <f>IFERROR(Q27/P27,"")</f>
        <v>321.32895511531888</v>
      </c>
      <c r="S27" s="181">
        <f>RANK(R27, R$27:R$41)</f>
        <v>1</v>
      </c>
      <c r="T27" s="598">
        <f>AVERAGE(R27:R41)</f>
        <v>298.8652540493452</v>
      </c>
      <c r="U27" s="187">
        <v>10</v>
      </c>
      <c r="V27" s="187">
        <v>3213.2895511531888</v>
      </c>
      <c r="W27" s="184">
        <f t="shared" ref="W27:W29" si="17">IFERROR(V27/U27,"")</f>
        <v>321.32895511531888</v>
      </c>
      <c r="X27" s="181">
        <f>RANK(W27, W$27:W$41)</f>
        <v>1</v>
      </c>
      <c r="Y27" s="598">
        <f>AVERAGE(W27:W41)</f>
        <v>298.83252677661795</v>
      </c>
      <c r="Z27" s="187">
        <v>10</v>
      </c>
      <c r="AA27" s="187">
        <v>3214.7295511531888</v>
      </c>
      <c r="AB27" s="184">
        <f>IFERROR(AA27/Z27,"")</f>
        <v>321.47295511531888</v>
      </c>
      <c r="AC27" s="181">
        <f>RANK(AB27, AB$27:AB$41)</f>
        <v>1</v>
      </c>
      <c r="AD27" s="598">
        <f>AVERAGE(AB27:AB41)</f>
        <v>298.94598132207256</v>
      </c>
      <c r="AE27" s="187">
        <v>10</v>
      </c>
      <c r="AF27" s="187">
        <v>3216.1695511531884</v>
      </c>
      <c r="AG27" s="184">
        <f>IFERROR(AF27/AE27,"")</f>
        <v>321.61695511531883</v>
      </c>
      <c r="AH27" s="181">
        <f>RANK(AG27, AG$27:AG$41)</f>
        <v>1</v>
      </c>
      <c r="AI27" s="598">
        <f>AVERAGE(AG27:AG41)</f>
        <v>299.06528235000678</v>
      </c>
      <c r="AJ27" s="187">
        <v>10</v>
      </c>
      <c r="AK27" s="187">
        <v>3217.6095511531885</v>
      </c>
      <c r="AL27" s="184">
        <f>IFERROR(AK27/AJ27,"")</f>
        <v>321.76095511531884</v>
      </c>
      <c r="AM27" s="181">
        <f>RANK(AL27, AL$27:AL$41)</f>
        <v>1</v>
      </c>
      <c r="AN27" s="598">
        <f>AVERAGE(AL27:AL41)</f>
        <v>299.09283417281046</v>
      </c>
      <c r="AO27" s="187">
        <v>10</v>
      </c>
      <c r="AP27" s="187">
        <v>3217.6095511531889</v>
      </c>
      <c r="AQ27" s="184">
        <f>IFERROR(AP27/AO27,"")</f>
        <v>321.76095511531889</v>
      </c>
      <c r="AR27" s="181">
        <f>RANK(AQ27, AQ$27:AQ$41)</f>
        <v>1</v>
      </c>
      <c r="AS27" s="598">
        <f>AVERAGE(AQ27:AQ41)</f>
        <v>299.02252906549398</v>
      </c>
      <c r="AT27" s="187">
        <v>10</v>
      </c>
      <c r="AU27" s="187">
        <v>3219.4095511531887</v>
      </c>
      <c r="AV27" s="184">
        <f>IFERROR(AU27/AT27,"")</f>
        <v>321.94095511531884</v>
      </c>
      <c r="AW27" s="181">
        <f>RANK(AV27, AV$27:AV$41)</f>
        <v>1</v>
      </c>
      <c r="AX27" s="598">
        <f>AVERAGE(AV27:AV41)</f>
        <v>298.98210805869957</v>
      </c>
    </row>
    <row r="28" spans="2:50" ht="14.25" customHeight="1">
      <c r="B28" s="597"/>
      <c r="C28" s="179">
        <v>2</v>
      </c>
      <c r="D28" s="182" t="s">
        <v>521</v>
      </c>
      <c r="E28" s="179">
        <v>11</v>
      </c>
      <c r="F28" s="179">
        <v>3600</v>
      </c>
      <c r="G28" s="184">
        <f t="shared" si="16"/>
        <v>327.27272727272725</v>
      </c>
      <c r="H28" s="598"/>
      <c r="I28" s="185">
        <f t="shared" ref="I28:K29" si="18">AVERAGE(P28,U28,Z28,AE28,AJ28,AO28,AT28)</f>
        <v>11</v>
      </c>
      <c r="J28" s="185">
        <f t="shared" si="18"/>
        <v>3163.7063411407507</v>
      </c>
      <c r="K28" s="186">
        <f t="shared" si="18"/>
        <v>287.60966737643196</v>
      </c>
      <c r="L28" s="599"/>
      <c r="M28" s="185">
        <f>RANK(K28, K$27:$K$41)</f>
        <v>3</v>
      </c>
      <c r="N28" s="597"/>
      <c r="O28" s="597"/>
      <c r="P28" s="187">
        <v>11</v>
      </c>
      <c r="Q28" s="187">
        <v>3162.5781134645813</v>
      </c>
      <c r="R28" s="184">
        <f t="shared" ref="R28:R29" si="19">IFERROR(Q28/P28,"")</f>
        <v>287.50710122405286</v>
      </c>
      <c r="S28" s="181">
        <f t="shared" ref="S28:S29" si="20">RANK(R28, R$27:R$41)</f>
        <v>3</v>
      </c>
      <c r="T28" s="598"/>
      <c r="U28" s="187">
        <v>11</v>
      </c>
      <c r="V28" s="187">
        <v>3161.8581134645819</v>
      </c>
      <c r="W28" s="184">
        <f t="shared" si="17"/>
        <v>287.44164667859837</v>
      </c>
      <c r="X28" s="181">
        <f t="shared" ref="X28:X29" si="21">RANK(W28, W$27:W$41)</f>
        <v>3</v>
      </c>
      <c r="Y28" s="598"/>
      <c r="Z28" s="187">
        <v>11</v>
      </c>
      <c r="AA28" s="187">
        <v>3163.2981134645825</v>
      </c>
      <c r="AB28" s="184">
        <f t="shared" ref="AB28:AB29" si="22">IFERROR(AA28/Z28,"")</f>
        <v>287.57255576950752</v>
      </c>
      <c r="AC28" s="181">
        <f t="shared" ref="AC28:AC29" si="23">RANK(AB28, AB$27:AB$41)</f>
        <v>3</v>
      </c>
      <c r="AD28" s="598"/>
      <c r="AE28" s="187">
        <v>11</v>
      </c>
      <c r="AF28" s="187">
        <v>3165.6510473864128</v>
      </c>
      <c r="AG28" s="184">
        <f t="shared" ref="AG28:AG29" si="24">IFERROR(AF28/AE28,"")</f>
        <v>287.78645885331025</v>
      </c>
      <c r="AH28" s="181">
        <f t="shared" ref="AH28:AH29" si="25">RANK(AG28, AG$27:AG$41)</f>
        <v>3</v>
      </c>
      <c r="AI28" s="598"/>
      <c r="AJ28" s="187">
        <v>11</v>
      </c>
      <c r="AK28" s="187">
        <v>3164.8109644764381</v>
      </c>
      <c r="AL28" s="184">
        <f t="shared" ref="AL28:AL29" si="26">IFERROR(AK28/AJ28,"")</f>
        <v>287.71008767967618</v>
      </c>
      <c r="AM28" s="181">
        <f t="shared" ref="AM28:AM29" si="27">RANK(AL28, AL$27:AL$41)</f>
        <v>3</v>
      </c>
      <c r="AN28" s="598"/>
      <c r="AO28" s="187">
        <v>11</v>
      </c>
      <c r="AP28" s="187">
        <v>3165.1709644764383</v>
      </c>
      <c r="AQ28" s="184">
        <f t="shared" ref="AQ28:AQ29" si="28">IFERROR(AP28/AO28,"")</f>
        <v>287.74281495240348</v>
      </c>
      <c r="AR28" s="181">
        <f t="shared" ref="AR28:AR29" si="29">RANK(AQ28, AQ$27:AQ$41)</f>
        <v>2</v>
      </c>
      <c r="AS28" s="598"/>
      <c r="AT28" s="187">
        <v>11</v>
      </c>
      <c r="AU28" s="187">
        <v>3162.5770712522226</v>
      </c>
      <c r="AV28" s="184">
        <f t="shared" ref="AV28:AV29" si="30">IFERROR(AU28/AT28,"")</f>
        <v>287.50700647747476</v>
      </c>
      <c r="AW28" s="181">
        <f t="shared" ref="AW28:AW29" si="31">RANK(AV28, AV$27:AV$41)</f>
        <v>2</v>
      </c>
      <c r="AX28" s="598"/>
    </row>
    <row r="29" spans="2:50" ht="14.25" customHeight="1">
      <c r="B29" s="597"/>
      <c r="C29" s="179">
        <v>3</v>
      </c>
      <c r="D29" s="182" t="s">
        <v>522</v>
      </c>
      <c r="E29" s="179">
        <v>11</v>
      </c>
      <c r="F29" s="179">
        <v>3600</v>
      </c>
      <c r="G29" s="184">
        <f t="shared" si="16"/>
        <v>327.27272727272725</v>
      </c>
      <c r="H29" s="598"/>
      <c r="I29" s="185">
        <f t="shared" si="18"/>
        <v>11</v>
      </c>
      <c r="J29" s="185">
        <f t="shared" si="18"/>
        <v>3164.7647270531038</v>
      </c>
      <c r="K29" s="186">
        <f t="shared" si="18"/>
        <v>287.7058842775549</v>
      </c>
      <c r="L29" s="599"/>
      <c r="M29" s="185">
        <f>RANK(K29, K$27:$K$41)</f>
        <v>2</v>
      </c>
      <c r="N29" s="597"/>
      <c r="O29" s="597"/>
      <c r="P29" s="187">
        <v>11</v>
      </c>
      <c r="Q29" s="187">
        <v>3165.3567638953032</v>
      </c>
      <c r="R29" s="184">
        <f t="shared" si="19"/>
        <v>287.75970580866391</v>
      </c>
      <c r="S29" s="181">
        <f t="shared" si="20"/>
        <v>2</v>
      </c>
      <c r="T29" s="598"/>
      <c r="U29" s="187">
        <v>11</v>
      </c>
      <c r="V29" s="187">
        <v>3164.9967638953035</v>
      </c>
      <c r="W29" s="184">
        <f t="shared" si="17"/>
        <v>287.72697853593667</v>
      </c>
      <c r="X29" s="181">
        <f t="shared" si="21"/>
        <v>2</v>
      </c>
      <c r="Y29" s="598"/>
      <c r="Z29" s="187">
        <v>11</v>
      </c>
      <c r="AA29" s="187">
        <v>3165.7167638953033</v>
      </c>
      <c r="AB29" s="184">
        <f t="shared" si="22"/>
        <v>287.79243308139121</v>
      </c>
      <c r="AC29" s="181">
        <f t="shared" si="23"/>
        <v>2</v>
      </c>
      <c r="AD29" s="598"/>
      <c r="AE29" s="187">
        <v>11</v>
      </c>
      <c r="AF29" s="187">
        <v>3165.7167638953038</v>
      </c>
      <c r="AG29" s="184">
        <f t="shared" si="24"/>
        <v>287.79243308139127</v>
      </c>
      <c r="AH29" s="181">
        <f t="shared" si="25"/>
        <v>2</v>
      </c>
      <c r="AI29" s="598"/>
      <c r="AJ29" s="187">
        <v>11</v>
      </c>
      <c r="AK29" s="187">
        <v>3165.8820569578006</v>
      </c>
      <c r="AL29" s="184">
        <f t="shared" si="26"/>
        <v>287.80745972343641</v>
      </c>
      <c r="AM29" s="181">
        <f t="shared" si="27"/>
        <v>2</v>
      </c>
      <c r="AN29" s="598"/>
      <c r="AO29" s="187">
        <v>11</v>
      </c>
      <c r="AP29" s="187">
        <v>3163.2019884163569</v>
      </c>
      <c r="AQ29" s="184">
        <f t="shared" si="28"/>
        <v>287.56381712875969</v>
      </c>
      <c r="AR29" s="181">
        <f t="shared" si="29"/>
        <v>3</v>
      </c>
      <c r="AS29" s="598"/>
      <c r="AT29" s="187">
        <v>11</v>
      </c>
      <c r="AU29" s="187">
        <v>3162.4819884163567</v>
      </c>
      <c r="AV29" s="184">
        <f t="shared" si="30"/>
        <v>287.49836258330515</v>
      </c>
      <c r="AW29" s="181">
        <f t="shared" si="31"/>
        <v>3</v>
      </c>
      <c r="AX29" s="598"/>
    </row>
    <row r="30" spans="2:50" ht="14.25" customHeight="1">
      <c r="B30" s="597"/>
      <c r="C30" s="179">
        <v>4</v>
      </c>
      <c r="D30" s="182"/>
      <c r="E30" s="179"/>
      <c r="F30" s="179"/>
      <c r="G30" s="184"/>
      <c r="H30" s="598"/>
      <c r="I30" s="185"/>
      <c r="J30" s="185"/>
      <c r="K30" s="186"/>
      <c r="L30" s="599"/>
      <c r="M30" s="185"/>
      <c r="N30" s="597"/>
      <c r="O30" s="597"/>
      <c r="P30" s="187"/>
      <c r="Q30" s="187"/>
      <c r="R30" s="184"/>
      <c r="S30" s="181"/>
      <c r="T30" s="598"/>
      <c r="U30" s="187"/>
      <c r="V30" s="187"/>
      <c r="W30" s="184"/>
      <c r="X30" s="181"/>
      <c r="Y30" s="598"/>
      <c r="Z30" s="187"/>
      <c r="AA30" s="187"/>
      <c r="AB30" s="184"/>
      <c r="AC30" s="181"/>
      <c r="AD30" s="598"/>
      <c r="AE30" s="187"/>
      <c r="AF30" s="187"/>
      <c r="AG30" s="184"/>
      <c r="AH30" s="181"/>
      <c r="AI30" s="598"/>
      <c r="AJ30" s="187"/>
      <c r="AK30" s="187"/>
      <c r="AL30" s="184"/>
      <c r="AM30" s="181"/>
      <c r="AN30" s="598"/>
      <c r="AO30" s="187"/>
      <c r="AP30" s="187"/>
      <c r="AQ30" s="184"/>
      <c r="AR30" s="181"/>
      <c r="AS30" s="598"/>
      <c r="AT30" s="187"/>
      <c r="AU30" s="187"/>
      <c r="AV30" s="184"/>
      <c r="AW30" s="181"/>
      <c r="AX30" s="598"/>
    </row>
    <row r="31" spans="2:50" ht="14.25" customHeight="1">
      <c r="B31" s="597"/>
      <c r="C31" s="179">
        <v>5</v>
      </c>
      <c r="D31" s="182"/>
      <c r="E31" s="179"/>
      <c r="F31" s="179"/>
      <c r="G31" s="184"/>
      <c r="H31" s="598"/>
      <c r="I31" s="185"/>
      <c r="J31" s="185"/>
      <c r="K31" s="186"/>
      <c r="L31" s="599"/>
      <c r="M31" s="185"/>
      <c r="N31" s="597"/>
      <c r="O31" s="597"/>
      <c r="P31" s="187"/>
      <c r="Q31" s="187"/>
      <c r="R31" s="184"/>
      <c r="S31" s="181"/>
      <c r="T31" s="598"/>
      <c r="U31" s="187"/>
      <c r="V31" s="187"/>
      <c r="W31" s="184"/>
      <c r="X31" s="181"/>
      <c r="Y31" s="598"/>
      <c r="Z31" s="187"/>
      <c r="AA31" s="187"/>
      <c r="AB31" s="184"/>
      <c r="AC31" s="181"/>
      <c r="AD31" s="598"/>
      <c r="AE31" s="187"/>
      <c r="AF31" s="187"/>
      <c r="AG31" s="184"/>
      <c r="AH31" s="181"/>
      <c r="AI31" s="598"/>
      <c r="AJ31" s="187"/>
      <c r="AK31" s="187"/>
      <c r="AL31" s="184"/>
      <c r="AM31" s="181"/>
      <c r="AN31" s="598"/>
      <c r="AO31" s="187"/>
      <c r="AP31" s="187"/>
      <c r="AQ31" s="184"/>
      <c r="AR31" s="181"/>
      <c r="AS31" s="598"/>
      <c r="AT31" s="187"/>
      <c r="AU31" s="187"/>
      <c r="AV31" s="184"/>
      <c r="AW31" s="181"/>
      <c r="AX31" s="598"/>
    </row>
    <row r="32" spans="2:50" ht="14.25" customHeight="1">
      <c r="B32" s="597"/>
      <c r="C32" s="179">
        <v>6</v>
      </c>
      <c r="D32" s="182"/>
      <c r="E32" s="179"/>
      <c r="F32" s="179"/>
      <c r="G32" s="184"/>
      <c r="H32" s="598"/>
      <c r="I32" s="185"/>
      <c r="J32" s="185"/>
      <c r="K32" s="186"/>
      <c r="L32" s="599"/>
      <c r="M32" s="185"/>
      <c r="N32" s="597"/>
      <c r="O32" s="597"/>
      <c r="P32" s="187"/>
      <c r="Q32" s="187"/>
      <c r="R32" s="184"/>
      <c r="S32" s="181"/>
      <c r="T32" s="598"/>
      <c r="U32" s="187"/>
      <c r="V32" s="187"/>
      <c r="W32" s="184"/>
      <c r="X32" s="181"/>
      <c r="Y32" s="598"/>
      <c r="Z32" s="187"/>
      <c r="AA32" s="187"/>
      <c r="AB32" s="184"/>
      <c r="AC32" s="181"/>
      <c r="AD32" s="598"/>
      <c r="AE32" s="187"/>
      <c r="AF32" s="187"/>
      <c r="AG32" s="184"/>
      <c r="AH32" s="181"/>
      <c r="AI32" s="598"/>
      <c r="AJ32" s="187"/>
      <c r="AK32" s="187"/>
      <c r="AL32" s="184"/>
      <c r="AM32" s="181"/>
      <c r="AN32" s="598"/>
      <c r="AO32" s="187"/>
      <c r="AP32" s="187"/>
      <c r="AQ32" s="184"/>
      <c r="AR32" s="181"/>
      <c r="AS32" s="598"/>
      <c r="AT32" s="187"/>
      <c r="AU32" s="187"/>
      <c r="AV32" s="184"/>
      <c r="AW32" s="181"/>
      <c r="AX32" s="598"/>
    </row>
    <row r="33" spans="2:50" ht="14.25" customHeight="1">
      <c r="B33" s="597"/>
      <c r="C33" s="179">
        <v>7</v>
      </c>
      <c r="D33" s="182"/>
      <c r="E33" s="179"/>
      <c r="F33" s="179"/>
      <c r="G33" s="184"/>
      <c r="H33" s="598"/>
      <c r="I33" s="185"/>
      <c r="J33" s="185"/>
      <c r="K33" s="186"/>
      <c r="L33" s="599"/>
      <c r="M33" s="185"/>
      <c r="N33" s="597"/>
      <c r="O33" s="597"/>
      <c r="P33" s="187"/>
      <c r="Q33" s="187"/>
      <c r="R33" s="184"/>
      <c r="S33" s="181"/>
      <c r="T33" s="598"/>
      <c r="U33" s="187"/>
      <c r="V33" s="187"/>
      <c r="W33" s="184"/>
      <c r="X33" s="181"/>
      <c r="Y33" s="598"/>
      <c r="Z33" s="187"/>
      <c r="AA33" s="187"/>
      <c r="AB33" s="184"/>
      <c r="AC33" s="181"/>
      <c r="AD33" s="598"/>
      <c r="AE33" s="187"/>
      <c r="AF33" s="187"/>
      <c r="AG33" s="184"/>
      <c r="AH33" s="181"/>
      <c r="AI33" s="598"/>
      <c r="AJ33" s="187"/>
      <c r="AK33" s="187"/>
      <c r="AL33" s="184"/>
      <c r="AM33" s="181"/>
      <c r="AN33" s="598"/>
      <c r="AO33" s="187"/>
      <c r="AP33" s="187"/>
      <c r="AQ33" s="184"/>
      <c r="AR33" s="181"/>
      <c r="AS33" s="598"/>
      <c r="AT33" s="187"/>
      <c r="AU33" s="187"/>
      <c r="AV33" s="184"/>
      <c r="AW33" s="181"/>
      <c r="AX33" s="598"/>
    </row>
    <row r="34" spans="2:50" ht="14.25" customHeight="1">
      <c r="B34" s="597"/>
      <c r="C34" s="179">
        <v>8</v>
      </c>
      <c r="D34" s="182"/>
      <c r="E34" s="179"/>
      <c r="F34" s="179"/>
      <c r="G34" s="184"/>
      <c r="H34" s="598"/>
      <c r="I34" s="185"/>
      <c r="J34" s="185"/>
      <c r="K34" s="186"/>
      <c r="L34" s="599"/>
      <c r="M34" s="185"/>
      <c r="N34" s="597"/>
      <c r="O34" s="597"/>
      <c r="P34" s="187"/>
      <c r="Q34" s="187"/>
      <c r="R34" s="184"/>
      <c r="S34" s="181"/>
      <c r="T34" s="598"/>
      <c r="U34" s="187"/>
      <c r="V34" s="187"/>
      <c r="W34" s="184"/>
      <c r="X34" s="181"/>
      <c r="Y34" s="598"/>
      <c r="Z34" s="187"/>
      <c r="AA34" s="187"/>
      <c r="AB34" s="184"/>
      <c r="AC34" s="181"/>
      <c r="AD34" s="598"/>
      <c r="AE34" s="187"/>
      <c r="AF34" s="187"/>
      <c r="AG34" s="184"/>
      <c r="AH34" s="181"/>
      <c r="AI34" s="598"/>
      <c r="AJ34" s="187"/>
      <c r="AK34" s="187"/>
      <c r="AL34" s="184"/>
      <c r="AM34" s="181"/>
      <c r="AN34" s="598"/>
      <c r="AO34" s="187"/>
      <c r="AP34" s="187"/>
      <c r="AQ34" s="184"/>
      <c r="AR34" s="181"/>
      <c r="AS34" s="598"/>
      <c r="AT34" s="187"/>
      <c r="AU34" s="187"/>
      <c r="AV34" s="184"/>
      <c r="AW34" s="181"/>
      <c r="AX34" s="598"/>
    </row>
    <row r="35" spans="2:50" ht="14.25" customHeight="1">
      <c r="B35" s="597"/>
      <c r="C35" s="179">
        <v>9</v>
      </c>
      <c r="D35" s="182"/>
      <c r="E35" s="179"/>
      <c r="F35" s="179"/>
      <c r="G35" s="184"/>
      <c r="H35" s="598"/>
      <c r="I35" s="185"/>
      <c r="J35" s="185"/>
      <c r="K35" s="186"/>
      <c r="L35" s="599"/>
      <c r="M35" s="185"/>
      <c r="N35" s="597"/>
      <c r="O35" s="597"/>
      <c r="P35" s="187"/>
      <c r="Q35" s="187"/>
      <c r="R35" s="184"/>
      <c r="S35" s="181"/>
      <c r="T35" s="598"/>
      <c r="U35" s="187"/>
      <c r="V35" s="187"/>
      <c r="W35" s="184"/>
      <c r="X35" s="181"/>
      <c r="Y35" s="598"/>
      <c r="Z35" s="187"/>
      <c r="AA35" s="187"/>
      <c r="AB35" s="184"/>
      <c r="AC35" s="181"/>
      <c r="AD35" s="598"/>
      <c r="AE35" s="187"/>
      <c r="AF35" s="187"/>
      <c r="AG35" s="184"/>
      <c r="AH35" s="181"/>
      <c r="AI35" s="598"/>
      <c r="AJ35" s="187"/>
      <c r="AK35" s="187"/>
      <c r="AL35" s="184"/>
      <c r="AM35" s="181"/>
      <c r="AN35" s="598"/>
      <c r="AO35" s="187"/>
      <c r="AP35" s="187"/>
      <c r="AQ35" s="184"/>
      <c r="AR35" s="181"/>
      <c r="AS35" s="598"/>
      <c r="AT35" s="187"/>
      <c r="AU35" s="187"/>
      <c r="AV35" s="184"/>
      <c r="AW35" s="181"/>
      <c r="AX35" s="598"/>
    </row>
    <row r="36" spans="2:50" ht="14.25" customHeight="1">
      <c r="B36" s="597"/>
      <c r="C36" s="179">
        <v>10</v>
      </c>
      <c r="D36" s="182"/>
      <c r="E36" s="179"/>
      <c r="F36" s="179"/>
      <c r="G36" s="184"/>
      <c r="H36" s="598"/>
      <c r="I36" s="185"/>
      <c r="J36" s="185"/>
      <c r="K36" s="186"/>
      <c r="L36" s="599"/>
      <c r="M36" s="185"/>
      <c r="N36" s="597"/>
      <c r="O36" s="597"/>
      <c r="P36" s="187"/>
      <c r="Q36" s="187"/>
      <c r="R36" s="184"/>
      <c r="S36" s="181"/>
      <c r="T36" s="598"/>
      <c r="U36" s="187"/>
      <c r="V36" s="187"/>
      <c r="W36" s="184"/>
      <c r="X36" s="181"/>
      <c r="Y36" s="598"/>
      <c r="Z36" s="187"/>
      <c r="AA36" s="187"/>
      <c r="AB36" s="184"/>
      <c r="AC36" s="181"/>
      <c r="AD36" s="598"/>
      <c r="AE36" s="187"/>
      <c r="AF36" s="187"/>
      <c r="AG36" s="184"/>
      <c r="AH36" s="181"/>
      <c r="AI36" s="598"/>
      <c r="AJ36" s="187"/>
      <c r="AK36" s="187"/>
      <c r="AL36" s="184"/>
      <c r="AM36" s="181"/>
      <c r="AN36" s="598"/>
      <c r="AO36" s="187"/>
      <c r="AP36" s="187"/>
      <c r="AQ36" s="184"/>
      <c r="AR36" s="181"/>
      <c r="AS36" s="598"/>
      <c r="AT36" s="187"/>
      <c r="AU36" s="187"/>
      <c r="AV36" s="184"/>
      <c r="AW36" s="181"/>
      <c r="AX36" s="598"/>
    </row>
    <row r="37" spans="2:50" ht="14.25" customHeight="1">
      <c r="B37" s="597"/>
      <c r="C37" s="179">
        <v>11</v>
      </c>
      <c r="D37" s="182"/>
      <c r="E37" s="179"/>
      <c r="F37" s="179"/>
      <c r="G37" s="184"/>
      <c r="H37" s="598"/>
      <c r="I37" s="185"/>
      <c r="J37" s="185"/>
      <c r="K37" s="186"/>
      <c r="L37" s="599"/>
      <c r="M37" s="185"/>
      <c r="N37" s="597"/>
      <c r="O37" s="597"/>
      <c r="P37" s="187"/>
      <c r="Q37" s="187"/>
      <c r="R37" s="184"/>
      <c r="S37" s="181"/>
      <c r="T37" s="598"/>
      <c r="U37" s="187"/>
      <c r="V37" s="187"/>
      <c r="W37" s="184"/>
      <c r="X37" s="181"/>
      <c r="Y37" s="598"/>
      <c r="Z37" s="187"/>
      <c r="AA37" s="187"/>
      <c r="AB37" s="184"/>
      <c r="AC37" s="181"/>
      <c r="AD37" s="598"/>
      <c r="AE37" s="187"/>
      <c r="AF37" s="187"/>
      <c r="AG37" s="184"/>
      <c r="AH37" s="181"/>
      <c r="AI37" s="598"/>
      <c r="AJ37" s="187"/>
      <c r="AK37" s="187"/>
      <c r="AL37" s="184"/>
      <c r="AM37" s="181"/>
      <c r="AN37" s="598"/>
      <c r="AO37" s="187"/>
      <c r="AP37" s="187"/>
      <c r="AQ37" s="184"/>
      <c r="AR37" s="181"/>
      <c r="AS37" s="598"/>
      <c r="AT37" s="187"/>
      <c r="AU37" s="187"/>
      <c r="AV37" s="184"/>
      <c r="AW37" s="181"/>
      <c r="AX37" s="598"/>
    </row>
    <row r="38" spans="2:50" ht="14.25" customHeight="1">
      <c r="B38" s="597"/>
      <c r="C38" s="179">
        <v>12</v>
      </c>
      <c r="D38" s="182"/>
      <c r="E38" s="179"/>
      <c r="F38" s="179"/>
      <c r="G38" s="184"/>
      <c r="H38" s="598"/>
      <c r="I38" s="185"/>
      <c r="J38" s="185"/>
      <c r="K38" s="186"/>
      <c r="L38" s="599"/>
      <c r="M38" s="185"/>
      <c r="N38" s="597"/>
      <c r="O38" s="597"/>
      <c r="P38" s="187"/>
      <c r="Q38" s="187"/>
      <c r="R38" s="184"/>
      <c r="S38" s="181"/>
      <c r="T38" s="598"/>
      <c r="U38" s="187"/>
      <c r="V38" s="187"/>
      <c r="W38" s="184"/>
      <c r="X38" s="181"/>
      <c r="Y38" s="598"/>
      <c r="Z38" s="187"/>
      <c r="AA38" s="187"/>
      <c r="AB38" s="184"/>
      <c r="AC38" s="181"/>
      <c r="AD38" s="598"/>
      <c r="AE38" s="187"/>
      <c r="AF38" s="187"/>
      <c r="AG38" s="184"/>
      <c r="AH38" s="181"/>
      <c r="AI38" s="598"/>
      <c r="AJ38" s="187"/>
      <c r="AK38" s="187"/>
      <c r="AL38" s="184"/>
      <c r="AM38" s="181"/>
      <c r="AN38" s="598"/>
      <c r="AO38" s="187"/>
      <c r="AP38" s="187"/>
      <c r="AQ38" s="184"/>
      <c r="AR38" s="181"/>
      <c r="AS38" s="598"/>
      <c r="AT38" s="187"/>
      <c r="AU38" s="187"/>
      <c r="AV38" s="184"/>
      <c r="AW38" s="181"/>
      <c r="AX38" s="598"/>
    </row>
    <row r="39" spans="2:50" ht="14.25" customHeight="1">
      <c r="B39" s="597"/>
      <c r="C39" s="179">
        <v>13</v>
      </c>
      <c r="D39" s="182"/>
      <c r="E39" s="179"/>
      <c r="F39" s="179"/>
      <c r="G39" s="184"/>
      <c r="H39" s="598"/>
      <c r="I39" s="185"/>
      <c r="J39" s="185"/>
      <c r="K39" s="186"/>
      <c r="L39" s="599"/>
      <c r="M39" s="185"/>
      <c r="N39" s="597"/>
      <c r="O39" s="597"/>
      <c r="P39" s="187"/>
      <c r="Q39" s="187"/>
      <c r="R39" s="184"/>
      <c r="S39" s="181"/>
      <c r="T39" s="598"/>
      <c r="U39" s="187"/>
      <c r="V39" s="187"/>
      <c r="W39" s="184"/>
      <c r="X39" s="181"/>
      <c r="Y39" s="598"/>
      <c r="Z39" s="187"/>
      <c r="AA39" s="187"/>
      <c r="AB39" s="184"/>
      <c r="AC39" s="181"/>
      <c r="AD39" s="598"/>
      <c r="AE39" s="187"/>
      <c r="AF39" s="187"/>
      <c r="AG39" s="184"/>
      <c r="AH39" s="181"/>
      <c r="AI39" s="598"/>
      <c r="AJ39" s="187"/>
      <c r="AK39" s="187"/>
      <c r="AL39" s="184"/>
      <c r="AM39" s="181"/>
      <c r="AN39" s="598"/>
      <c r="AO39" s="187"/>
      <c r="AP39" s="187"/>
      <c r="AQ39" s="184"/>
      <c r="AR39" s="181"/>
      <c r="AS39" s="598"/>
      <c r="AT39" s="187"/>
      <c r="AU39" s="187"/>
      <c r="AV39" s="184"/>
      <c r="AW39" s="181"/>
      <c r="AX39" s="598"/>
    </row>
    <row r="40" spans="2:50" ht="14.25" customHeight="1">
      <c r="B40" s="597"/>
      <c r="C40" s="179">
        <v>14</v>
      </c>
      <c r="D40" s="182"/>
      <c r="E40" s="179"/>
      <c r="F40" s="179"/>
      <c r="G40" s="184"/>
      <c r="H40" s="598"/>
      <c r="I40" s="185"/>
      <c r="J40" s="185"/>
      <c r="K40" s="186"/>
      <c r="L40" s="599"/>
      <c r="M40" s="185"/>
      <c r="N40" s="597"/>
      <c r="O40" s="597"/>
      <c r="P40" s="187"/>
      <c r="Q40" s="187"/>
      <c r="R40" s="184"/>
      <c r="S40" s="181"/>
      <c r="T40" s="598"/>
      <c r="U40" s="187"/>
      <c r="V40" s="187"/>
      <c r="W40" s="184"/>
      <c r="X40" s="181"/>
      <c r="Y40" s="598"/>
      <c r="Z40" s="187"/>
      <c r="AA40" s="187"/>
      <c r="AB40" s="184"/>
      <c r="AC40" s="181"/>
      <c r="AD40" s="598"/>
      <c r="AE40" s="187"/>
      <c r="AF40" s="187"/>
      <c r="AG40" s="184"/>
      <c r="AH40" s="181"/>
      <c r="AI40" s="598"/>
      <c r="AJ40" s="187"/>
      <c r="AK40" s="187"/>
      <c r="AL40" s="184"/>
      <c r="AM40" s="181"/>
      <c r="AN40" s="598"/>
      <c r="AO40" s="187"/>
      <c r="AP40" s="187"/>
      <c r="AQ40" s="184"/>
      <c r="AR40" s="181"/>
      <c r="AS40" s="598"/>
      <c r="AT40" s="187"/>
      <c r="AU40" s="187"/>
      <c r="AV40" s="184"/>
      <c r="AW40" s="181"/>
      <c r="AX40" s="598"/>
    </row>
    <row r="41" spans="2:50" ht="14.25" customHeight="1">
      <c r="B41" s="597"/>
      <c r="C41" s="179">
        <v>15</v>
      </c>
      <c r="D41" s="182"/>
      <c r="E41" s="179"/>
      <c r="F41" s="179"/>
      <c r="G41" s="184"/>
      <c r="H41" s="598"/>
      <c r="I41" s="185"/>
      <c r="J41" s="185"/>
      <c r="K41" s="186"/>
      <c r="L41" s="599"/>
      <c r="M41" s="185"/>
      <c r="N41" s="597"/>
      <c r="O41" s="597"/>
      <c r="P41" s="187"/>
      <c r="Q41" s="187"/>
      <c r="R41" s="184"/>
      <c r="S41" s="181"/>
      <c r="T41" s="598"/>
      <c r="U41" s="187"/>
      <c r="V41" s="187"/>
      <c r="W41" s="184"/>
      <c r="X41" s="181"/>
      <c r="Y41" s="598"/>
      <c r="Z41" s="187"/>
      <c r="AA41" s="187"/>
      <c r="AB41" s="184"/>
      <c r="AC41" s="181"/>
      <c r="AD41" s="598"/>
      <c r="AE41" s="187"/>
      <c r="AF41" s="187"/>
      <c r="AG41" s="184"/>
      <c r="AH41" s="181"/>
      <c r="AI41" s="598"/>
      <c r="AJ41" s="187"/>
      <c r="AK41" s="187"/>
      <c r="AL41" s="184"/>
      <c r="AM41" s="181"/>
      <c r="AN41" s="598"/>
      <c r="AO41" s="187"/>
      <c r="AP41" s="187"/>
      <c r="AQ41" s="184"/>
      <c r="AR41" s="181"/>
      <c r="AS41" s="598"/>
      <c r="AT41" s="187"/>
      <c r="AU41" s="187"/>
      <c r="AV41" s="184"/>
      <c r="AW41" s="181"/>
      <c r="AX41" s="598"/>
    </row>
    <row r="42" spans="2:50" ht="14.25" customHeight="1">
      <c r="B42" s="625" t="s">
        <v>825</v>
      </c>
      <c r="C42" s="625"/>
      <c r="D42" s="625"/>
      <c r="E42" s="625"/>
      <c r="F42" s="625"/>
      <c r="G42" s="625"/>
      <c r="H42" s="625"/>
      <c r="I42" s="625"/>
      <c r="J42" s="625"/>
      <c r="K42" s="625"/>
      <c r="L42" s="625"/>
      <c r="M42" s="626"/>
      <c r="N42" s="629" t="s">
        <v>363</v>
      </c>
      <c r="O42" s="629" t="s">
        <v>105</v>
      </c>
      <c r="P42" s="617">
        <v>46217</v>
      </c>
      <c r="Q42" s="618"/>
      <c r="R42" s="618"/>
      <c r="S42" s="618"/>
      <c r="T42" s="618"/>
      <c r="U42" s="619">
        <v>46218</v>
      </c>
      <c r="V42" s="620"/>
      <c r="W42" s="620"/>
      <c r="X42" s="620"/>
      <c r="Y42" s="620"/>
      <c r="Z42" s="617">
        <v>46219</v>
      </c>
      <c r="AA42" s="618"/>
      <c r="AB42" s="618"/>
      <c r="AC42" s="618"/>
      <c r="AD42" s="618"/>
      <c r="AE42" s="619">
        <v>46220</v>
      </c>
      <c r="AF42" s="620"/>
      <c r="AG42" s="620"/>
      <c r="AH42" s="620"/>
      <c r="AI42" s="620"/>
      <c r="AJ42" s="602">
        <v>46221</v>
      </c>
      <c r="AK42" s="603"/>
      <c r="AL42" s="603"/>
      <c r="AM42" s="603"/>
      <c r="AN42" s="604"/>
      <c r="AO42" s="619">
        <v>46222</v>
      </c>
      <c r="AP42" s="620"/>
      <c r="AQ42" s="620"/>
      <c r="AR42" s="620"/>
      <c r="AS42" s="620"/>
      <c r="AT42" s="602">
        <v>46223</v>
      </c>
      <c r="AU42" s="603"/>
      <c r="AV42" s="603"/>
      <c r="AW42" s="603"/>
      <c r="AX42" s="604"/>
    </row>
    <row r="43" spans="2:50" ht="14.25" customHeight="1">
      <c r="B43" s="627"/>
      <c r="C43" s="627"/>
      <c r="D43" s="627"/>
      <c r="E43" s="627"/>
      <c r="F43" s="627"/>
      <c r="G43" s="627"/>
      <c r="H43" s="627"/>
      <c r="I43" s="627"/>
      <c r="J43" s="627"/>
      <c r="K43" s="627"/>
      <c r="L43" s="627"/>
      <c r="M43" s="628"/>
      <c r="N43" s="630"/>
      <c r="O43" s="630"/>
      <c r="P43" s="605">
        <v>46196</v>
      </c>
      <c r="Q43" s="605"/>
      <c r="R43" s="605"/>
      <c r="S43" s="605"/>
      <c r="T43" s="605"/>
      <c r="U43" s="606">
        <v>46197</v>
      </c>
      <c r="V43" s="606"/>
      <c r="W43" s="606"/>
      <c r="X43" s="606"/>
      <c r="Y43" s="606"/>
      <c r="Z43" s="605">
        <v>46198</v>
      </c>
      <c r="AA43" s="605"/>
      <c r="AB43" s="605"/>
      <c r="AC43" s="605"/>
      <c r="AD43" s="605"/>
      <c r="AE43" s="606">
        <v>46199</v>
      </c>
      <c r="AF43" s="606"/>
      <c r="AG43" s="606"/>
      <c r="AH43" s="606"/>
      <c r="AI43" s="606"/>
      <c r="AJ43" s="607">
        <v>46200</v>
      </c>
      <c r="AK43" s="608"/>
      <c r="AL43" s="608"/>
      <c r="AM43" s="608"/>
      <c r="AN43" s="609"/>
      <c r="AO43" s="606">
        <v>46201</v>
      </c>
      <c r="AP43" s="606"/>
      <c r="AQ43" s="606"/>
      <c r="AR43" s="606"/>
      <c r="AS43" s="606"/>
      <c r="AT43" s="607">
        <v>46202</v>
      </c>
      <c r="AU43" s="608"/>
      <c r="AV43" s="608"/>
      <c r="AW43" s="608"/>
      <c r="AX43" s="609"/>
    </row>
    <row r="44" spans="2:50" ht="14.25" customHeight="1">
      <c r="B44" s="597" t="s">
        <v>162</v>
      </c>
      <c r="C44" s="597" t="s">
        <v>157</v>
      </c>
      <c r="D44" s="597"/>
      <c r="E44" s="597" t="s">
        <v>158</v>
      </c>
      <c r="F44" s="597"/>
      <c r="G44" s="597"/>
      <c r="H44" s="597" t="s">
        <v>163</v>
      </c>
      <c r="I44" s="601" t="s">
        <v>364</v>
      </c>
      <c r="J44" s="601"/>
      <c r="K44" s="601"/>
      <c r="L44" s="601" t="s">
        <v>163</v>
      </c>
      <c r="M44" s="601" t="s">
        <v>165</v>
      </c>
      <c r="N44" s="597"/>
      <c r="O44" s="597" t="s">
        <v>164</v>
      </c>
      <c r="P44" s="597" t="s">
        <v>160</v>
      </c>
      <c r="Q44" s="597"/>
      <c r="R44" s="597"/>
      <c r="S44" s="597"/>
      <c r="T44" s="597" t="s">
        <v>163</v>
      </c>
      <c r="U44" s="597" t="s">
        <v>160</v>
      </c>
      <c r="V44" s="597"/>
      <c r="W44" s="597"/>
      <c r="X44" s="597"/>
      <c r="Y44" s="597" t="s">
        <v>163</v>
      </c>
      <c r="Z44" s="597" t="s">
        <v>160</v>
      </c>
      <c r="AA44" s="597"/>
      <c r="AB44" s="597"/>
      <c r="AC44" s="597"/>
      <c r="AD44" s="597" t="s">
        <v>163</v>
      </c>
      <c r="AE44" s="597" t="s">
        <v>160</v>
      </c>
      <c r="AF44" s="597"/>
      <c r="AG44" s="597"/>
      <c r="AH44" s="597"/>
      <c r="AI44" s="597" t="s">
        <v>163</v>
      </c>
      <c r="AJ44" s="597" t="s">
        <v>160</v>
      </c>
      <c r="AK44" s="597"/>
      <c r="AL44" s="597"/>
      <c r="AM44" s="597"/>
      <c r="AN44" s="597" t="s">
        <v>163</v>
      </c>
      <c r="AO44" s="597" t="s">
        <v>160</v>
      </c>
      <c r="AP44" s="597"/>
      <c r="AQ44" s="597"/>
      <c r="AR44" s="597"/>
      <c r="AS44" s="597" t="s">
        <v>163</v>
      </c>
      <c r="AT44" s="597" t="s">
        <v>160</v>
      </c>
      <c r="AU44" s="597"/>
      <c r="AV44" s="597"/>
      <c r="AW44" s="597"/>
      <c r="AX44" s="597" t="s">
        <v>163</v>
      </c>
    </row>
    <row r="45" spans="2:50" ht="14.25" customHeight="1">
      <c r="B45" s="597"/>
      <c r="C45" s="597"/>
      <c r="D45" s="597"/>
      <c r="E45" s="597" t="s">
        <v>365</v>
      </c>
      <c r="F45" s="597"/>
      <c r="G45" s="597"/>
      <c r="H45" s="597"/>
      <c r="I45" s="601" t="s">
        <v>365</v>
      </c>
      <c r="J45" s="601"/>
      <c r="K45" s="601"/>
      <c r="L45" s="601"/>
      <c r="M45" s="601"/>
      <c r="N45" s="597"/>
      <c r="O45" s="597"/>
      <c r="P45" s="597" t="s">
        <v>366</v>
      </c>
      <c r="Q45" s="597"/>
      <c r="R45" s="597"/>
      <c r="S45" s="597"/>
      <c r="T45" s="597"/>
      <c r="U45" s="597" t="s">
        <v>366</v>
      </c>
      <c r="V45" s="597"/>
      <c r="W45" s="597"/>
      <c r="X45" s="597"/>
      <c r="Y45" s="597"/>
      <c r="Z45" s="597" t="s">
        <v>366</v>
      </c>
      <c r="AA45" s="597"/>
      <c r="AB45" s="597"/>
      <c r="AC45" s="597"/>
      <c r="AD45" s="597"/>
      <c r="AE45" s="597" t="s">
        <v>366</v>
      </c>
      <c r="AF45" s="597"/>
      <c r="AG45" s="597"/>
      <c r="AH45" s="597"/>
      <c r="AI45" s="597"/>
      <c r="AJ45" s="597" t="s">
        <v>366</v>
      </c>
      <c r="AK45" s="597"/>
      <c r="AL45" s="597"/>
      <c r="AM45" s="597"/>
      <c r="AN45" s="597"/>
      <c r="AO45" s="597" t="s">
        <v>366</v>
      </c>
      <c r="AP45" s="597"/>
      <c r="AQ45" s="597"/>
      <c r="AR45" s="597"/>
      <c r="AS45" s="597"/>
      <c r="AT45" s="597" t="s">
        <v>366</v>
      </c>
      <c r="AU45" s="597"/>
      <c r="AV45" s="597"/>
      <c r="AW45" s="597"/>
      <c r="AX45" s="597"/>
    </row>
    <row r="46" spans="2:50" ht="14.25" customHeight="1">
      <c r="B46" s="597"/>
      <c r="C46" s="597"/>
      <c r="D46" s="597"/>
      <c r="E46" s="179" t="s">
        <v>159</v>
      </c>
      <c r="F46" s="179" t="s">
        <v>367</v>
      </c>
      <c r="G46" s="179" t="s">
        <v>161</v>
      </c>
      <c r="H46" s="597"/>
      <c r="I46" s="180" t="s">
        <v>159</v>
      </c>
      <c r="J46" s="180" t="s">
        <v>367</v>
      </c>
      <c r="K46" s="180" t="s">
        <v>161</v>
      </c>
      <c r="L46" s="601"/>
      <c r="M46" s="601"/>
      <c r="N46" s="597"/>
      <c r="O46" s="597"/>
      <c r="P46" s="179" t="s">
        <v>159</v>
      </c>
      <c r="Q46" s="179" t="s">
        <v>367</v>
      </c>
      <c r="R46" s="179" t="s">
        <v>161</v>
      </c>
      <c r="S46" s="181" t="s">
        <v>165</v>
      </c>
      <c r="T46" s="597"/>
      <c r="U46" s="179" t="s">
        <v>159</v>
      </c>
      <c r="V46" s="179" t="s">
        <v>367</v>
      </c>
      <c r="W46" s="179" t="s">
        <v>161</v>
      </c>
      <c r="X46" s="181" t="s">
        <v>165</v>
      </c>
      <c r="Y46" s="597"/>
      <c r="Z46" s="179" t="s">
        <v>159</v>
      </c>
      <c r="AA46" s="179" t="s">
        <v>367</v>
      </c>
      <c r="AB46" s="179" t="s">
        <v>161</v>
      </c>
      <c r="AC46" s="181" t="s">
        <v>165</v>
      </c>
      <c r="AD46" s="597"/>
      <c r="AE46" s="179" t="s">
        <v>159</v>
      </c>
      <c r="AF46" s="179" t="s">
        <v>367</v>
      </c>
      <c r="AG46" s="179" t="s">
        <v>161</v>
      </c>
      <c r="AH46" s="181" t="s">
        <v>165</v>
      </c>
      <c r="AI46" s="597"/>
      <c r="AJ46" s="179" t="s">
        <v>159</v>
      </c>
      <c r="AK46" s="179" t="s">
        <v>367</v>
      </c>
      <c r="AL46" s="179" t="s">
        <v>161</v>
      </c>
      <c r="AM46" s="181" t="s">
        <v>165</v>
      </c>
      <c r="AN46" s="597"/>
      <c r="AO46" s="179" t="s">
        <v>159</v>
      </c>
      <c r="AP46" s="179" t="s">
        <v>367</v>
      </c>
      <c r="AQ46" s="179" t="s">
        <v>161</v>
      </c>
      <c r="AR46" s="181" t="s">
        <v>165</v>
      </c>
      <c r="AS46" s="597"/>
      <c r="AT46" s="179" t="s">
        <v>159</v>
      </c>
      <c r="AU46" s="179" t="s">
        <v>367</v>
      </c>
      <c r="AV46" s="179" t="s">
        <v>161</v>
      </c>
      <c r="AW46" s="181" t="s">
        <v>165</v>
      </c>
      <c r="AX46" s="597"/>
    </row>
    <row r="47" spans="2:50" ht="14.25" customHeight="1">
      <c r="B47" s="597" t="s">
        <v>369</v>
      </c>
      <c r="C47" s="179">
        <v>1</v>
      </c>
      <c r="D47" s="182" t="s">
        <v>346</v>
      </c>
      <c r="E47" s="183">
        <v>10</v>
      </c>
      <c r="F47" s="179">
        <v>3600</v>
      </c>
      <c r="G47" s="184">
        <f t="shared" ref="G47:G49" si="32">IFERROR(F47/E47,"")</f>
        <v>360</v>
      </c>
      <c r="H47" s="598">
        <f>AVERAGE(G47:G61)</f>
        <v>338.18181818181819</v>
      </c>
      <c r="I47" s="185">
        <f>AVERAGE(P47,U47,Z47,AE47,AJ47,AO47,AT47)</f>
        <v>10</v>
      </c>
      <c r="J47" s="185">
        <f>AVERAGE(Q47,V47,AA47,AF47,AK47,AP47,AU47)</f>
        <v>3216.8381225817602</v>
      </c>
      <c r="K47" s="186">
        <f>AVERAGE(R47,W47,AB47,AG47,AL47,AQ47,AV47)</f>
        <v>321.68381225817592</v>
      </c>
      <c r="L47" s="599">
        <f>IFERROR(AVERAGE(K47:K61),"-")</f>
        <v>298.89111946735642</v>
      </c>
      <c r="M47" s="185">
        <f>RANK(K47, K$47:$K$61)</f>
        <v>1</v>
      </c>
      <c r="N47" s="597"/>
      <c r="O47" s="597"/>
      <c r="P47" s="187">
        <v>10</v>
      </c>
      <c r="Q47" s="187">
        <v>3217.9695511531886</v>
      </c>
      <c r="R47" s="184">
        <f>IFERROR(Q47/P47,"")</f>
        <v>321.79695511531884</v>
      </c>
      <c r="S47" s="181">
        <f>RANK(R47, R$47:R$61)</f>
        <v>1</v>
      </c>
      <c r="T47" s="598">
        <f>AVERAGE(R47:R61)</f>
        <v>299.01047169506325</v>
      </c>
      <c r="U47" s="187">
        <v>10</v>
      </c>
      <c r="V47" s="187">
        <v>3218.3295511531883</v>
      </c>
      <c r="W47" s="184">
        <f t="shared" ref="W47:W49" si="33">IFERROR(V47/U47,"")</f>
        <v>321.83295511531884</v>
      </c>
      <c r="X47" s="181">
        <f>RANK(W47, W$47:W$61)</f>
        <v>1</v>
      </c>
      <c r="Y47" s="598">
        <f>AVERAGE(W47:W61)</f>
        <v>298.95701714960865</v>
      </c>
      <c r="Z47" s="187">
        <v>10</v>
      </c>
      <c r="AA47" s="187">
        <v>3217.609551153188</v>
      </c>
      <c r="AB47" s="184">
        <f>IFERROR(AA47/Z47,"")</f>
        <v>321.76095511531878</v>
      </c>
      <c r="AC47" s="181">
        <f>RANK(AB47, AB$47:AB$61)</f>
        <v>1</v>
      </c>
      <c r="AD47" s="598">
        <f>AVERAGE(AB47:AB61)</f>
        <v>298.86350445894158</v>
      </c>
      <c r="AE47" s="187">
        <v>10</v>
      </c>
      <c r="AF47" s="187">
        <v>3217.2495511531883</v>
      </c>
      <c r="AG47" s="184">
        <f>IFERROR(AF47/AE47,"")</f>
        <v>321.72495511531883</v>
      </c>
      <c r="AH47" s="181">
        <f>RANK(AG47, AG$47:AG$61)</f>
        <v>1</v>
      </c>
      <c r="AI47" s="598">
        <f>AVERAGE(AG47:AG61)</f>
        <v>298.86241354985071</v>
      </c>
      <c r="AJ47" s="187">
        <v>10</v>
      </c>
      <c r="AK47" s="187">
        <v>3216.1695511531884</v>
      </c>
      <c r="AL47" s="184">
        <f>IFERROR(AK47/AJ47,"")</f>
        <v>321.61695511531883</v>
      </c>
      <c r="AM47" s="181">
        <f>RANK(AL47, AL$47:AL$61)</f>
        <v>1</v>
      </c>
      <c r="AN47" s="598">
        <f>AVERAGE(AL47:AL61)</f>
        <v>298.91368627712342</v>
      </c>
      <c r="AO47" s="187">
        <v>10</v>
      </c>
      <c r="AP47" s="187">
        <v>3215.8095511531883</v>
      </c>
      <c r="AQ47" s="184">
        <f>IFERROR(AP47/AO47,"")</f>
        <v>321.58095511531883</v>
      </c>
      <c r="AR47" s="181">
        <f>RANK(AQ47, AQ$47:AQ$61)</f>
        <v>1</v>
      </c>
      <c r="AS47" s="598">
        <f>AVERAGE(AQ47:AQ61)</f>
        <v>298.91259536803256</v>
      </c>
      <c r="AT47" s="187">
        <v>10</v>
      </c>
      <c r="AU47" s="187">
        <v>3214.7295511531884</v>
      </c>
      <c r="AV47" s="184">
        <f>IFERROR(AU47/AT47,"")</f>
        <v>321.47295511531883</v>
      </c>
      <c r="AW47" s="181">
        <f>RANK(AV47, AV$47:AV$61)</f>
        <v>1</v>
      </c>
      <c r="AX47" s="598">
        <f>AVERAGE(AV47:AV61)</f>
        <v>298.71814777287483</v>
      </c>
    </row>
    <row r="48" spans="2:50" ht="14.25" customHeight="1">
      <c r="B48" s="597"/>
      <c r="C48" s="179">
        <v>2</v>
      </c>
      <c r="D48" s="182" t="s">
        <v>521</v>
      </c>
      <c r="E48" s="179">
        <v>11</v>
      </c>
      <c r="F48" s="179">
        <v>3600</v>
      </c>
      <c r="G48" s="184">
        <f t="shared" si="32"/>
        <v>327.27272727272725</v>
      </c>
      <c r="H48" s="598"/>
      <c r="I48" s="185">
        <f t="shared" ref="I48:K49" si="34">AVERAGE(P48,U48,Z48,AE48,AJ48,AO48,AT48)</f>
        <v>11</v>
      </c>
      <c r="J48" s="185">
        <f t="shared" si="34"/>
        <v>3162.4030191664701</v>
      </c>
      <c r="K48" s="186">
        <f t="shared" si="34"/>
        <v>287.49118356058818</v>
      </c>
      <c r="L48" s="599"/>
      <c r="M48" s="185">
        <f>RANK(K48, K$47:$K$61)</f>
        <v>3</v>
      </c>
      <c r="N48" s="597"/>
      <c r="O48" s="597"/>
      <c r="P48" s="187">
        <v>11</v>
      </c>
      <c r="Q48" s="187">
        <v>3163.2970712522224</v>
      </c>
      <c r="R48" s="184">
        <f t="shared" ref="R48:R49" si="35">IFERROR(Q48/P48,"")</f>
        <v>287.5724610229293</v>
      </c>
      <c r="S48" s="181">
        <f t="shared" ref="S48:S49" si="36">RANK(R48, R$47:R$61)</f>
        <v>3</v>
      </c>
      <c r="T48" s="598"/>
      <c r="U48" s="187">
        <v>11</v>
      </c>
      <c r="V48" s="187">
        <v>3161.8570712522228</v>
      </c>
      <c r="W48" s="184">
        <f t="shared" si="33"/>
        <v>287.44155193202027</v>
      </c>
      <c r="X48" s="181">
        <f t="shared" ref="X48:X49" si="37">RANK(W48, W$47:W$61)</f>
        <v>3</v>
      </c>
      <c r="Y48" s="598"/>
      <c r="Z48" s="187">
        <v>11</v>
      </c>
      <c r="AA48" s="187">
        <v>3161.0031524602082</v>
      </c>
      <c r="AB48" s="184">
        <f t="shared" ref="AB48:AB49" si="38">IFERROR(AA48/Z48,"")</f>
        <v>287.36392295092804</v>
      </c>
      <c r="AC48" s="181">
        <f t="shared" ref="AC48:AC49" si="39">RANK(AB48, AB$47:AB$61)</f>
        <v>3</v>
      </c>
      <c r="AD48" s="598"/>
      <c r="AE48" s="187">
        <v>11</v>
      </c>
      <c r="AF48" s="187">
        <v>3161.7231524602089</v>
      </c>
      <c r="AG48" s="184">
        <f t="shared" ref="AG48:AG49" si="40">IFERROR(AF48/AE48,"")</f>
        <v>287.42937749638264</v>
      </c>
      <c r="AH48" s="181">
        <f t="shared" ref="AH48:AH49" si="41">RANK(AG48, AG$47:AG$61)</f>
        <v>3</v>
      </c>
      <c r="AI48" s="598"/>
      <c r="AJ48" s="187">
        <v>11</v>
      </c>
      <c r="AK48" s="187">
        <v>3163.5231524602091</v>
      </c>
      <c r="AL48" s="184">
        <f t="shared" ref="AL48:AL49" si="42">IFERROR(AK48/AJ48,"")</f>
        <v>287.59301386001903</v>
      </c>
      <c r="AM48" s="181">
        <f t="shared" ref="AM48:AM49" si="43">RANK(AL48, AL$47:AL$61)</f>
        <v>2</v>
      </c>
      <c r="AN48" s="598"/>
      <c r="AO48" s="187">
        <v>11</v>
      </c>
      <c r="AP48" s="187">
        <v>3164.96315246021</v>
      </c>
      <c r="AQ48" s="184">
        <f t="shared" ref="AQ48:AQ49" si="44">IFERROR(AP48/AO48,"")</f>
        <v>287.72392295092817</v>
      </c>
      <c r="AR48" s="181">
        <f t="shared" ref="AR48:AR49" si="45">RANK(AQ48, AQ$47:AQ$61)</f>
        <v>2</v>
      </c>
      <c r="AS48" s="598"/>
      <c r="AT48" s="187">
        <v>11</v>
      </c>
      <c r="AU48" s="187">
        <v>3160.4543818200063</v>
      </c>
      <c r="AV48" s="184">
        <f t="shared" ref="AV48:AV49" si="46">IFERROR(AU48/AT48,"")</f>
        <v>287.31403471090965</v>
      </c>
      <c r="AW48" s="181">
        <f t="shared" ref="AW48:AW49" si="47">RANK(AV48, AV$47:AV$61)</f>
        <v>3</v>
      </c>
      <c r="AX48" s="598"/>
    </row>
    <row r="49" spans="2:50" ht="14.25" customHeight="1">
      <c r="B49" s="597"/>
      <c r="C49" s="179">
        <v>3</v>
      </c>
      <c r="D49" s="182" t="s">
        <v>522</v>
      </c>
      <c r="E49" s="179">
        <v>11</v>
      </c>
      <c r="F49" s="179">
        <v>3600</v>
      </c>
      <c r="G49" s="184">
        <f t="shared" si="32"/>
        <v>327.27272727272725</v>
      </c>
      <c r="H49" s="598"/>
      <c r="I49" s="185">
        <f t="shared" si="34"/>
        <v>11</v>
      </c>
      <c r="J49" s="185">
        <f t="shared" si="34"/>
        <v>3162.4819884163567</v>
      </c>
      <c r="K49" s="186">
        <f t="shared" si="34"/>
        <v>287.49836258330521</v>
      </c>
      <c r="L49" s="599"/>
      <c r="M49" s="185">
        <f>RANK(K49, K$47:$K$61)</f>
        <v>2</v>
      </c>
      <c r="N49" s="597"/>
      <c r="O49" s="597"/>
      <c r="P49" s="187">
        <v>11</v>
      </c>
      <c r="Q49" s="187">
        <v>3164.2819884163564</v>
      </c>
      <c r="R49" s="184">
        <f t="shared" si="35"/>
        <v>287.66199894694148</v>
      </c>
      <c r="S49" s="181">
        <f t="shared" si="36"/>
        <v>2</v>
      </c>
      <c r="T49" s="598"/>
      <c r="U49" s="187">
        <v>11</v>
      </c>
      <c r="V49" s="187">
        <v>3163.5619884163566</v>
      </c>
      <c r="W49" s="184">
        <f t="shared" si="33"/>
        <v>287.59654440148694</v>
      </c>
      <c r="X49" s="181">
        <f t="shared" si="37"/>
        <v>2</v>
      </c>
      <c r="Y49" s="598"/>
      <c r="Z49" s="187">
        <v>11</v>
      </c>
      <c r="AA49" s="187">
        <v>3162.1219884163561</v>
      </c>
      <c r="AB49" s="184">
        <f t="shared" si="38"/>
        <v>287.46563531057785</v>
      </c>
      <c r="AC49" s="181">
        <f t="shared" si="39"/>
        <v>2</v>
      </c>
      <c r="AD49" s="598"/>
      <c r="AE49" s="187">
        <v>11</v>
      </c>
      <c r="AF49" s="187">
        <v>3161.7619884163569</v>
      </c>
      <c r="AG49" s="184">
        <f t="shared" si="40"/>
        <v>287.43290803785061</v>
      </c>
      <c r="AH49" s="181">
        <f t="shared" si="41"/>
        <v>2</v>
      </c>
      <c r="AI49" s="598"/>
      <c r="AJ49" s="187">
        <v>11</v>
      </c>
      <c r="AK49" s="187">
        <v>3162.8419884163568</v>
      </c>
      <c r="AL49" s="184">
        <f t="shared" si="42"/>
        <v>287.53108985603245</v>
      </c>
      <c r="AM49" s="181">
        <f t="shared" si="43"/>
        <v>3</v>
      </c>
      <c r="AN49" s="598"/>
      <c r="AO49" s="187">
        <v>11</v>
      </c>
      <c r="AP49" s="187">
        <v>3161.7619884163573</v>
      </c>
      <c r="AQ49" s="184">
        <f t="shared" si="44"/>
        <v>287.43290803785067</v>
      </c>
      <c r="AR49" s="181">
        <f t="shared" si="45"/>
        <v>3</v>
      </c>
      <c r="AS49" s="598"/>
      <c r="AT49" s="187">
        <v>11</v>
      </c>
      <c r="AU49" s="187">
        <v>3161.0419884163571</v>
      </c>
      <c r="AV49" s="184">
        <f t="shared" si="46"/>
        <v>287.36745349239612</v>
      </c>
      <c r="AW49" s="181">
        <f t="shared" si="47"/>
        <v>2</v>
      </c>
      <c r="AX49" s="598"/>
    </row>
    <row r="50" spans="2:50" ht="14.25" customHeight="1">
      <c r="B50" s="597"/>
      <c r="C50" s="179">
        <v>4</v>
      </c>
      <c r="D50" s="182"/>
      <c r="E50" s="179"/>
      <c r="F50" s="179"/>
      <c r="G50" s="184"/>
      <c r="H50" s="598"/>
      <c r="I50" s="185"/>
      <c r="J50" s="185"/>
      <c r="K50" s="186"/>
      <c r="L50" s="599"/>
      <c r="M50" s="185"/>
      <c r="N50" s="597"/>
      <c r="O50" s="597"/>
      <c r="P50" s="187"/>
      <c r="Q50" s="187"/>
      <c r="R50" s="184"/>
      <c r="S50" s="181"/>
      <c r="T50" s="598"/>
      <c r="U50" s="187"/>
      <c r="V50" s="187"/>
      <c r="W50" s="184"/>
      <c r="X50" s="181"/>
      <c r="Y50" s="598"/>
      <c r="Z50" s="187"/>
      <c r="AA50" s="187"/>
      <c r="AB50" s="184"/>
      <c r="AC50" s="181"/>
      <c r="AD50" s="598"/>
      <c r="AE50" s="187"/>
      <c r="AF50" s="187"/>
      <c r="AG50" s="184"/>
      <c r="AH50" s="181"/>
      <c r="AI50" s="598"/>
      <c r="AJ50" s="187"/>
      <c r="AK50" s="187"/>
      <c r="AL50" s="184"/>
      <c r="AM50" s="181"/>
      <c r="AN50" s="598"/>
      <c r="AO50" s="187"/>
      <c r="AP50" s="187"/>
      <c r="AQ50" s="184"/>
      <c r="AR50" s="181"/>
      <c r="AS50" s="598"/>
      <c r="AT50" s="187"/>
      <c r="AU50" s="187"/>
      <c r="AV50" s="184"/>
      <c r="AW50" s="181"/>
      <c r="AX50" s="598"/>
    </row>
    <row r="51" spans="2:50" ht="14.25" customHeight="1">
      <c r="B51" s="597"/>
      <c r="C51" s="179">
        <v>5</v>
      </c>
      <c r="D51" s="182"/>
      <c r="E51" s="179"/>
      <c r="F51" s="179"/>
      <c r="G51" s="184"/>
      <c r="H51" s="598"/>
      <c r="I51" s="185"/>
      <c r="J51" s="185"/>
      <c r="K51" s="186"/>
      <c r="L51" s="599"/>
      <c r="M51" s="185"/>
      <c r="N51" s="597"/>
      <c r="O51" s="597"/>
      <c r="P51" s="187"/>
      <c r="Q51" s="187"/>
      <c r="R51" s="184"/>
      <c r="S51" s="181"/>
      <c r="T51" s="598"/>
      <c r="U51" s="187"/>
      <c r="V51" s="187"/>
      <c r="W51" s="184"/>
      <c r="X51" s="181"/>
      <c r="Y51" s="598"/>
      <c r="Z51" s="187"/>
      <c r="AA51" s="187"/>
      <c r="AB51" s="184"/>
      <c r="AC51" s="181"/>
      <c r="AD51" s="598"/>
      <c r="AE51" s="187"/>
      <c r="AF51" s="187"/>
      <c r="AG51" s="184"/>
      <c r="AH51" s="181"/>
      <c r="AI51" s="598"/>
      <c r="AJ51" s="187"/>
      <c r="AK51" s="187"/>
      <c r="AL51" s="184"/>
      <c r="AM51" s="181"/>
      <c r="AN51" s="598"/>
      <c r="AO51" s="187"/>
      <c r="AP51" s="187"/>
      <c r="AQ51" s="184"/>
      <c r="AR51" s="181"/>
      <c r="AS51" s="598"/>
      <c r="AT51" s="187"/>
      <c r="AU51" s="187"/>
      <c r="AV51" s="184"/>
      <c r="AW51" s="181"/>
      <c r="AX51" s="598"/>
    </row>
    <row r="52" spans="2:50" ht="14.25" customHeight="1">
      <c r="B52" s="597"/>
      <c r="C52" s="179">
        <v>6</v>
      </c>
      <c r="D52" s="182"/>
      <c r="E52" s="179"/>
      <c r="F52" s="179"/>
      <c r="G52" s="184"/>
      <c r="H52" s="598"/>
      <c r="I52" s="185"/>
      <c r="J52" s="185"/>
      <c r="K52" s="186"/>
      <c r="L52" s="599"/>
      <c r="M52" s="185"/>
      <c r="N52" s="597"/>
      <c r="O52" s="597"/>
      <c r="P52" s="187"/>
      <c r="Q52" s="187"/>
      <c r="R52" s="184"/>
      <c r="S52" s="181"/>
      <c r="T52" s="598"/>
      <c r="U52" s="187"/>
      <c r="V52" s="187"/>
      <c r="W52" s="184"/>
      <c r="X52" s="181"/>
      <c r="Y52" s="598"/>
      <c r="Z52" s="187"/>
      <c r="AA52" s="187"/>
      <c r="AB52" s="184"/>
      <c r="AC52" s="181"/>
      <c r="AD52" s="598"/>
      <c r="AE52" s="187"/>
      <c r="AF52" s="187"/>
      <c r="AG52" s="184"/>
      <c r="AH52" s="181"/>
      <c r="AI52" s="598"/>
      <c r="AJ52" s="187"/>
      <c r="AK52" s="187"/>
      <c r="AL52" s="184"/>
      <c r="AM52" s="181"/>
      <c r="AN52" s="598"/>
      <c r="AO52" s="187"/>
      <c r="AP52" s="187"/>
      <c r="AQ52" s="184"/>
      <c r="AR52" s="181"/>
      <c r="AS52" s="598"/>
      <c r="AT52" s="187"/>
      <c r="AU52" s="187"/>
      <c r="AV52" s="184"/>
      <c r="AW52" s="181"/>
      <c r="AX52" s="598"/>
    </row>
    <row r="53" spans="2:50" ht="14.25" customHeight="1">
      <c r="B53" s="597"/>
      <c r="C53" s="179">
        <v>7</v>
      </c>
      <c r="D53" s="182"/>
      <c r="E53" s="179"/>
      <c r="F53" s="179"/>
      <c r="G53" s="184"/>
      <c r="H53" s="598"/>
      <c r="I53" s="185"/>
      <c r="J53" s="185"/>
      <c r="K53" s="186"/>
      <c r="L53" s="599"/>
      <c r="M53" s="185"/>
      <c r="N53" s="597"/>
      <c r="O53" s="597"/>
      <c r="P53" s="187"/>
      <c r="Q53" s="187"/>
      <c r="R53" s="184"/>
      <c r="S53" s="181"/>
      <c r="T53" s="598"/>
      <c r="U53" s="187"/>
      <c r="V53" s="187"/>
      <c r="W53" s="184"/>
      <c r="X53" s="181"/>
      <c r="Y53" s="598"/>
      <c r="Z53" s="187"/>
      <c r="AA53" s="187"/>
      <c r="AB53" s="184"/>
      <c r="AC53" s="181"/>
      <c r="AD53" s="598"/>
      <c r="AE53" s="187"/>
      <c r="AF53" s="187"/>
      <c r="AG53" s="184"/>
      <c r="AH53" s="181"/>
      <c r="AI53" s="598"/>
      <c r="AJ53" s="187"/>
      <c r="AK53" s="187"/>
      <c r="AL53" s="184"/>
      <c r="AM53" s="181"/>
      <c r="AN53" s="598"/>
      <c r="AO53" s="187"/>
      <c r="AP53" s="187"/>
      <c r="AQ53" s="184"/>
      <c r="AR53" s="181"/>
      <c r="AS53" s="598"/>
      <c r="AT53" s="187"/>
      <c r="AU53" s="187"/>
      <c r="AV53" s="184"/>
      <c r="AW53" s="181"/>
      <c r="AX53" s="598"/>
    </row>
    <row r="54" spans="2:50" ht="14.25" customHeight="1">
      <c r="B54" s="597"/>
      <c r="C54" s="179">
        <v>8</v>
      </c>
      <c r="D54" s="182"/>
      <c r="E54" s="179"/>
      <c r="F54" s="179"/>
      <c r="G54" s="184"/>
      <c r="H54" s="598"/>
      <c r="I54" s="185"/>
      <c r="J54" s="185"/>
      <c r="K54" s="186"/>
      <c r="L54" s="599"/>
      <c r="M54" s="185"/>
      <c r="N54" s="597"/>
      <c r="O54" s="597"/>
      <c r="P54" s="187"/>
      <c r="Q54" s="187"/>
      <c r="R54" s="184"/>
      <c r="S54" s="181"/>
      <c r="T54" s="598"/>
      <c r="U54" s="187"/>
      <c r="V54" s="187"/>
      <c r="W54" s="184"/>
      <c r="X54" s="181"/>
      <c r="Y54" s="598"/>
      <c r="Z54" s="187"/>
      <c r="AA54" s="187"/>
      <c r="AB54" s="184"/>
      <c r="AC54" s="181"/>
      <c r="AD54" s="598"/>
      <c r="AE54" s="187"/>
      <c r="AF54" s="187"/>
      <c r="AG54" s="184"/>
      <c r="AH54" s="181"/>
      <c r="AI54" s="598"/>
      <c r="AJ54" s="187"/>
      <c r="AK54" s="187"/>
      <c r="AL54" s="184"/>
      <c r="AM54" s="181"/>
      <c r="AN54" s="598"/>
      <c r="AO54" s="187"/>
      <c r="AP54" s="187"/>
      <c r="AQ54" s="184"/>
      <c r="AR54" s="181"/>
      <c r="AS54" s="598"/>
      <c r="AT54" s="187"/>
      <c r="AU54" s="187"/>
      <c r="AV54" s="184"/>
      <c r="AW54" s="181"/>
      <c r="AX54" s="598"/>
    </row>
    <row r="55" spans="2:50" ht="14.25" customHeight="1">
      <c r="B55" s="597"/>
      <c r="C55" s="179">
        <v>9</v>
      </c>
      <c r="D55" s="182"/>
      <c r="E55" s="179"/>
      <c r="F55" s="179"/>
      <c r="G55" s="184"/>
      <c r="H55" s="598"/>
      <c r="I55" s="185"/>
      <c r="J55" s="185"/>
      <c r="K55" s="186"/>
      <c r="L55" s="599"/>
      <c r="M55" s="185"/>
      <c r="N55" s="597"/>
      <c r="O55" s="597"/>
      <c r="P55" s="187"/>
      <c r="Q55" s="187"/>
      <c r="R55" s="184"/>
      <c r="S55" s="181"/>
      <c r="T55" s="598"/>
      <c r="U55" s="187"/>
      <c r="V55" s="187"/>
      <c r="W55" s="184"/>
      <c r="X55" s="181"/>
      <c r="Y55" s="598"/>
      <c r="Z55" s="187"/>
      <c r="AA55" s="187"/>
      <c r="AB55" s="184"/>
      <c r="AC55" s="181"/>
      <c r="AD55" s="598"/>
      <c r="AE55" s="187"/>
      <c r="AF55" s="187"/>
      <c r="AG55" s="184"/>
      <c r="AH55" s="181"/>
      <c r="AI55" s="598"/>
      <c r="AJ55" s="187"/>
      <c r="AK55" s="187"/>
      <c r="AL55" s="184"/>
      <c r="AM55" s="181"/>
      <c r="AN55" s="598"/>
      <c r="AO55" s="187"/>
      <c r="AP55" s="187"/>
      <c r="AQ55" s="184"/>
      <c r="AR55" s="181"/>
      <c r="AS55" s="598"/>
      <c r="AT55" s="187"/>
      <c r="AU55" s="187"/>
      <c r="AV55" s="184"/>
      <c r="AW55" s="181"/>
      <c r="AX55" s="598"/>
    </row>
    <row r="56" spans="2:50" ht="14.25" customHeight="1">
      <c r="B56" s="597"/>
      <c r="C56" s="179">
        <v>10</v>
      </c>
      <c r="D56" s="182"/>
      <c r="E56" s="179"/>
      <c r="F56" s="179"/>
      <c r="G56" s="184"/>
      <c r="H56" s="598"/>
      <c r="I56" s="185"/>
      <c r="J56" s="185"/>
      <c r="K56" s="186"/>
      <c r="L56" s="599"/>
      <c r="M56" s="185"/>
      <c r="N56" s="597"/>
      <c r="O56" s="597"/>
      <c r="P56" s="187"/>
      <c r="Q56" s="187"/>
      <c r="R56" s="184"/>
      <c r="S56" s="181"/>
      <c r="T56" s="598"/>
      <c r="U56" s="187"/>
      <c r="V56" s="187"/>
      <c r="W56" s="184"/>
      <c r="X56" s="181"/>
      <c r="Y56" s="598"/>
      <c r="Z56" s="187"/>
      <c r="AA56" s="187"/>
      <c r="AB56" s="184"/>
      <c r="AC56" s="181"/>
      <c r="AD56" s="598"/>
      <c r="AE56" s="187"/>
      <c r="AF56" s="187"/>
      <c r="AG56" s="184"/>
      <c r="AH56" s="181"/>
      <c r="AI56" s="598"/>
      <c r="AJ56" s="187"/>
      <c r="AK56" s="187"/>
      <c r="AL56" s="184"/>
      <c r="AM56" s="181"/>
      <c r="AN56" s="598"/>
      <c r="AO56" s="187"/>
      <c r="AP56" s="187"/>
      <c r="AQ56" s="184"/>
      <c r="AR56" s="181"/>
      <c r="AS56" s="598"/>
      <c r="AT56" s="187"/>
      <c r="AU56" s="187"/>
      <c r="AV56" s="184"/>
      <c r="AW56" s="181"/>
      <c r="AX56" s="598"/>
    </row>
    <row r="57" spans="2:50" ht="14.25" customHeight="1">
      <c r="B57" s="597"/>
      <c r="C57" s="179">
        <v>11</v>
      </c>
      <c r="D57" s="182"/>
      <c r="E57" s="179"/>
      <c r="F57" s="179"/>
      <c r="G57" s="184"/>
      <c r="H57" s="598"/>
      <c r="I57" s="185"/>
      <c r="J57" s="185"/>
      <c r="K57" s="186"/>
      <c r="L57" s="599"/>
      <c r="M57" s="185"/>
      <c r="N57" s="597"/>
      <c r="O57" s="597"/>
      <c r="P57" s="187"/>
      <c r="Q57" s="187"/>
      <c r="R57" s="184"/>
      <c r="S57" s="181"/>
      <c r="T57" s="598"/>
      <c r="U57" s="187"/>
      <c r="V57" s="187"/>
      <c r="W57" s="184"/>
      <c r="X57" s="181"/>
      <c r="Y57" s="598"/>
      <c r="Z57" s="187"/>
      <c r="AA57" s="187"/>
      <c r="AB57" s="184"/>
      <c r="AC57" s="181"/>
      <c r="AD57" s="598"/>
      <c r="AE57" s="187"/>
      <c r="AF57" s="187"/>
      <c r="AG57" s="184"/>
      <c r="AH57" s="181"/>
      <c r="AI57" s="598"/>
      <c r="AJ57" s="187"/>
      <c r="AK57" s="187"/>
      <c r="AL57" s="184"/>
      <c r="AM57" s="181"/>
      <c r="AN57" s="598"/>
      <c r="AO57" s="187"/>
      <c r="AP57" s="187"/>
      <c r="AQ57" s="184"/>
      <c r="AR57" s="181"/>
      <c r="AS57" s="598"/>
      <c r="AT57" s="187"/>
      <c r="AU57" s="187"/>
      <c r="AV57" s="184"/>
      <c r="AW57" s="181"/>
      <c r="AX57" s="598"/>
    </row>
    <row r="58" spans="2:50" ht="14.25" customHeight="1">
      <c r="B58" s="597"/>
      <c r="C58" s="179">
        <v>12</v>
      </c>
      <c r="D58" s="182"/>
      <c r="E58" s="179"/>
      <c r="F58" s="179"/>
      <c r="G58" s="184"/>
      <c r="H58" s="598"/>
      <c r="I58" s="185"/>
      <c r="J58" s="185"/>
      <c r="K58" s="186"/>
      <c r="L58" s="599"/>
      <c r="M58" s="185"/>
      <c r="N58" s="597"/>
      <c r="O58" s="597"/>
      <c r="P58" s="187"/>
      <c r="Q58" s="187"/>
      <c r="R58" s="184"/>
      <c r="S58" s="181"/>
      <c r="T58" s="598"/>
      <c r="U58" s="187"/>
      <c r="V58" s="187"/>
      <c r="W58" s="184"/>
      <c r="X58" s="181"/>
      <c r="Y58" s="598"/>
      <c r="Z58" s="187"/>
      <c r="AA58" s="187"/>
      <c r="AB58" s="184"/>
      <c r="AC58" s="181"/>
      <c r="AD58" s="598"/>
      <c r="AE58" s="187"/>
      <c r="AF58" s="187"/>
      <c r="AG58" s="184"/>
      <c r="AH58" s="181"/>
      <c r="AI58" s="598"/>
      <c r="AJ58" s="187"/>
      <c r="AK58" s="187"/>
      <c r="AL58" s="184"/>
      <c r="AM58" s="181"/>
      <c r="AN58" s="598"/>
      <c r="AO58" s="187"/>
      <c r="AP58" s="187"/>
      <c r="AQ58" s="184"/>
      <c r="AR58" s="181"/>
      <c r="AS58" s="598"/>
      <c r="AT58" s="187"/>
      <c r="AU58" s="187"/>
      <c r="AV58" s="184"/>
      <c r="AW58" s="181"/>
      <c r="AX58" s="598"/>
    </row>
    <row r="59" spans="2:50" ht="14.25" customHeight="1">
      <c r="B59" s="597"/>
      <c r="C59" s="179">
        <v>13</v>
      </c>
      <c r="D59" s="182"/>
      <c r="E59" s="179"/>
      <c r="F59" s="179"/>
      <c r="G59" s="184"/>
      <c r="H59" s="598"/>
      <c r="I59" s="185"/>
      <c r="J59" s="185"/>
      <c r="K59" s="186"/>
      <c r="L59" s="599"/>
      <c r="M59" s="185"/>
      <c r="N59" s="597"/>
      <c r="O59" s="597"/>
      <c r="P59" s="187"/>
      <c r="Q59" s="187"/>
      <c r="R59" s="184"/>
      <c r="S59" s="181"/>
      <c r="T59" s="598"/>
      <c r="U59" s="187"/>
      <c r="V59" s="187"/>
      <c r="W59" s="184"/>
      <c r="X59" s="181"/>
      <c r="Y59" s="598"/>
      <c r="Z59" s="187"/>
      <c r="AA59" s="187"/>
      <c r="AB59" s="184"/>
      <c r="AC59" s="181"/>
      <c r="AD59" s="598"/>
      <c r="AE59" s="187"/>
      <c r="AF59" s="187"/>
      <c r="AG59" s="184"/>
      <c r="AH59" s="181"/>
      <c r="AI59" s="598"/>
      <c r="AJ59" s="187"/>
      <c r="AK59" s="187"/>
      <c r="AL59" s="184"/>
      <c r="AM59" s="181"/>
      <c r="AN59" s="598"/>
      <c r="AO59" s="187"/>
      <c r="AP59" s="187"/>
      <c r="AQ59" s="184"/>
      <c r="AR59" s="181"/>
      <c r="AS59" s="598"/>
      <c r="AT59" s="187"/>
      <c r="AU59" s="187"/>
      <c r="AV59" s="184"/>
      <c r="AW59" s="181"/>
      <c r="AX59" s="598"/>
    </row>
    <row r="60" spans="2:50" ht="14.25" customHeight="1">
      <c r="B60" s="597"/>
      <c r="C60" s="179">
        <v>14</v>
      </c>
      <c r="D60" s="182"/>
      <c r="E60" s="179"/>
      <c r="F60" s="179"/>
      <c r="G60" s="184"/>
      <c r="H60" s="598"/>
      <c r="I60" s="185"/>
      <c r="J60" s="185"/>
      <c r="K60" s="186"/>
      <c r="L60" s="599"/>
      <c r="M60" s="185"/>
      <c r="N60" s="597"/>
      <c r="O60" s="597"/>
      <c r="P60" s="187"/>
      <c r="Q60" s="187"/>
      <c r="R60" s="184"/>
      <c r="S60" s="181"/>
      <c r="T60" s="598"/>
      <c r="U60" s="187"/>
      <c r="V60" s="187"/>
      <c r="W60" s="184"/>
      <c r="X60" s="181"/>
      <c r="Y60" s="598"/>
      <c r="Z60" s="187"/>
      <c r="AA60" s="187"/>
      <c r="AB60" s="184"/>
      <c r="AC60" s="181"/>
      <c r="AD60" s="598"/>
      <c r="AE60" s="187"/>
      <c r="AF60" s="187"/>
      <c r="AG60" s="184"/>
      <c r="AH60" s="181"/>
      <c r="AI60" s="598"/>
      <c r="AJ60" s="187"/>
      <c r="AK60" s="187"/>
      <c r="AL60" s="184"/>
      <c r="AM60" s="181"/>
      <c r="AN60" s="598"/>
      <c r="AO60" s="187"/>
      <c r="AP60" s="187"/>
      <c r="AQ60" s="184"/>
      <c r="AR60" s="181"/>
      <c r="AS60" s="598"/>
      <c r="AT60" s="187"/>
      <c r="AU60" s="187"/>
      <c r="AV60" s="184"/>
      <c r="AW60" s="181"/>
      <c r="AX60" s="598"/>
    </row>
    <row r="61" spans="2:50" ht="14.25" customHeight="1">
      <c r="B61" s="597"/>
      <c r="C61" s="179">
        <v>15</v>
      </c>
      <c r="D61" s="182"/>
      <c r="E61" s="179"/>
      <c r="F61" s="179"/>
      <c r="G61" s="184"/>
      <c r="H61" s="598"/>
      <c r="I61" s="185"/>
      <c r="J61" s="185"/>
      <c r="K61" s="186"/>
      <c r="L61" s="599"/>
      <c r="M61" s="185"/>
      <c r="N61" s="597"/>
      <c r="O61" s="597"/>
      <c r="P61" s="187"/>
      <c r="Q61" s="187"/>
      <c r="R61" s="184"/>
      <c r="S61" s="181"/>
      <c r="T61" s="598"/>
      <c r="U61" s="187"/>
      <c r="V61" s="187"/>
      <c r="W61" s="184"/>
      <c r="X61" s="181"/>
      <c r="Y61" s="598"/>
      <c r="Z61" s="187"/>
      <c r="AA61" s="187"/>
      <c r="AB61" s="184"/>
      <c r="AC61" s="181"/>
      <c r="AD61" s="598"/>
      <c r="AE61" s="187"/>
      <c r="AF61" s="187"/>
      <c r="AG61" s="184"/>
      <c r="AH61" s="181"/>
      <c r="AI61" s="598"/>
      <c r="AJ61" s="187"/>
      <c r="AK61" s="187"/>
      <c r="AL61" s="184"/>
      <c r="AM61" s="181"/>
      <c r="AN61" s="598"/>
      <c r="AO61" s="187"/>
      <c r="AP61" s="187"/>
      <c r="AQ61" s="184"/>
      <c r="AR61" s="181"/>
      <c r="AS61" s="598"/>
      <c r="AT61" s="187"/>
      <c r="AU61" s="187"/>
      <c r="AV61" s="184"/>
      <c r="AW61" s="181"/>
      <c r="AX61" s="598"/>
    </row>
    <row r="86" spans="2:50" ht="14.25" customHeight="1">
      <c r="B86" s="521" t="s">
        <v>825</v>
      </c>
      <c r="C86" s="522"/>
      <c r="D86" s="523"/>
      <c r="E86" s="522"/>
      <c r="F86" s="522"/>
      <c r="G86" s="522"/>
      <c r="H86" s="522"/>
      <c r="I86" s="524"/>
      <c r="J86" s="524"/>
      <c r="K86" s="524"/>
      <c r="L86" s="524"/>
      <c r="M86" s="524"/>
      <c r="N86" s="629" t="s">
        <v>363</v>
      </c>
      <c r="O86" s="629" t="s">
        <v>105</v>
      </c>
      <c r="P86" s="617">
        <v>46217</v>
      </c>
      <c r="Q86" s="618"/>
      <c r="R86" s="618"/>
      <c r="S86" s="618"/>
      <c r="T86" s="618"/>
      <c r="U86" s="619">
        <v>46218</v>
      </c>
      <c r="V86" s="620"/>
      <c r="W86" s="620"/>
      <c r="X86" s="620"/>
      <c r="Y86" s="620"/>
      <c r="Z86" s="617">
        <v>46219</v>
      </c>
      <c r="AA86" s="618"/>
      <c r="AB86" s="618"/>
      <c r="AC86" s="618"/>
      <c r="AD86" s="618"/>
      <c r="AE86" s="619">
        <v>46220</v>
      </c>
      <c r="AF86" s="620"/>
      <c r="AG86" s="620"/>
      <c r="AH86" s="620"/>
      <c r="AI86" s="620"/>
      <c r="AJ86" s="602">
        <v>46221</v>
      </c>
      <c r="AK86" s="603"/>
      <c r="AL86" s="603"/>
      <c r="AM86" s="603"/>
      <c r="AN86" s="604"/>
      <c r="AO86" s="619">
        <v>46222</v>
      </c>
      <c r="AP86" s="620"/>
      <c r="AQ86" s="620"/>
      <c r="AR86" s="620"/>
      <c r="AS86" s="620"/>
      <c r="AT86" s="602">
        <v>46223</v>
      </c>
      <c r="AU86" s="603"/>
      <c r="AV86" s="603"/>
      <c r="AW86" s="603"/>
      <c r="AX86" s="604"/>
    </row>
    <row r="87" spans="2:50" ht="14.25" customHeight="1">
      <c r="B87" s="521"/>
      <c r="C87" s="522"/>
      <c r="D87" s="523"/>
      <c r="E87" s="522"/>
      <c r="F87" s="522"/>
      <c r="G87" s="522"/>
      <c r="H87" s="522"/>
      <c r="I87" s="524"/>
      <c r="J87" s="524"/>
      <c r="K87" s="524"/>
      <c r="L87" s="524"/>
      <c r="M87" s="524"/>
      <c r="N87" s="630"/>
      <c r="O87" s="630"/>
      <c r="P87" s="605">
        <v>46196</v>
      </c>
      <c r="Q87" s="605"/>
      <c r="R87" s="605"/>
      <c r="S87" s="605"/>
      <c r="T87" s="605"/>
      <c r="U87" s="606">
        <v>46197</v>
      </c>
      <c r="V87" s="606"/>
      <c r="W87" s="606"/>
      <c r="X87" s="606"/>
      <c r="Y87" s="606"/>
      <c r="Z87" s="605">
        <v>46198</v>
      </c>
      <c r="AA87" s="605"/>
      <c r="AB87" s="605"/>
      <c r="AC87" s="605"/>
      <c r="AD87" s="605"/>
      <c r="AE87" s="606">
        <v>46199</v>
      </c>
      <c r="AF87" s="606"/>
      <c r="AG87" s="606"/>
      <c r="AH87" s="606"/>
      <c r="AI87" s="606"/>
      <c r="AJ87" s="607">
        <v>46200</v>
      </c>
      <c r="AK87" s="608"/>
      <c r="AL87" s="608"/>
      <c r="AM87" s="608"/>
      <c r="AN87" s="609"/>
      <c r="AO87" s="606">
        <v>46201</v>
      </c>
      <c r="AP87" s="606"/>
      <c r="AQ87" s="606"/>
      <c r="AR87" s="606"/>
      <c r="AS87" s="606"/>
      <c r="AT87" s="607">
        <v>46202</v>
      </c>
      <c r="AU87" s="608"/>
      <c r="AV87" s="608"/>
      <c r="AW87" s="608"/>
      <c r="AX87" s="609"/>
    </row>
    <row r="88" spans="2:50" ht="14.25" customHeight="1">
      <c r="B88" s="597" t="s">
        <v>162</v>
      </c>
      <c r="C88" s="597" t="s">
        <v>157</v>
      </c>
      <c r="D88" s="597"/>
      <c r="E88" s="597" t="s">
        <v>158</v>
      </c>
      <c r="F88" s="597"/>
      <c r="G88" s="597"/>
      <c r="H88" s="597" t="s">
        <v>163</v>
      </c>
      <c r="I88" s="601" t="s">
        <v>364</v>
      </c>
      <c r="J88" s="601"/>
      <c r="K88" s="601"/>
      <c r="L88" s="601" t="s">
        <v>163</v>
      </c>
      <c r="M88" s="601" t="s">
        <v>165</v>
      </c>
      <c r="N88" s="597"/>
      <c r="O88" s="597" t="s">
        <v>164</v>
      </c>
      <c r="P88" s="597" t="s">
        <v>160</v>
      </c>
      <c r="Q88" s="597"/>
      <c r="R88" s="597"/>
      <c r="S88" s="597"/>
      <c r="T88" s="597" t="s">
        <v>163</v>
      </c>
      <c r="U88" s="597" t="s">
        <v>160</v>
      </c>
      <c r="V88" s="597"/>
      <c r="W88" s="597"/>
      <c r="X88" s="597"/>
      <c r="Y88" s="597" t="s">
        <v>163</v>
      </c>
      <c r="Z88" s="597" t="s">
        <v>160</v>
      </c>
      <c r="AA88" s="597"/>
      <c r="AB88" s="597"/>
      <c r="AC88" s="597"/>
      <c r="AD88" s="597" t="s">
        <v>163</v>
      </c>
      <c r="AE88" s="597" t="s">
        <v>160</v>
      </c>
      <c r="AF88" s="597"/>
      <c r="AG88" s="597"/>
      <c r="AH88" s="597"/>
      <c r="AI88" s="597" t="s">
        <v>163</v>
      </c>
      <c r="AJ88" s="597" t="s">
        <v>160</v>
      </c>
      <c r="AK88" s="597"/>
      <c r="AL88" s="597"/>
      <c r="AM88" s="597"/>
      <c r="AN88" s="597" t="s">
        <v>163</v>
      </c>
      <c r="AO88" s="597" t="s">
        <v>160</v>
      </c>
      <c r="AP88" s="597"/>
      <c r="AQ88" s="597"/>
      <c r="AR88" s="597"/>
      <c r="AS88" s="597" t="s">
        <v>163</v>
      </c>
      <c r="AT88" s="597" t="s">
        <v>160</v>
      </c>
      <c r="AU88" s="597"/>
      <c r="AV88" s="597"/>
      <c r="AW88" s="597"/>
      <c r="AX88" s="597" t="s">
        <v>163</v>
      </c>
    </row>
    <row r="89" spans="2:50" ht="14.25" customHeight="1">
      <c r="B89" s="597"/>
      <c r="C89" s="597"/>
      <c r="D89" s="597"/>
      <c r="E89" s="597" t="s">
        <v>365</v>
      </c>
      <c r="F89" s="597"/>
      <c r="G89" s="597"/>
      <c r="H89" s="597"/>
      <c r="I89" s="601" t="s">
        <v>365</v>
      </c>
      <c r="J89" s="601"/>
      <c r="K89" s="601"/>
      <c r="L89" s="601"/>
      <c r="M89" s="601"/>
      <c r="N89" s="597"/>
      <c r="O89" s="597"/>
      <c r="P89" s="597" t="s">
        <v>366</v>
      </c>
      <c r="Q89" s="597"/>
      <c r="R89" s="597"/>
      <c r="S89" s="597"/>
      <c r="T89" s="597"/>
      <c r="U89" s="597" t="s">
        <v>366</v>
      </c>
      <c r="V89" s="597"/>
      <c r="W89" s="597"/>
      <c r="X89" s="597"/>
      <c r="Y89" s="597"/>
      <c r="Z89" s="597" t="s">
        <v>366</v>
      </c>
      <c r="AA89" s="597"/>
      <c r="AB89" s="597"/>
      <c r="AC89" s="597"/>
      <c r="AD89" s="597"/>
      <c r="AE89" s="597" t="s">
        <v>366</v>
      </c>
      <c r="AF89" s="597"/>
      <c r="AG89" s="597"/>
      <c r="AH89" s="597"/>
      <c r="AI89" s="597"/>
      <c r="AJ89" s="597" t="s">
        <v>366</v>
      </c>
      <c r="AK89" s="597"/>
      <c r="AL89" s="597"/>
      <c r="AM89" s="597"/>
      <c r="AN89" s="597"/>
      <c r="AO89" s="597" t="s">
        <v>366</v>
      </c>
      <c r="AP89" s="597"/>
      <c r="AQ89" s="597"/>
      <c r="AR89" s="597"/>
      <c r="AS89" s="597"/>
      <c r="AT89" s="597" t="s">
        <v>366</v>
      </c>
      <c r="AU89" s="597"/>
      <c r="AV89" s="597"/>
      <c r="AW89" s="597"/>
      <c r="AX89" s="597"/>
    </row>
    <row r="90" spans="2:50" ht="14.25" customHeight="1">
      <c r="B90" s="597"/>
      <c r="C90" s="597"/>
      <c r="D90" s="597"/>
      <c r="E90" s="179" t="s">
        <v>159</v>
      </c>
      <c r="F90" s="179" t="s">
        <v>367</v>
      </c>
      <c r="G90" s="179" t="s">
        <v>161</v>
      </c>
      <c r="H90" s="597"/>
      <c r="I90" s="180" t="s">
        <v>159</v>
      </c>
      <c r="J90" s="180" t="s">
        <v>367</v>
      </c>
      <c r="K90" s="180" t="s">
        <v>161</v>
      </c>
      <c r="L90" s="601"/>
      <c r="M90" s="601"/>
      <c r="N90" s="597"/>
      <c r="O90" s="597"/>
      <c r="P90" s="179" t="s">
        <v>159</v>
      </c>
      <c r="Q90" s="179" t="s">
        <v>367</v>
      </c>
      <c r="R90" s="179" t="s">
        <v>161</v>
      </c>
      <c r="S90" s="181" t="s">
        <v>165</v>
      </c>
      <c r="T90" s="597"/>
      <c r="U90" s="179" t="s">
        <v>159</v>
      </c>
      <c r="V90" s="179" t="s">
        <v>367</v>
      </c>
      <c r="W90" s="179" t="s">
        <v>161</v>
      </c>
      <c r="X90" s="181" t="s">
        <v>165</v>
      </c>
      <c r="Y90" s="597"/>
      <c r="Z90" s="179" t="s">
        <v>159</v>
      </c>
      <c r="AA90" s="179" t="s">
        <v>367</v>
      </c>
      <c r="AB90" s="179" t="s">
        <v>161</v>
      </c>
      <c r="AC90" s="181" t="s">
        <v>165</v>
      </c>
      <c r="AD90" s="597"/>
      <c r="AE90" s="179" t="s">
        <v>159</v>
      </c>
      <c r="AF90" s="179" t="s">
        <v>367</v>
      </c>
      <c r="AG90" s="179" t="s">
        <v>161</v>
      </c>
      <c r="AH90" s="181" t="s">
        <v>165</v>
      </c>
      <c r="AI90" s="597"/>
      <c r="AJ90" s="179" t="s">
        <v>159</v>
      </c>
      <c r="AK90" s="179" t="s">
        <v>367</v>
      </c>
      <c r="AL90" s="179" t="s">
        <v>161</v>
      </c>
      <c r="AM90" s="181" t="s">
        <v>165</v>
      </c>
      <c r="AN90" s="597"/>
      <c r="AO90" s="179" t="s">
        <v>159</v>
      </c>
      <c r="AP90" s="179" t="s">
        <v>367</v>
      </c>
      <c r="AQ90" s="179" t="s">
        <v>161</v>
      </c>
      <c r="AR90" s="181" t="s">
        <v>165</v>
      </c>
      <c r="AS90" s="597"/>
      <c r="AT90" s="179" t="s">
        <v>159</v>
      </c>
      <c r="AU90" s="179" t="s">
        <v>367</v>
      </c>
      <c r="AV90" s="179" t="s">
        <v>161</v>
      </c>
      <c r="AW90" s="181" t="s">
        <v>165</v>
      </c>
      <c r="AX90" s="597"/>
    </row>
    <row r="91" spans="2:50" ht="14.25" customHeight="1">
      <c r="B91" s="597" t="s">
        <v>369</v>
      </c>
      <c r="C91" s="179">
        <v>1</v>
      </c>
      <c r="D91" s="182" t="s">
        <v>346</v>
      </c>
      <c r="E91" s="183">
        <v>10</v>
      </c>
      <c r="F91" s="179">
        <v>3600</v>
      </c>
      <c r="G91" s="184">
        <f t="shared" ref="G91:G93" si="48">IFERROR(F91/E91,"")</f>
        <v>360</v>
      </c>
      <c r="H91" s="598">
        <f>AVERAGE(G91:G105)</f>
        <v>338.18181818181819</v>
      </c>
      <c r="I91" s="185">
        <f>AVERAGE(P91,U91,Z91,AE91,AJ91,AO91,AT91)</f>
        <v>10</v>
      </c>
      <c r="J91" s="185">
        <f>AVERAGE(Q91,V91,AA91,AF91,AK91,AP91,AU91)</f>
        <v>3216.8381225817602</v>
      </c>
      <c r="K91" s="186">
        <f>AVERAGE(R91,W91,AB91,AG91,AL91,AQ91,AV91)</f>
        <v>321.68381225817592</v>
      </c>
      <c r="L91" s="599">
        <f>IFERROR(AVERAGE(K91:K105),"-")</f>
        <v>298.89111946735642</v>
      </c>
      <c r="M91" s="185">
        <f>RANK(K91, K$91:$K$127)</f>
        <v>1</v>
      </c>
      <c r="N91" s="597"/>
      <c r="O91" s="597"/>
      <c r="P91" s="187">
        <v>10</v>
      </c>
      <c r="Q91" s="187">
        <v>3217.9695511531886</v>
      </c>
      <c r="R91" s="184">
        <f>IFERROR(Q91/P91,"")</f>
        <v>321.79695511531884</v>
      </c>
      <c r="S91" s="181">
        <f>RANK(R91, R$91:R$127)</f>
        <v>1</v>
      </c>
      <c r="T91" s="598">
        <f>AVERAGE(R91:R105)</f>
        <v>299.01047169506325</v>
      </c>
      <c r="U91" s="187">
        <v>10</v>
      </c>
      <c r="V91" s="187">
        <v>3218.3295511531883</v>
      </c>
      <c r="W91" s="184">
        <f t="shared" ref="W91:W93" si="49">IFERROR(V91/U91,"")</f>
        <v>321.83295511531884</v>
      </c>
      <c r="X91" s="181">
        <f>RANK(W91, W$91:W$127)</f>
        <v>1</v>
      </c>
      <c r="Y91" s="598">
        <f>AVERAGE(W91:W105)</f>
        <v>298.95701714960865</v>
      </c>
      <c r="Z91" s="187">
        <v>10</v>
      </c>
      <c r="AA91" s="187">
        <v>3217.609551153188</v>
      </c>
      <c r="AB91" s="184">
        <f>IFERROR(AA91/Z91,"")</f>
        <v>321.76095511531878</v>
      </c>
      <c r="AC91" s="181">
        <f>RANK(AB91, AB$91:AB$127)</f>
        <v>1</v>
      </c>
      <c r="AD91" s="598">
        <f>AVERAGE(AB91:AB105)</f>
        <v>298.86350445894158</v>
      </c>
      <c r="AE91" s="187">
        <v>10</v>
      </c>
      <c r="AF91" s="187">
        <v>3217.2495511531883</v>
      </c>
      <c r="AG91" s="184">
        <f>IFERROR(AF91/AE91,"")</f>
        <v>321.72495511531883</v>
      </c>
      <c r="AH91" s="181">
        <f>RANK(AG91, AG$91:AG$127)</f>
        <v>1</v>
      </c>
      <c r="AI91" s="598">
        <f>AVERAGE(AG91:AG105)</f>
        <v>298.86241354985071</v>
      </c>
      <c r="AJ91" s="187">
        <v>10</v>
      </c>
      <c r="AK91" s="187">
        <v>3216.1695511531884</v>
      </c>
      <c r="AL91" s="184">
        <f>IFERROR(AK91/AJ91,"")</f>
        <v>321.61695511531883</v>
      </c>
      <c r="AM91" s="181">
        <f>RANK(AL91, AL$91:AL$127)</f>
        <v>1</v>
      </c>
      <c r="AN91" s="598">
        <f>AVERAGE(AL91:AL105)</f>
        <v>298.91368627712342</v>
      </c>
      <c r="AO91" s="187">
        <v>10</v>
      </c>
      <c r="AP91" s="187">
        <v>3215.8095511531883</v>
      </c>
      <c r="AQ91" s="184">
        <f>IFERROR(AP91/AO91,"")</f>
        <v>321.58095511531883</v>
      </c>
      <c r="AR91" s="181">
        <f>RANK(AQ91, AQ$91:AQ$127)</f>
        <v>1</v>
      </c>
      <c r="AS91" s="598">
        <f>AVERAGE(AQ91:AQ105)</f>
        <v>298.91259536803256</v>
      </c>
      <c r="AT91" s="187">
        <v>10</v>
      </c>
      <c r="AU91" s="187">
        <v>3214.7295511531884</v>
      </c>
      <c r="AV91" s="184">
        <f>IFERROR(AU91/AT91,"")</f>
        <v>321.47295511531883</v>
      </c>
      <c r="AW91" s="181">
        <f>RANK(AV91, AV$91:AV$127)</f>
        <v>1</v>
      </c>
      <c r="AX91" s="598">
        <f>AVERAGE(AV91:AV105)</f>
        <v>298.71814777287483</v>
      </c>
    </row>
    <row r="92" spans="2:50" ht="14.25" customHeight="1">
      <c r="B92" s="597"/>
      <c r="C92" s="179">
        <v>2</v>
      </c>
      <c r="D92" s="182" t="s">
        <v>521</v>
      </c>
      <c r="E92" s="179">
        <v>11</v>
      </c>
      <c r="F92" s="179">
        <v>3600</v>
      </c>
      <c r="G92" s="184">
        <f t="shared" si="48"/>
        <v>327.27272727272725</v>
      </c>
      <c r="H92" s="598"/>
      <c r="I92" s="185">
        <f t="shared" ref="I92:K93" si="50">AVERAGE(P92,U92,Z92,AE92,AJ92,AO92,AT92)</f>
        <v>11</v>
      </c>
      <c r="J92" s="185">
        <f t="shared" si="50"/>
        <v>3162.4030191664701</v>
      </c>
      <c r="K92" s="186">
        <f t="shared" si="50"/>
        <v>287.49118356058818</v>
      </c>
      <c r="L92" s="599"/>
      <c r="M92" s="185">
        <f>RANK(K92, K$91:$K$127)</f>
        <v>3</v>
      </c>
      <c r="N92" s="597"/>
      <c r="O92" s="597"/>
      <c r="P92" s="187">
        <v>11</v>
      </c>
      <c r="Q92" s="187">
        <v>3163.2970712522224</v>
      </c>
      <c r="R92" s="184">
        <f t="shared" ref="R92:R93" si="51">IFERROR(Q92/P92,"")</f>
        <v>287.5724610229293</v>
      </c>
      <c r="S92" s="181">
        <f t="shared" ref="S92:S126" si="52">RANK(R92, R$91:R$127)</f>
        <v>3</v>
      </c>
      <c r="T92" s="598"/>
      <c r="U92" s="187">
        <v>11</v>
      </c>
      <c r="V92" s="187">
        <v>3161.8570712522228</v>
      </c>
      <c r="W92" s="184">
        <f t="shared" si="49"/>
        <v>287.44155193202027</v>
      </c>
      <c r="X92" s="181">
        <f t="shared" ref="X92:X126" si="53">RANK(W92, W$91:W$127)</f>
        <v>3</v>
      </c>
      <c r="Y92" s="598"/>
      <c r="Z92" s="187">
        <v>11</v>
      </c>
      <c r="AA92" s="187">
        <v>3161.0031524602082</v>
      </c>
      <c r="AB92" s="184">
        <f t="shared" ref="AB92:AB93" si="54">IFERROR(AA92/Z92,"")</f>
        <v>287.36392295092804</v>
      </c>
      <c r="AC92" s="181">
        <f t="shared" ref="AC92:AC126" si="55">RANK(AB92, AB$91:AB$127)</f>
        <v>3</v>
      </c>
      <c r="AD92" s="598"/>
      <c r="AE92" s="187">
        <v>11</v>
      </c>
      <c r="AF92" s="187">
        <v>3161.7231524602089</v>
      </c>
      <c r="AG92" s="184">
        <f t="shared" ref="AG92:AG93" si="56">IFERROR(AF92/AE92,"")</f>
        <v>287.42937749638264</v>
      </c>
      <c r="AH92" s="181">
        <f t="shared" ref="AH92:AH126" si="57">RANK(AG92, AG$91:AG$127)</f>
        <v>3</v>
      </c>
      <c r="AI92" s="598"/>
      <c r="AJ92" s="187">
        <v>11</v>
      </c>
      <c r="AK92" s="187">
        <v>3163.5231524602091</v>
      </c>
      <c r="AL92" s="184">
        <f t="shared" ref="AL92:AL93" si="58">IFERROR(AK92/AJ92,"")</f>
        <v>287.59301386001903</v>
      </c>
      <c r="AM92" s="181">
        <f t="shared" ref="AM92:AM126" si="59">RANK(AL92, AL$91:AL$127)</f>
        <v>2</v>
      </c>
      <c r="AN92" s="598"/>
      <c r="AO92" s="187">
        <v>11</v>
      </c>
      <c r="AP92" s="187">
        <v>3164.96315246021</v>
      </c>
      <c r="AQ92" s="184">
        <f t="shared" ref="AQ92:AQ93" si="60">IFERROR(AP92/AO92,"")</f>
        <v>287.72392295092817</v>
      </c>
      <c r="AR92" s="181">
        <f t="shared" ref="AR92:AR126" si="61">RANK(AQ92, AQ$91:AQ$127)</f>
        <v>2</v>
      </c>
      <c r="AS92" s="598"/>
      <c r="AT92" s="187">
        <v>11</v>
      </c>
      <c r="AU92" s="187">
        <v>3160.4543818200063</v>
      </c>
      <c r="AV92" s="184">
        <f t="shared" ref="AV92:AV93" si="62">IFERROR(AU92/AT92,"")</f>
        <v>287.31403471090965</v>
      </c>
      <c r="AW92" s="181">
        <f t="shared" ref="AW92:AW126" si="63">RANK(AV92, AV$91:AV$127)</f>
        <v>3</v>
      </c>
      <c r="AX92" s="598"/>
    </row>
    <row r="93" spans="2:50" ht="14.25" customHeight="1">
      <c r="B93" s="597"/>
      <c r="C93" s="179">
        <v>3</v>
      </c>
      <c r="D93" s="182" t="s">
        <v>522</v>
      </c>
      <c r="E93" s="179">
        <v>11</v>
      </c>
      <c r="F93" s="179">
        <v>3600</v>
      </c>
      <c r="G93" s="184">
        <f t="shared" si="48"/>
        <v>327.27272727272725</v>
      </c>
      <c r="H93" s="598"/>
      <c r="I93" s="185">
        <f t="shared" si="50"/>
        <v>11</v>
      </c>
      <c r="J93" s="185">
        <f t="shared" si="50"/>
        <v>3162.4819884163567</v>
      </c>
      <c r="K93" s="186">
        <f t="shared" si="50"/>
        <v>287.49836258330521</v>
      </c>
      <c r="L93" s="599"/>
      <c r="M93" s="185">
        <f>RANK(K93, K$91:$K$127)</f>
        <v>2</v>
      </c>
      <c r="N93" s="597"/>
      <c r="O93" s="597"/>
      <c r="P93" s="187">
        <v>11</v>
      </c>
      <c r="Q93" s="187">
        <v>3164.2819884163564</v>
      </c>
      <c r="R93" s="184">
        <f t="shared" si="51"/>
        <v>287.66199894694148</v>
      </c>
      <c r="S93" s="181">
        <f t="shared" si="52"/>
        <v>2</v>
      </c>
      <c r="T93" s="598"/>
      <c r="U93" s="187">
        <v>11</v>
      </c>
      <c r="V93" s="187">
        <v>3163.5619884163566</v>
      </c>
      <c r="W93" s="184">
        <f t="shared" si="49"/>
        <v>287.59654440148694</v>
      </c>
      <c r="X93" s="181">
        <f t="shared" si="53"/>
        <v>2</v>
      </c>
      <c r="Y93" s="598"/>
      <c r="Z93" s="187">
        <v>11</v>
      </c>
      <c r="AA93" s="187">
        <v>3162.1219884163561</v>
      </c>
      <c r="AB93" s="184">
        <f t="shared" si="54"/>
        <v>287.46563531057785</v>
      </c>
      <c r="AC93" s="181">
        <f t="shared" si="55"/>
        <v>2</v>
      </c>
      <c r="AD93" s="598"/>
      <c r="AE93" s="187">
        <v>11</v>
      </c>
      <c r="AF93" s="187">
        <v>3161.7619884163569</v>
      </c>
      <c r="AG93" s="184">
        <f t="shared" si="56"/>
        <v>287.43290803785061</v>
      </c>
      <c r="AH93" s="181">
        <f t="shared" si="57"/>
        <v>2</v>
      </c>
      <c r="AI93" s="598"/>
      <c r="AJ93" s="187">
        <v>11</v>
      </c>
      <c r="AK93" s="187">
        <v>3162.8419884163568</v>
      </c>
      <c r="AL93" s="184">
        <f t="shared" si="58"/>
        <v>287.53108985603245</v>
      </c>
      <c r="AM93" s="181">
        <f t="shared" si="59"/>
        <v>3</v>
      </c>
      <c r="AN93" s="598"/>
      <c r="AO93" s="187">
        <v>11</v>
      </c>
      <c r="AP93" s="187">
        <v>3161.7619884163573</v>
      </c>
      <c r="AQ93" s="184">
        <f t="shared" si="60"/>
        <v>287.43290803785067</v>
      </c>
      <c r="AR93" s="181">
        <f t="shared" si="61"/>
        <v>3</v>
      </c>
      <c r="AS93" s="598"/>
      <c r="AT93" s="187">
        <v>11</v>
      </c>
      <c r="AU93" s="187">
        <v>3161.0419884163571</v>
      </c>
      <c r="AV93" s="184">
        <f t="shared" si="62"/>
        <v>287.36745349239612</v>
      </c>
      <c r="AW93" s="181">
        <f t="shared" si="63"/>
        <v>2</v>
      </c>
      <c r="AX93" s="598"/>
    </row>
    <row r="94" spans="2:50" ht="14.25" customHeight="1">
      <c r="B94" s="597"/>
      <c r="C94" s="179">
        <v>4</v>
      </c>
      <c r="D94" s="182"/>
      <c r="E94" s="179"/>
      <c r="F94" s="179"/>
      <c r="G94" s="184"/>
      <c r="H94" s="598"/>
      <c r="I94" s="185"/>
      <c r="J94" s="185"/>
      <c r="K94" s="186"/>
      <c r="L94" s="599"/>
      <c r="M94" s="185" t="e">
        <f>RANK(K94, K$91:$K$127)</f>
        <v>#N/A</v>
      </c>
      <c r="N94" s="597"/>
      <c r="O94" s="597"/>
      <c r="P94" s="187"/>
      <c r="Q94" s="187"/>
      <c r="R94" s="184"/>
      <c r="S94" s="181" t="e">
        <f t="shared" si="52"/>
        <v>#N/A</v>
      </c>
      <c r="T94" s="598"/>
      <c r="U94" s="187"/>
      <c r="V94" s="187"/>
      <c r="W94" s="184"/>
      <c r="X94" s="181" t="e">
        <f t="shared" si="53"/>
        <v>#N/A</v>
      </c>
      <c r="Y94" s="598"/>
      <c r="Z94" s="187"/>
      <c r="AA94" s="187"/>
      <c r="AB94" s="184"/>
      <c r="AC94" s="181" t="e">
        <f t="shared" si="55"/>
        <v>#N/A</v>
      </c>
      <c r="AD94" s="598"/>
      <c r="AE94" s="187"/>
      <c r="AF94" s="187"/>
      <c r="AG94" s="184"/>
      <c r="AH94" s="181" t="e">
        <f t="shared" si="57"/>
        <v>#N/A</v>
      </c>
      <c r="AI94" s="598"/>
      <c r="AJ94" s="187"/>
      <c r="AK94" s="187"/>
      <c r="AL94" s="184"/>
      <c r="AM94" s="181" t="e">
        <f t="shared" si="59"/>
        <v>#N/A</v>
      </c>
      <c r="AN94" s="598"/>
      <c r="AO94" s="187"/>
      <c r="AP94" s="187"/>
      <c r="AQ94" s="184"/>
      <c r="AR94" s="181" t="e">
        <f t="shared" si="61"/>
        <v>#N/A</v>
      </c>
      <c r="AS94" s="598"/>
      <c r="AT94" s="187"/>
      <c r="AU94" s="187"/>
      <c r="AV94" s="184"/>
      <c r="AW94" s="181" t="e">
        <f t="shared" si="63"/>
        <v>#N/A</v>
      </c>
      <c r="AX94" s="598"/>
    </row>
    <row r="95" spans="2:50" ht="14.25" customHeight="1">
      <c r="B95" s="597"/>
      <c r="C95" s="179">
        <v>5</v>
      </c>
      <c r="D95" s="182"/>
      <c r="E95" s="179"/>
      <c r="F95" s="179"/>
      <c r="G95" s="184"/>
      <c r="H95" s="598"/>
      <c r="I95" s="185"/>
      <c r="J95" s="185"/>
      <c r="K95" s="186"/>
      <c r="L95" s="599"/>
      <c r="M95" s="185" t="e">
        <f>RANK(K95, K$91:$K$127)</f>
        <v>#N/A</v>
      </c>
      <c r="N95" s="597"/>
      <c r="O95" s="597"/>
      <c r="P95" s="187"/>
      <c r="Q95" s="187"/>
      <c r="R95" s="184"/>
      <c r="S95" s="181" t="e">
        <f t="shared" si="52"/>
        <v>#N/A</v>
      </c>
      <c r="T95" s="598"/>
      <c r="U95" s="187"/>
      <c r="V95" s="187"/>
      <c r="W95" s="184"/>
      <c r="X95" s="181" t="e">
        <f t="shared" si="53"/>
        <v>#N/A</v>
      </c>
      <c r="Y95" s="598"/>
      <c r="Z95" s="187"/>
      <c r="AA95" s="187"/>
      <c r="AB95" s="184"/>
      <c r="AC95" s="181" t="e">
        <f t="shared" si="55"/>
        <v>#N/A</v>
      </c>
      <c r="AD95" s="598"/>
      <c r="AE95" s="187"/>
      <c r="AF95" s="187"/>
      <c r="AG95" s="184"/>
      <c r="AH95" s="181" t="e">
        <f t="shared" si="57"/>
        <v>#N/A</v>
      </c>
      <c r="AI95" s="598"/>
      <c r="AJ95" s="187"/>
      <c r="AK95" s="187"/>
      <c r="AL95" s="184"/>
      <c r="AM95" s="181" t="e">
        <f t="shared" si="59"/>
        <v>#N/A</v>
      </c>
      <c r="AN95" s="598"/>
      <c r="AO95" s="187"/>
      <c r="AP95" s="187"/>
      <c r="AQ95" s="184"/>
      <c r="AR95" s="181" t="e">
        <f t="shared" si="61"/>
        <v>#N/A</v>
      </c>
      <c r="AS95" s="598"/>
      <c r="AT95" s="187"/>
      <c r="AU95" s="187"/>
      <c r="AV95" s="184"/>
      <c r="AW95" s="181" t="e">
        <f t="shared" si="63"/>
        <v>#N/A</v>
      </c>
      <c r="AX95" s="598"/>
    </row>
    <row r="96" spans="2:50" ht="14.25" customHeight="1">
      <c r="B96" s="597"/>
      <c r="C96" s="179">
        <v>6</v>
      </c>
      <c r="D96" s="182"/>
      <c r="E96" s="179"/>
      <c r="F96" s="179"/>
      <c r="G96" s="184"/>
      <c r="H96" s="598"/>
      <c r="I96" s="185"/>
      <c r="J96" s="185"/>
      <c r="K96" s="186"/>
      <c r="L96" s="599"/>
      <c r="M96" s="185" t="e">
        <f>RANK(K96, K$91:$K$127)</f>
        <v>#N/A</v>
      </c>
      <c r="N96" s="597"/>
      <c r="O96" s="597"/>
      <c r="P96" s="187"/>
      <c r="Q96" s="187"/>
      <c r="R96" s="184"/>
      <c r="S96" s="181" t="e">
        <f t="shared" si="52"/>
        <v>#N/A</v>
      </c>
      <c r="T96" s="598"/>
      <c r="U96" s="187"/>
      <c r="V96" s="187"/>
      <c r="W96" s="184"/>
      <c r="X96" s="181" t="e">
        <f t="shared" si="53"/>
        <v>#N/A</v>
      </c>
      <c r="Y96" s="598"/>
      <c r="Z96" s="187"/>
      <c r="AA96" s="187"/>
      <c r="AB96" s="184"/>
      <c r="AC96" s="181" t="e">
        <f t="shared" si="55"/>
        <v>#N/A</v>
      </c>
      <c r="AD96" s="598"/>
      <c r="AE96" s="187"/>
      <c r="AF96" s="187"/>
      <c r="AG96" s="184"/>
      <c r="AH96" s="181" t="e">
        <f t="shared" si="57"/>
        <v>#N/A</v>
      </c>
      <c r="AI96" s="598"/>
      <c r="AJ96" s="187"/>
      <c r="AK96" s="187"/>
      <c r="AL96" s="184"/>
      <c r="AM96" s="181" t="e">
        <f t="shared" si="59"/>
        <v>#N/A</v>
      </c>
      <c r="AN96" s="598"/>
      <c r="AO96" s="187"/>
      <c r="AP96" s="187"/>
      <c r="AQ96" s="184"/>
      <c r="AR96" s="181" t="e">
        <f t="shared" si="61"/>
        <v>#N/A</v>
      </c>
      <c r="AS96" s="598"/>
      <c r="AT96" s="187"/>
      <c r="AU96" s="187"/>
      <c r="AV96" s="184"/>
      <c r="AW96" s="181" t="e">
        <f t="shared" si="63"/>
        <v>#N/A</v>
      </c>
      <c r="AX96" s="598"/>
    </row>
    <row r="97" spans="2:50" ht="14.25" customHeight="1">
      <c r="B97" s="597"/>
      <c r="C97" s="179">
        <v>7</v>
      </c>
      <c r="D97" s="182"/>
      <c r="E97" s="179"/>
      <c r="F97" s="179"/>
      <c r="G97" s="184"/>
      <c r="H97" s="598"/>
      <c r="I97" s="185"/>
      <c r="J97" s="185"/>
      <c r="K97" s="186"/>
      <c r="L97" s="599"/>
      <c r="M97" s="185" t="e">
        <f>RANK(K97, K$91:$K$127)</f>
        <v>#N/A</v>
      </c>
      <c r="N97" s="597"/>
      <c r="O97" s="597"/>
      <c r="P97" s="187"/>
      <c r="Q97" s="187"/>
      <c r="R97" s="184"/>
      <c r="S97" s="181" t="e">
        <f t="shared" si="52"/>
        <v>#N/A</v>
      </c>
      <c r="T97" s="598"/>
      <c r="U97" s="187"/>
      <c r="V97" s="187"/>
      <c r="W97" s="184"/>
      <c r="X97" s="181" t="e">
        <f t="shared" si="53"/>
        <v>#N/A</v>
      </c>
      <c r="Y97" s="598"/>
      <c r="Z97" s="187"/>
      <c r="AA97" s="187"/>
      <c r="AB97" s="184"/>
      <c r="AC97" s="181" t="e">
        <f t="shared" si="55"/>
        <v>#N/A</v>
      </c>
      <c r="AD97" s="598"/>
      <c r="AE97" s="187"/>
      <c r="AF97" s="187"/>
      <c r="AG97" s="184"/>
      <c r="AH97" s="181" t="e">
        <f t="shared" si="57"/>
        <v>#N/A</v>
      </c>
      <c r="AI97" s="598"/>
      <c r="AJ97" s="187"/>
      <c r="AK97" s="187"/>
      <c r="AL97" s="184"/>
      <c r="AM97" s="181" t="e">
        <f t="shared" si="59"/>
        <v>#N/A</v>
      </c>
      <c r="AN97" s="598"/>
      <c r="AO97" s="187"/>
      <c r="AP97" s="187"/>
      <c r="AQ97" s="184"/>
      <c r="AR97" s="181" t="e">
        <f t="shared" si="61"/>
        <v>#N/A</v>
      </c>
      <c r="AS97" s="598"/>
      <c r="AT97" s="187"/>
      <c r="AU97" s="187"/>
      <c r="AV97" s="184"/>
      <c r="AW97" s="181" t="e">
        <f t="shared" si="63"/>
        <v>#N/A</v>
      </c>
      <c r="AX97" s="598"/>
    </row>
    <row r="98" spans="2:50" ht="14.25" customHeight="1">
      <c r="B98" s="597"/>
      <c r="C98" s="179">
        <v>8</v>
      </c>
      <c r="D98" s="182"/>
      <c r="E98" s="179"/>
      <c r="F98" s="179"/>
      <c r="G98" s="184"/>
      <c r="H98" s="598"/>
      <c r="I98" s="185"/>
      <c r="J98" s="185"/>
      <c r="K98" s="186"/>
      <c r="L98" s="599"/>
      <c r="M98" s="185" t="e">
        <f>RANK(K98, K$91:$K$127)</f>
        <v>#N/A</v>
      </c>
      <c r="N98" s="597"/>
      <c r="O98" s="597"/>
      <c r="P98" s="187"/>
      <c r="Q98" s="187"/>
      <c r="R98" s="184"/>
      <c r="S98" s="181" t="e">
        <f t="shared" si="52"/>
        <v>#N/A</v>
      </c>
      <c r="T98" s="598"/>
      <c r="U98" s="187"/>
      <c r="V98" s="187"/>
      <c r="W98" s="184"/>
      <c r="X98" s="181" t="e">
        <f t="shared" si="53"/>
        <v>#N/A</v>
      </c>
      <c r="Y98" s="598"/>
      <c r="Z98" s="187"/>
      <c r="AA98" s="187"/>
      <c r="AB98" s="184"/>
      <c r="AC98" s="181" t="e">
        <f t="shared" si="55"/>
        <v>#N/A</v>
      </c>
      <c r="AD98" s="598"/>
      <c r="AE98" s="187"/>
      <c r="AF98" s="187"/>
      <c r="AG98" s="184"/>
      <c r="AH98" s="181" t="e">
        <f t="shared" si="57"/>
        <v>#N/A</v>
      </c>
      <c r="AI98" s="598"/>
      <c r="AJ98" s="187"/>
      <c r="AK98" s="187"/>
      <c r="AL98" s="184"/>
      <c r="AM98" s="181" t="e">
        <f t="shared" si="59"/>
        <v>#N/A</v>
      </c>
      <c r="AN98" s="598"/>
      <c r="AO98" s="187"/>
      <c r="AP98" s="187"/>
      <c r="AQ98" s="184"/>
      <c r="AR98" s="181" t="e">
        <f t="shared" si="61"/>
        <v>#N/A</v>
      </c>
      <c r="AS98" s="598"/>
      <c r="AT98" s="187"/>
      <c r="AU98" s="187"/>
      <c r="AV98" s="184"/>
      <c r="AW98" s="181" t="e">
        <f t="shared" si="63"/>
        <v>#N/A</v>
      </c>
      <c r="AX98" s="598"/>
    </row>
    <row r="99" spans="2:50" ht="14.25" customHeight="1">
      <c r="B99" s="597"/>
      <c r="C99" s="179">
        <v>9</v>
      </c>
      <c r="D99" s="182"/>
      <c r="E99" s="179"/>
      <c r="F99" s="179"/>
      <c r="G99" s="184"/>
      <c r="H99" s="598"/>
      <c r="I99" s="185"/>
      <c r="J99" s="185"/>
      <c r="K99" s="186"/>
      <c r="L99" s="599"/>
      <c r="M99" s="185" t="e">
        <f>RANK(K99, K$91:$K$127)</f>
        <v>#N/A</v>
      </c>
      <c r="N99" s="597"/>
      <c r="O99" s="597"/>
      <c r="P99" s="187"/>
      <c r="Q99" s="187"/>
      <c r="R99" s="184"/>
      <c r="S99" s="181" t="e">
        <f t="shared" si="52"/>
        <v>#N/A</v>
      </c>
      <c r="T99" s="598"/>
      <c r="U99" s="187"/>
      <c r="V99" s="187"/>
      <c r="W99" s="184"/>
      <c r="X99" s="181" t="e">
        <f t="shared" si="53"/>
        <v>#N/A</v>
      </c>
      <c r="Y99" s="598"/>
      <c r="Z99" s="187"/>
      <c r="AA99" s="187"/>
      <c r="AB99" s="184"/>
      <c r="AC99" s="181" t="e">
        <f t="shared" si="55"/>
        <v>#N/A</v>
      </c>
      <c r="AD99" s="598"/>
      <c r="AE99" s="187"/>
      <c r="AF99" s="187"/>
      <c r="AG99" s="184"/>
      <c r="AH99" s="181" t="e">
        <f t="shared" si="57"/>
        <v>#N/A</v>
      </c>
      <c r="AI99" s="598"/>
      <c r="AJ99" s="187"/>
      <c r="AK99" s="187"/>
      <c r="AL99" s="184"/>
      <c r="AM99" s="181" t="e">
        <f t="shared" si="59"/>
        <v>#N/A</v>
      </c>
      <c r="AN99" s="598"/>
      <c r="AO99" s="187"/>
      <c r="AP99" s="187"/>
      <c r="AQ99" s="184"/>
      <c r="AR99" s="181" t="e">
        <f t="shared" si="61"/>
        <v>#N/A</v>
      </c>
      <c r="AS99" s="598"/>
      <c r="AT99" s="187"/>
      <c r="AU99" s="187"/>
      <c r="AV99" s="184"/>
      <c r="AW99" s="181" t="e">
        <f t="shared" si="63"/>
        <v>#N/A</v>
      </c>
      <c r="AX99" s="598"/>
    </row>
    <row r="100" spans="2:50" ht="14.25" customHeight="1">
      <c r="B100" s="597"/>
      <c r="C100" s="179">
        <v>10</v>
      </c>
      <c r="D100" s="182"/>
      <c r="E100" s="179"/>
      <c r="F100" s="179"/>
      <c r="G100" s="184"/>
      <c r="H100" s="598"/>
      <c r="I100" s="185"/>
      <c r="J100" s="185"/>
      <c r="K100" s="186"/>
      <c r="L100" s="599"/>
      <c r="M100" s="185" t="e">
        <f>RANK(K100, K$91:$K$127)</f>
        <v>#N/A</v>
      </c>
      <c r="N100" s="597"/>
      <c r="O100" s="597"/>
      <c r="P100" s="187"/>
      <c r="Q100" s="187"/>
      <c r="R100" s="184"/>
      <c r="S100" s="181" t="e">
        <f t="shared" si="52"/>
        <v>#N/A</v>
      </c>
      <c r="T100" s="598"/>
      <c r="U100" s="187"/>
      <c r="V100" s="187"/>
      <c r="W100" s="184"/>
      <c r="X100" s="181" t="e">
        <f t="shared" si="53"/>
        <v>#N/A</v>
      </c>
      <c r="Y100" s="598"/>
      <c r="Z100" s="187"/>
      <c r="AA100" s="187"/>
      <c r="AB100" s="184"/>
      <c r="AC100" s="181" t="e">
        <f t="shared" si="55"/>
        <v>#N/A</v>
      </c>
      <c r="AD100" s="598"/>
      <c r="AE100" s="187"/>
      <c r="AF100" s="187"/>
      <c r="AG100" s="184"/>
      <c r="AH100" s="181" t="e">
        <f t="shared" si="57"/>
        <v>#N/A</v>
      </c>
      <c r="AI100" s="598"/>
      <c r="AJ100" s="187"/>
      <c r="AK100" s="187"/>
      <c r="AL100" s="184"/>
      <c r="AM100" s="181" t="e">
        <f t="shared" si="59"/>
        <v>#N/A</v>
      </c>
      <c r="AN100" s="598"/>
      <c r="AO100" s="187"/>
      <c r="AP100" s="187"/>
      <c r="AQ100" s="184"/>
      <c r="AR100" s="181" t="e">
        <f t="shared" si="61"/>
        <v>#N/A</v>
      </c>
      <c r="AS100" s="598"/>
      <c r="AT100" s="187"/>
      <c r="AU100" s="187"/>
      <c r="AV100" s="184"/>
      <c r="AW100" s="181" t="e">
        <f t="shared" si="63"/>
        <v>#N/A</v>
      </c>
      <c r="AX100" s="598"/>
    </row>
    <row r="101" spans="2:50" ht="14.25" customHeight="1">
      <c r="B101" s="597"/>
      <c r="C101" s="179">
        <v>11</v>
      </c>
      <c r="D101" s="182"/>
      <c r="E101" s="179"/>
      <c r="F101" s="179"/>
      <c r="G101" s="184"/>
      <c r="H101" s="598"/>
      <c r="I101" s="185"/>
      <c r="J101" s="185"/>
      <c r="K101" s="186"/>
      <c r="L101" s="599"/>
      <c r="M101" s="185" t="e">
        <f>RANK(K101, K$91:$K$127)</f>
        <v>#N/A</v>
      </c>
      <c r="N101" s="597"/>
      <c r="O101" s="597"/>
      <c r="P101" s="187"/>
      <c r="Q101" s="187"/>
      <c r="R101" s="184"/>
      <c r="S101" s="181" t="e">
        <f t="shared" si="52"/>
        <v>#N/A</v>
      </c>
      <c r="T101" s="598"/>
      <c r="U101" s="187"/>
      <c r="V101" s="187"/>
      <c r="W101" s="184"/>
      <c r="X101" s="181" t="e">
        <f t="shared" si="53"/>
        <v>#N/A</v>
      </c>
      <c r="Y101" s="598"/>
      <c r="Z101" s="187"/>
      <c r="AA101" s="187"/>
      <c r="AB101" s="184"/>
      <c r="AC101" s="181" t="e">
        <f t="shared" si="55"/>
        <v>#N/A</v>
      </c>
      <c r="AD101" s="598"/>
      <c r="AE101" s="187"/>
      <c r="AF101" s="187"/>
      <c r="AG101" s="184"/>
      <c r="AH101" s="181" t="e">
        <f t="shared" si="57"/>
        <v>#N/A</v>
      </c>
      <c r="AI101" s="598"/>
      <c r="AJ101" s="187"/>
      <c r="AK101" s="187"/>
      <c r="AL101" s="184"/>
      <c r="AM101" s="181" t="e">
        <f t="shared" si="59"/>
        <v>#N/A</v>
      </c>
      <c r="AN101" s="598"/>
      <c r="AO101" s="187"/>
      <c r="AP101" s="187"/>
      <c r="AQ101" s="184"/>
      <c r="AR101" s="181" t="e">
        <f t="shared" si="61"/>
        <v>#N/A</v>
      </c>
      <c r="AS101" s="598"/>
      <c r="AT101" s="187"/>
      <c r="AU101" s="187"/>
      <c r="AV101" s="184"/>
      <c r="AW101" s="181" t="e">
        <f t="shared" si="63"/>
        <v>#N/A</v>
      </c>
      <c r="AX101" s="598"/>
    </row>
    <row r="102" spans="2:50" ht="14.25" customHeight="1">
      <c r="B102" s="597"/>
      <c r="C102" s="179">
        <v>12</v>
      </c>
      <c r="D102" s="182"/>
      <c r="E102" s="179"/>
      <c r="F102" s="179"/>
      <c r="G102" s="184"/>
      <c r="H102" s="598"/>
      <c r="I102" s="185"/>
      <c r="J102" s="185"/>
      <c r="K102" s="186"/>
      <c r="L102" s="599"/>
      <c r="M102" s="185" t="e">
        <f>RANK(K102, K$91:$K$127)</f>
        <v>#N/A</v>
      </c>
      <c r="N102" s="597"/>
      <c r="O102" s="597"/>
      <c r="P102" s="187"/>
      <c r="Q102" s="187"/>
      <c r="R102" s="184"/>
      <c r="S102" s="181" t="e">
        <f t="shared" si="52"/>
        <v>#N/A</v>
      </c>
      <c r="T102" s="598"/>
      <c r="U102" s="187"/>
      <c r="V102" s="187"/>
      <c r="W102" s="184"/>
      <c r="X102" s="181" t="e">
        <f t="shared" si="53"/>
        <v>#N/A</v>
      </c>
      <c r="Y102" s="598"/>
      <c r="Z102" s="187"/>
      <c r="AA102" s="187"/>
      <c r="AB102" s="184"/>
      <c r="AC102" s="181" t="e">
        <f t="shared" si="55"/>
        <v>#N/A</v>
      </c>
      <c r="AD102" s="598"/>
      <c r="AE102" s="187"/>
      <c r="AF102" s="187"/>
      <c r="AG102" s="184"/>
      <c r="AH102" s="181" t="e">
        <f t="shared" si="57"/>
        <v>#N/A</v>
      </c>
      <c r="AI102" s="598"/>
      <c r="AJ102" s="187"/>
      <c r="AK102" s="187"/>
      <c r="AL102" s="184"/>
      <c r="AM102" s="181" t="e">
        <f t="shared" si="59"/>
        <v>#N/A</v>
      </c>
      <c r="AN102" s="598"/>
      <c r="AO102" s="187"/>
      <c r="AP102" s="187"/>
      <c r="AQ102" s="184"/>
      <c r="AR102" s="181" t="e">
        <f t="shared" si="61"/>
        <v>#N/A</v>
      </c>
      <c r="AS102" s="598"/>
      <c r="AT102" s="187"/>
      <c r="AU102" s="187"/>
      <c r="AV102" s="184"/>
      <c r="AW102" s="181" t="e">
        <f t="shared" si="63"/>
        <v>#N/A</v>
      </c>
      <c r="AX102" s="598"/>
    </row>
    <row r="103" spans="2:50" ht="14.25" customHeight="1">
      <c r="B103" s="597"/>
      <c r="C103" s="179">
        <v>13</v>
      </c>
      <c r="D103" s="182"/>
      <c r="E103" s="179"/>
      <c r="F103" s="179"/>
      <c r="G103" s="184"/>
      <c r="H103" s="598"/>
      <c r="I103" s="185"/>
      <c r="J103" s="185"/>
      <c r="K103" s="186"/>
      <c r="L103" s="599"/>
      <c r="M103" s="185" t="e">
        <f>RANK(K103, K$91:$K$127)</f>
        <v>#N/A</v>
      </c>
      <c r="N103" s="597"/>
      <c r="O103" s="597"/>
      <c r="P103" s="187"/>
      <c r="Q103" s="187"/>
      <c r="R103" s="184"/>
      <c r="S103" s="181" t="e">
        <f t="shared" si="52"/>
        <v>#N/A</v>
      </c>
      <c r="T103" s="598"/>
      <c r="U103" s="187"/>
      <c r="V103" s="187"/>
      <c r="W103" s="184"/>
      <c r="X103" s="181"/>
      <c r="Y103" s="598"/>
      <c r="Z103" s="187"/>
      <c r="AA103" s="187"/>
      <c r="AB103" s="184"/>
      <c r="AC103" s="181"/>
      <c r="AD103" s="598"/>
      <c r="AE103" s="187"/>
      <c r="AF103" s="187"/>
      <c r="AG103" s="184"/>
      <c r="AH103" s="181"/>
      <c r="AI103" s="598"/>
      <c r="AJ103" s="187"/>
      <c r="AK103" s="187"/>
      <c r="AL103" s="184"/>
      <c r="AM103" s="181"/>
      <c r="AN103" s="598"/>
      <c r="AO103" s="187"/>
      <c r="AP103" s="187"/>
      <c r="AQ103" s="184"/>
      <c r="AR103" s="181"/>
      <c r="AS103" s="598"/>
      <c r="AT103" s="187"/>
      <c r="AU103" s="187"/>
      <c r="AV103" s="184"/>
      <c r="AW103" s="181"/>
      <c r="AX103" s="598"/>
    </row>
    <row r="104" spans="2:50" ht="14.25" customHeight="1">
      <c r="B104" s="597"/>
      <c r="C104" s="179">
        <v>14</v>
      </c>
      <c r="D104" s="182"/>
      <c r="E104" s="179"/>
      <c r="F104" s="179"/>
      <c r="G104" s="184"/>
      <c r="H104" s="598"/>
      <c r="I104" s="185"/>
      <c r="J104" s="185"/>
      <c r="K104" s="186"/>
      <c r="L104" s="599"/>
      <c r="M104" s="185" t="e">
        <f>RANK(K104, K$91:$K$127)</f>
        <v>#N/A</v>
      </c>
      <c r="N104" s="597"/>
      <c r="O104" s="597"/>
      <c r="P104" s="187"/>
      <c r="Q104" s="187"/>
      <c r="R104" s="184"/>
      <c r="S104" s="181" t="e">
        <f t="shared" si="52"/>
        <v>#N/A</v>
      </c>
      <c r="T104" s="598"/>
      <c r="U104" s="187"/>
      <c r="V104" s="187"/>
      <c r="W104" s="184"/>
      <c r="X104" s="181" t="e">
        <f t="shared" si="53"/>
        <v>#N/A</v>
      </c>
      <c r="Y104" s="598"/>
      <c r="Z104" s="187"/>
      <c r="AA104" s="187"/>
      <c r="AB104" s="184"/>
      <c r="AC104" s="181" t="e">
        <f t="shared" si="55"/>
        <v>#N/A</v>
      </c>
      <c r="AD104" s="598"/>
      <c r="AE104" s="187"/>
      <c r="AF104" s="187"/>
      <c r="AG104" s="184"/>
      <c r="AH104" s="181" t="e">
        <f t="shared" si="57"/>
        <v>#N/A</v>
      </c>
      <c r="AI104" s="598"/>
      <c r="AJ104" s="187"/>
      <c r="AK104" s="187"/>
      <c r="AL104" s="184"/>
      <c r="AM104" s="181" t="e">
        <f t="shared" si="59"/>
        <v>#N/A</v>
      </c>
      <c r="AN104" s="598"/>
      <c r="AO104" s="187"/>
      <c r="AP104" s="187"/>
      <c r="AQ104" s="184"/>
      <c r="AR104" s="181" t="e">
        <f t="shared" si="61"/>
        <v>#N/A</v>
      </c>
      <c r="AS104" s="598"/>
      <c r="AT104" s="187"/>
      <c r="AU104" s="187"/>
      <c r="AV104" s="184"/>
      <c r="AW104" s="181" t="e">
        <f t="shared" si="63"/>
        <v>#N/A</v>
      </c>
      <c r="AX104" s="598"/>
    </row>
    <row r="105" spans="2:50" ht="14.25" customHeight="1">
      <c r="B105" s="597"/>
      <c r="C105" s="179">
        <v>15</v>
      </c>
      <c r="D105" s="182"/>
      <c r="E105" s="179"/>
      <c r="F105" s="179"/>
      <c r="G105" s="184"/>
      <c r="H105" s="598"/>
      <c r="I105" s="185"/>
      <c r="J105" s="185"/>
      <c r="K105" s="186"/>
      <c r="L105" s="599"/>
      <c r="M105" s="185" t="e">
        <f>RANK(K105, K$91:$K$127)</f>
        <v>#N/A</v>
      </c>
      <c r="N105" s="597"/>
      <c r="O105" s="597"/>
      <c r="P105" s="187"/>
      <c r="Q105" s="187"/>
      <c r="R105" s="184"/>
      <c r="S105" s="181" t="e">
        <f t="shared" si="52"/>
        <v>#N/A</v>
      </c>
      <c r="T105" s="598"/>
      <c r="U105" s="187"/>
      <c r="V105" s="187"/>
      <c r="W105" s="184"/>
      <c r="X105" s="181" t="e">
        <f t="shared" si="53"/>
        <v>#N/A</v>
      </c>
      <c r="Y105" s="598"/>
      <c r="Z105" s="187"/>
      <c r="AA105" s="187"/>
      <c r="AB105" s="184"/>
      <c r="AC105" s="181" t="e">
        <f t="shared" si="55"/>
        <v>#N/A</v>
      </c>
      <c r="AD105" s="598"/>
      <c r="AE105" s="187"/>
      <c r="AF105" s="187"/>
      <c r="AG105" s="184"/>
      <c r="AH105" s="181" t="e">
        <f t="shared" si="57"/>
        <v>#N/A</v>
      </c>
      <c r="AI105" s="598"/>
      <c r="AJ105" s="187"/>
      <c r="AK105" s="187"/>
      <c r="AL105" s="184"/>
      <c r="AM105" s="181" t="e">
        <f t="shared" si="59"/>
        <v>#N/A</v>
      </c>
      <c r="AN105" s="598"/>
      <c r="AO105" s="187"/>
      <c r="AP105" s="187"/>
      <c r="AQ105" s="184"/>
      <c r="AR105" s="181" t="e">
        <f t="shared" si="61"/>
        <v>#N/A</v>
      </c>
      <c r="AS105" s="598"/>
      <c r="AT105" s="187"/>
      <c r="AU105" s="187"/>
      <c r="AV105" s="184"/>
      <c r="AW105" s="181" t="e">
        <f t="shared" si="63"/>
        <v>#N/A</v>
      </c>
      <c r="AX105" s="598"/>
    </row>
    <row r="106" spans="2:50">
      <c r="M106" s="185" t="e">
        <f>RANK(K106, K$91:$K$127)</f>
        <v>#N/A</v>
      </c>
      <c r="S106" s="181" t="e">
        <f t="shared" si="52"/>
        <v>#N/A</v>
      </c>
      <c r="X106" s="181" t="e">
        <f t="shared" si="53"/>
        <v>#N/A</v>
      </c>
      <c r="AC106" s="181" t="e">
        <f t="shared" si="55"/>
        <v>#N/A</v>
      </c>
      <c r="AH106" s="181" t="e">
        <f t="shared" si="57"/>
        <v>#N/A</v>
      </c>
      <c r="AM106" s="181" t="e">
        <f t="shared" si="59"/>
        <v>#N/A</v>
      </c>
      <c r="AR106" s="181" t="e">
        <f t="shared" si="61"/>
        <v>#N/A</v>
      </c>
      <c r="AW106" s="181" t="e">
        <f t="shared" si="63"/>
        <v>#N/A</v>
      </c>
    </row>
    <row r="107" spans="2:50">
      <c r="M107" s="185" t="e">
        <f>RANK(K107, K$91:$K$127)</f>
        <v>#N/A</v>
      </c>
      <c r="S107" s="181" t="e">
        <f t="shared" si="52"/>
        <v>#N/A</v>
      </c>
      <c r="X107" s="181" t="e">
        <f t="shared" si="53"/>
        <v>#N/A</v>
      </c>
      <c r="AC107" s="181" t="e">
        <f t="shared" si="55"/>
        <v>#N/A</v>
      </c>
      <c r="AH107" s="181" t="e">
        <f t="shared" si="57"/>
        <v>#N/A</v>
      </c>
      <c r="AM107" s="181" t="e">
        <f t="shared" si="59"/>
        <v>#N/A</v>
      </c>
      <c r="AR107" s="181" t="e">
        <f t="shared" si="61"/>
        <v>#N/A</v>
      </c>
      <c r="AW107" s="181" t="e">
        <f t="shared" si="63"/>
        <v>#N/A</v>
      </c>
    </row>
    <row r="108" spans="2:50">
      <c r="M108" s="185" t="e">
        <f>RANK(K108, K$91:$K$127)</f>
        <v>#N/A</v>
      </c>
      <c r="S108" s="181" t="e">
        <f t="shared" si="52"/>
        <v>#N/A</v>
      </c>
      <c r="X108" s="181" t="e">
        <f t="shared" si="53"/>
        <v>#N/A</v>
      </c>
      <c r="AC108" s="181" t="e">
        <f t="shared" si="55"/>
        <v>#N/A</v>
      </c>
      <c r="AH108" s="181" t="e">
        <f t="shared" si="57"/>
        <v>#N/A</v>
      </c>
      <c r="AM108" s="181" t="e">
        <f t="shared" si="59"/>
        <v>#N/A</v>
      </c>
      <c r="AR108" s="181" t="e">
        <f t="shared" si="61"/>
        <v>#N/A</v>
      </c>
      <c r="AW108" s="181" t="e">
        <f t="shared" si="63"/>
        <v>#N/A</v>
      </c>
    </row>
    <row r="109" spans="2:50">
      <c r="M109" s="185" t="e">
        <f>RANK(K109, K$91:$K$127)</f>
        <v>#N/A</v>
      </c>
      <c r="S109" s="181" t="e">
        <f t="shared" si="52"/>
        <v>#N/A</v>
      </c>
      <c r="X109" s="181" t="e">
        <f t="shared" si="53"/>
        <v>#N/A</v>
      </c>
      <c r="AC109" s="181" t="e">
        <f t="shared" si="55"/>
        <v>#N/A</v>
      </c>
      <c r="AH109" s="181" t="e">
        <f t="shared" si="57"/>
        <v>#N/A</v>
      </c>
      <c r="AM109" s="181" t="e">
        <f t="shared" si="59"/>
        <v>#N/A</v>
      </c>
      <c r="AR109" s="181" t="e">
        <f t="shared" si="61"/>
        <v>#N/A</v>
      </c>
      <c r="AW109" s="181" t="e">
        <f t="shared" si="63"/>
        <v>#N/A</v>
      </c>
    </row>
    <row r="110" spans="2:50">
      <c r="M110" s="185" t="e">
        <f>RANK(K110, K$91:$K$127)</f>
        <v>#N/A</v>
      </c>
      <c r="S110" s="181" t="e">
        <f t="shared" si="52"/>
        <v>#N/A</v>
      </c>
      <c r="X110" s="181" t="e">
        <f t="shared" si="53"/>
        <v>#N/A</v>
      </c>
      <c r="AC110" s="181" t="e">
        <f t="shared" si="55"/>
        <v>#N/A</v>
      </c>
      <c r="AH110" s="181" t="e">
        <f t="shared" si="57"/>
        <v>#N/A</v>
      </c>
      <c r="AM110" s="181" t="e">
        <f t="shared" si="59"/>
        <v>#N/A</v>
      </c>
      <c r="AR110" s="181" t="e">
        <f t="shared" si="61"/>
        <v>#N/A</v>
      </c>
      <c r="AW110" s="181" t="e">
        <f t="shared" si="63"/>
        <v>#N/A</v>
      </c>
    </row>
    <row r="111" spans="2:50">
      <c r="M111" s="185" t="e">
        <f>RANK(K111, K$91:$K$127)</f>
        <v>#N/A</v>
      </c>
      <c r="S111" s="181" t="e">
        <f t="shared" si="52"/>
        <v>#N/A</v>
      </c>
      <c r="X111" s="181" t="e">
        <f t="shared" si="53"/>
        <v>#N/A</v>
      </c>
      <c r="AC111" s="181" t="e">
        <f t="shared" si="55"/>
        <v>#N/A</v>
      </c>
      <c r="AH111" s="181" t="e">
        <f t="shared" si="57"/>
        <v>#N/A</v>
      </c>
      <c r="AM111" s="181" t="e">
        <f t="shared" si="59"/>
        <v>#N/A</v>
      </c>
      <c r="AR111" s="181" t="e">
        <f t="shared" si="61"/>
        <v>#N/A</v>
      </c>
      <c r="AW111" s="181" t="e">
        <f t="shared" si="63"/>
        <v>#N/A</v>
      </c>
    </row>
    <row r="112" spans="2:50">
      <c r="M112" s="185" t="e">
        <f>RANK(K112, K$91:$K$127)</f>
        <v>#N/A</v>
      </c>
      <c r="S112" s="181" t="e">
        <f t="shared" si="52"/>
        <v>#N/A</v>
      </c>
      <c r="X112" s="181" t="e">
        <f t="shared" si="53"/>
        <v>#N/A</v>
      </c>
      <c r="AC112" s="181" t="e">
        <f t="shared" si="55"/>
        <v>#N/A</v>
      </c>
      <c r="AH112" s="181" t="e">
        <f t="shared" si="57"/>
        <v>#N/A</v>
      </c>
      <c r="AM112" s="181" t="e">
        <f t="shared" si="59"/>
        <v>#N/A</v>
      </c>
      <c r="AR112" s="181" t="e">
        <f t="shared" si="61"/>
        <v>#N/A</v>
      </c>
      <c r="AW112" s="181" t="e">
        <f t="shared" si="63"/>
        <v>#N/A</v>
      </c>
    </row>
    <row r="113" spans="13:49">
      <c r="M113" s="185" t="e">
        <f>RANK(K113, K$91:$K$127)</f>
        <v>#N/A</v>
      </c>
      <c r="S113" s="181" t="e">
        <f t="shared" si="52"/>
        <v>#N/A</v>
      </c>
      <c r="X113" s="181" t="e">
        <f t="shared" si="53"/>
        <v>#N/A</v>
      </c>
      <c r="AC113" s="181" t="e">
        <f t="shared" si="55"/>
        <v>#N/A</v>
      </c>
      <c r="AH113" s="181" t="e">
        <f t="shared" si="57"/>
        <v>#N/A</v>
      </c>
      <c r="AM113" s="181" t="e">
        <f t="shared" si="59"/>
        <v>#N/A</v>
      </c>
      <c r="AR113" s="181" t="e">
        <f t="shared" si="61"/>
        <v>#N/A</v>
      </c>
      <c r="AW113" s="181" t="e">
        <f t="shared" si="63"/>
        <v>#N/A</v>
      </c>
    </row>
    <row r="114" spans="13:49">
      <c r="M114" s="185" t="e">
        <f>RANK(K114, K$91:$K$127)</f>
        <v>#N/A</v>
      </c>
      <c r="S114" s="181" t="e">
        <f t="shared" si="52"/>
        <v>#N/A</v>
      </c>
      <c r="X114" s="181" t="e">
        <f t="shared" si="53"/>
        <v>#N/A</v>
      </c>
      <c r="AC114" s="181" t="e">
        <f t="shared" si="55"/>
        <v>#N/A</v>
      </c>
      <c r="AH114" s="181" t="e">
        <f t="shared" si="57"/>
        <v>#N/A</v>
      </c>
      <c r="AM114" s="181" t="e">
        <f t="shared" si="59"/>
        <v>#N/A</v>
      </c>
      <c r="AR114" s="181" t="e">
        <f t="shared" si="61"/>
        <v>#N/A</v>
      </c>
      <c r="AW114" s="181" t="e">
        <f t="shared" si="63"/>
        <v>#N/A</v>
      </c>
    </row>
    <row r="115" spans="13:49">
      <c r="M115" s="185" t="e">
        <f>RANK(K115, K$91:$K$127)</f>
        <v>#N/A</v>
      </c>
      <c r="S115" s="181" t="e">
        <f t="shared" si="52"/>
        <v>#N/A</v>
      </c>
      <c r="X115" s="181" t="e">
        <f t="shared" si="53"/>
        <v>#N/A</v>
      </c>
      <c r="AC115" s="181" t="e">
        <f t="shared" si="55"/>
        <v>#N/A</v>
      </c>
      <c r="AH115" s="181" t="e">
        <f t="shared" si="57"/>
        <v>#N/A</v>
      </c>
      <c r="AM115" s="181" t="e">
        <f t="shared" si="59"/>
        <v>#N/A</v>
      </c>
      <c r="AR115" s="181" t="e">
        <f t="shared" si="61"/>
        <v>#N/A</v>
      </c>
      <c r="AW115" s="181" t="e">
        <f t="shared" si="63"/>
        <v>#N/A</v>
      </c>
    </row>
    <row r="116" spans="13:49">
      <c r="M116" s="185" t="e">
        <f>RANK(K116, K$91:$K$127)</f>
        <v>#N/A</v>
      </c>
      <c r="S116" s="181" t="e">
        <f t="shared" si="52"/>
        <v>#N/A</v>
      </c>
      <c r="X116" s="181" t="e">
        <f t="shared" si="53"/>
        <v>#N/A</v>
      </c>
      <c r="AC116" s="181" t="e">
        <f t="shared" si="55"/>
        <v>#N/A</v>
      </c>
      <c r="AH116" s="181" t="e">
        <f t="shared" si="57"/>
        <v>#N/A</v>
      </c>
      <c r="AM116" s="181" t="e">
        <f t="shared" si="59"/>
        <v>#N/A</v>
      </c>
      <c r="AR116" s="181" t="e">
        <f t="shared" si="61"/>
        <v>#N/A</v>
      </c>
      <c r="AW116" s="181" t="e">
        <f t="shared" si="63"/>
        <v>#N/A</v>
      </c>
    </row>
    <row r="117" spans="13:49">
      <c r="M117" s="185" t="e">
        <f>RANK(K117, K$91:$K$127)</f>
        <v>#N/A</v>
      </c>
      <c r="S117" s="181" t="e">
        <f t="shared" si="52"/>
        <v>#N/A</v>
      </c>
      <c r="X117" s="181" t="e">
        <f t="shared" si="53"/>
        <v>#N/A</v>
      </c>
      <c r="AC117" s="181" t="e">
        <f t="shared" si="55"/>
        <v>#N/A</v>
      </c>
      <c r="AH117" s="181" t="e">
        <f t="shared" si="57"/>
        <v>#N/A</v>
      </c>
      <c r="AM117" s="181" t="e">
        <f t="shared" si="59"/>
        <v>#N/A</v>
      </c>
      <c r="AR117" s="181" t="e">
        <f t="shared" si="61"/>
        <v>#N/A</v>
      </c>
      <c r="AW117" s="181" t="e">
        <f t="shared" si="63"/>
        <v>#N/A</v>
      </c>
    </row>
    <row r="118" spans="13:49">
      <c r="M118" s="185" t="e">
        <f>RANK(K118, K$91:$K$127)</f>
        <v>#N/A</v>
      </c>
      <c r="S118" s="181" t="e">
        <f t="shared" si="52"/>
        <v>#N/A</v>
      </c>
      <c r="X118" s="181" t="e">
        <f t="shared" si="53"/>
        <v>#N/A</v>
      </c>
      <c r="AC118" s="181" t="e">
        <f t="shared" si="55"/>
        <v>#N/A</v>
      </c>
      <c r="AH118" s="181" t="e">
        <f t="shared" si="57"/>
        <v>#N/A</v>
      </c>
      <c r="AM118" s="181" t="e">
        <f t="shared" si="59"/>
        <v>#N/A</v>
      </c>
      <c r="AR118" s="181" t="e">
        <f t="shared" si="61"/>
        <v>#N/A</v>
      </c>
      <c r="AW118" s="181" t="e">
        <f t="shared" si="63"/>
        <v>#N/A</v>
      </c>
    </row>
    <row r="119" spans="13:49">
      <c r="M119" s="185" t="e">
        <f>RANK(K119, K$91:$K$127)</f>
        <v>#N/A</v>
      </c>
      <c r="S119" s="181" t="e">
        <f t="shared" si="52"/>
        <v>#N/A</v>
      </c>
      <c r="X119" s="181" t="e">
        <f t="shared" si="53"/>
        <v>#N/A</v>
      </c>
      <c r="AC119" s="181" t="e">
        <f t="shared" si="55"/>
        <v>#N/A</v>
      </c>
      <c r="AH119" s="181" t="e">
        <f t="shared" si="57"/>
        <v>#N/A</v>
      </c>
      <c r="AM119" s="181" t="e">
        <f t="shared" si="59"/>
        <v>#N/A</v>
      </c>
      <c r="AR119" s="181" t="e">
        <f t="shared" si="61"/>
        <v>#N/A</v>
      </c>
      <c r="AW119" s="181" t="e">
        <f t="shared" si="63"/>
        <v>#N/A</v>
      </c>
    </row>
    <row r="120" spans="13:49">
      <c r="M120" s="185" t="e">
        <f>RANK(K120, K$91:$K$127)</f>
        <v>#N/A</v>
      </c>
      <c r="S120" s="181" t="e">
        <f t="shared" si="52"/>
        <v>#N/A</v>
      </c>
      <c r="X120" s="181" t="e">
        <f t="shared" si="53"/>
        <v>#N/A</v>
      </c>
      <c r="AC120" s="181" t="e">
        <f t="shared" si="55"/>
        <v>#N/A</v>
      </c>
      <c r="AH120" s="181" t="e">
        <f t="shared" si="57"/>
        <v>#N/A</v>
      </c>
      <c r="AM120" s="181" t="e">
        <f t="shared" si="59"/>
        <v>#N/A</v>
      </c>
      <c r="AR120" s="181" t="e">
        <f t="shared" si="61"/>
        <v>#N/A</v>
      </c>
      <c r="AW120" s="181" t="e">
        <f t="shared" si="63"/>
        <v>#N/A</v>
      </c>
    </row>
    <row r="121" spans="13:49">
      <c r="M121" s="185" t="e">
        <f>RANK(K121, K$91:$K$127)</f>
        <v>#N/A</v>
      </c>
      <c r="S121" s="181" t="e">
        <f t="shared" si="52"/>
        <v>#N/A</v>
      </c>
      <c r="X121" s="181" t="e">
        <f t="shared" si="53"/>
        <v>#N/A</v>
      </c>
      <c r="AC121" s="181" t="e">
        <f t="shared" si="55"/>
        <v>#N/A</v>
      </c>
      <c r="AH121" s="181" t="e">
        <f t="shared" si="57"/>
        <v>#N/A</v>
      </c>
      <c r="AM121" s="181" t="e">
        <f t="shared" si="59"/>
        <v>#N/A</v>
      </c>
      <c r="AR121" s="181" t="e">
        <f t="shared" si="61"/>
        <v>#N/A</v>
      </c>
      <c r="AW121" s="181" t="e">
        <f t="shared" si="63"/>
        <v>#N/A</v>
      </c>
    </row>
    <row r="122" spans="13:49">
      <c r="M122" s="185" t="e">
        <f>RANK(K122, K$91:$K$127)</f>
        <v>#N/A</v>
      </c>
      <c r="S122" s="181" t="e">
        <f t="shared" si="52"/>
        <v>#N/A</v>
      </c>
      <c r="X122" s="181" t="e">
        <f t="shared" si="53"/>
        <v>#N/A</v>
      </c>
      <c r="AC122" s="181" t="e">
        <f t="shared" si="55"/>
        <v>#N/A</v>
      </c>
      <c r="AH122" s="181" t="e">
        <f t="shared" si="57"/>
        <v>#N/A</v>
      </c>
      <c r="AM122" s="181" t="e">
        <f t="shared" si="59"/>
        <v>#N/A</v>
      </c>
      <c r="AR122" s="181" t="e">
        <f t="shared" si="61"/>
        <v>#N/A</v>
      </c>
      <c r="AW122" s="181" t="e">
        <f t="shared" si="63"/>
        <v>#N/A</v>
      </c>
    </row>
    <row r="123" spans="13:49">
      <c r="M123" s="185" t="e">
        <f>RANK(K123, K$91:$K$127)</f>
        <v>#N/A</v>
      </c>
      <c r="S123" s="181" t="e">
        <f t="shared" si="52"/>
        <v>#N/A</v>
      </c>
      <c r="X123" s="181" t="e">
        <f t="shared" si="53"/>
        <v>#N/A</v>
      </c>
      <c r="AC123" s="181" t="e">
        <f t="shared" si="55"/>
        <v>#N/A</v>
      </c>
      <c r="AH123" s="181" t="e">
        <f t="shared" si="57"/>
        <v>#N/A</v>
      </c>
      <c r="AM123" s="181" t="e">
        <f t="shared" si="59"/>
        <v>#N/A</v>
      </c>
      <c r="AR123" s="181" t="e">
        <f t="shared" si="61"/>
        <v>#N/A</v>
      </c>
      <c r="AW123" s="181" t="e">
        <f t="shared" si="63"/>
        <v>#N/A</v>
      </c>
    </row>
    <row r="124" spans="13:49">
      <c r="M124" s="185" t="e">
        <f>RANK(K124, K$91:$K$127)</f>
        <v>#N/A</v>
      </c>
      <c r="S124" s="181" t="e">
        <f t="shared" si="52"/>
        <v>#N/A</v>
      </c>
      <c r="X124" s="181" t="e">
        <f t="shared" si="53"/>
        <v>#N/A</v>
      </c>
      <c r="AC124" s="181" t="e">
        <f t="shared" si="55"/>
        <v>#N/A</v>
      </c>
      <c r="AH124" s="181" t="e">
        <f t="shared" si="57"/>
        <v>#N/A</v>
      </c>
      <c r="AM124" s="181" t="e">
        <f t="shared" si="59"/>
        <v>#N/A</v>
      </c>
      <c r="AR124" s="181" t="e">
        <f t="shared" si="61"/>
        <v>#N/A</v>
      </c>
      <c r="AW124" s="181" t="e">
        <f t="shared" si="63"/>
        <v>#N/A</v>
      </c>
    </row>
    <row r="125" spans="13:49">
      <c r="M125" s="185" t="e">
        <f>RANK(K125, K$91:$K$127)</f>
        <v>#N/A</v>
      </c>
      <c r="S125" s="181" t="e">
        <f t="shared" si="52"/>
        <v>#N/A</v>
      </c>
      <c r="X125" s="181" t="e">
        <f t="shared" si="53"/>
        <v>#N/A</v>
      </c>
      <c r="AC125" s="181" t="e">
        <f t="shared" si="55"/>
        <v>#N/A</v>
      </c>
      <c r="AH125" s="181" t="e">
        <f t="shared" si="57"/>
        <v>#N/A</v>
      </c>
      <c r="AM125" s="181" t="e">
        <f t="shared" si="59"/>
        <v>#N/A</v>
      </c>
      <c r="AR125" s="181" t="e">
        <f t="shared" si="61"/>
        <v>#N/A</v>
      </c>
      <c r="AW125" s="181" t="e">
        <f t="shared" si="63"/>
        <v>#N/A</v>
      </c>
    </row>
    <row r="126" spans="13:49">
      <c r="M126" s="185" t="e">
        <f>RANK(K126, K$91:$K$127)</f>
        <v>#N/A</v>
      </c>
      <c r="S126" s="181" t="e">
        <f t="shared" si="52"/>
        <v>#N/A</v>
      </c>
      <c r="X126" s="181" t="e">
        <f t="shared" si="53"/>
        <v>#N/A</v>
      </c>
      <c r="AC126" s="181" t="e">
        <f t="shared" si="55"/>
        <v>#N/A</v>
      </c>
      <c r="AH126" s="181" t="e">
        <f t="shared" si="57"/>
        <v>#N/A</v>
      </c>
      <c r="AM126" s="181" t="e">
        <f t="shared" si="59"/>
        <v>#N/A</v>
      </c>
      <c r="AR126" s="181" t="e">
        <f t="shared" si="61"/>
        <v>#N/A</v>
      </c>
      <c r="AW126" s="181" t="e">
        <f t="shared" si="63"/>
        <v>#N/A</v>
      </c>
    </row>
  </sheetData>
  <mergeCells count="235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N86:N87"/>
    <mergeCell ref="O86:O87"/>
    <mergeCell ref="P86:T86"/>
    <mergeCell ref="U86:Y86"/>
    <mergeCell ref="Z86:AD86"/>
    <mergeCell ref="AE86:AI86"/>
    <mergeCell ref="AJ86:AN86"/>
    <mergeCell ref="AO86:AS86"/>
    <mergeCell ref="AX27:AX41"/>
    <mergeCell ref="AD27:AD41"/>
    <mergeCell ref="AI27:AI41"/>
    <mergeCell ref="AN27:AN41"/>
    <mergeCell ref="AS27:AS41"/>
    <mergeCell ref="AT86:AX86"/>
    <mergeCell ref="P87:T87"/>
    <mergeCell ref="U87:Y87"/>
    <mergeCell ref="Z87:AD87"/>
    <mergeCell ref="AE87:AI87"/>
    <mergeCell ref="AJ87:AN87"/>
    <mergeCell ref="AO87:AS87"/>
    <mergeCell ref="AT87:AX87"/>
    <mergeCell ref="B88:B90"/>
    <mergeCell ref="C88:D90"/>
    <mergeCell ref="E88:G88"/>
    <mergeCell ref="H88:H90"/>
    <mergeCell ref="I88:K88"/>
    <mergeCell ref="L88:L90"/>
    <mergeCell ref="M88:M90"/>
    <mergeCell ref="N88:N105"/>
    <mergeCell ref="O88:O105"/>
    <mergeCell ref="P88:S88"/>
    <mergeCell ref="T88:T90"/>
    <mergeCell ref="U88:X88"/>
    <mergeCell ref="Y88:Y90"/>
    <mergeCell ref="Z88:AC88"/>
    <mergeCell ref="AD88:AD90"/>
    <mergeCell ref="AE88:AH88"/>
    <mergeCell ref="AI88:AI90"/>
    <mergeCell ref="AJ88:AM88"/>
    <mergeCell ref="AN88:AN90"/>
    <mergeCell ref="AO88:AR88"/>
    <mergeCell ref="AS88:AS90"/>
    <mergeCell ref="AT88:AW88"/>
    <mergeCell ref="AX88:AX90"/>
    <mergeCell ref="E89:G89"/>
    <mergeCell ref="I89:K89"/>
    <mergeCell ref="P89:S89"/>
    <mergeCell ref="U89:X89"/>
    <mergeCell ref="Z89:AC89"/>
    <mergeCell ref="AE89:AH89"/>
    <mergeCell ref="AJ89:AM89"/>
    <mergeCell ref="AO89:AR89"/>
    <mergeCell ref="AT89:AW89"/>
    <mergeCell ref="B91:B105"/>
    <mergeCell ref="H91:H105"/>
    <mergeCell ref="L91:L105"/>
    <mergeCell ref="T91:T105"/>
    <mergeCell ref="Y91:Y105"/>
    <mergeCell ref="AD91:AD105"/>
    <mergeCell ref="AI91:AI105"/>
    <mergeCell ref="AN91:AN105"/>
    <mergeCell ref="AS91:AS105"/>
    <mergeCell ref="AX91:AX105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AJ45:AM45"/>
    <mergeCell ref="AO45:AR45"/>
    <mergeCell ref="AT45:AW45"/>
    <mergeCell ref="M44:M46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N47:AN61"/>
    <mergeCell ref="AS47:AS61"/>
    <mergeCell ref="AX47:AX61"/>
    <mergeCell ref="B47:B61"/>
    <mergeCell ref="N44:N61"/>
    <mergeCell ref="O44:O61"/>
    <mergeCell ref="H47:H61"/>
    <mergeCell ref="L47:L61"/>
    <mergeCell ref="T47:T61"/>
    <mergeCell ref="Y47:Y61"/>
    <mergeCell ref="AD47:AD61"/>
    <mergeCell ref="AI47:AI61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126"/>
  <sheetViews>
    <sheetView zoomScaleNormal="100" workbookViewId="0">
      <pane xSplit="13" ySplit="1" topLeftCell="N41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S47" sqref="S47:S48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8" t="s">
        <v>744</v>
      </c>
      <c r="C1" s="174">
        <f>AVERAGE(L7,L27,L47)</f>
        <v>116.2495653003774</v>
      </c>
    </row>
    <row r="2" spans="1:50" ht="14.25" customHeight="1">
      <c r="B2" s="625" t="s">
        <v>709</v>
      </c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2"/>
      <c r="N2" s="629" t="s">
        <v>363</v>
      </c>
      <c r="O2" s="615" t="s">
        <v>105</v>
      </c>
      <c r="P2" s="617">
        <v>46203</v>
      </c>
      <c r="Q2" s="618"/>
      <c r="R2" s="618"/>
      <c r="S2" s="618"/>
      <c r="T2" s="618"/>
      <c r="U2" s="619">
        <v>46204</v>
      </c>
      <c r="V2" s="620"/>
      <c r="W2" s="620"/>
      <c r="X2" s="620"/>
      <c r="Y2" s="620"/>
      <c r="Z2" s="617">
        <v>46205</v>
      </c>
      <c r="AA2" s="618"/>
      <c r="AB2" s="618"/>
      <c r="AC2" s="618"/>
      <c r="AD2" s="618"/>
      <c r="AE2" s="619">
        <v>46206</v>
      </c>
      <c r="AF2" s="620"/>
      <c r="AG2" s="620"/>
      <c r="AH2" s="620"/>
      <c r="AI2" s="620"/>
      <c r="AJ2" s="602">
        <v>46207</v>
      </c>
      <c r="AK2" s="603"/>
      <c r="AL2" s="603"/>
      <c r="AM2" s="603"/>
      <c r="AN2" s="604"/>
      <c r="AO2" s="619">
        <v>46208</v>
      </c>
      <c r="AP2" s="620"/>
      <c r="AQ2" s="620"/>
      <c r="AR2" s="620"/>
      <c r="AS2" s="620"/>
      <c r="AT2" s="602">
        <v>46209</v>
      </c>
      <c r="AU2" s="603"/>
      <c r="AV2" s="603"/>
      <c r="AW2" s="603"/>
      <c r="AX2" s="604"/>
    </row>
    <row r="3" spans="1:50" ht="14.25" customHeight="1"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4"/>
      <c r="N3" s="630"/>
      <c r="O3" s="616"/>
      <c r="P3" s="605">
        <v>46196</v>
      </c>
      <c r="Q3" s="605"/>
      <c r="R3" s="605"/>
      <c r="S3" s="605"/>
      <c r="T3" s="605"/>
      <c r="U3" s="606">
        <v>46197</v>
      </c>
      <c r="V3" s="606"/>
      <c r="W3" s="606"/>
      <c r="X3" s="606"/>
      <c r="Y3" s="606"/>
      <c r="Z3" s="605">
        <v>46198</v>
      </c>
      <c r="AA3" s="605"/>
      <c r="AB3" s="605"/>
      <c r="AC3" s="605"/>
      <c r="AD3" s="605"/>
      <c r="AE3" s="606">
        <v>46199</v>
      </c>
      <c r="AF3" s="606"/>
      <c r="AG3" s="606"/>
      <c r="AH3" s="606"/>
      <c r="AI3" s="606"/>
      <c r="AJ3" s="607">
        <v>46200</v>
      </c>
      <c r="AK3" s="608"/>
      <c r="AL3" s="608"/>
      <c r="AM3" s="608"/>
      <c r="AN3" s="609"/>
      <c r="AO3" s="606">
        <v>46201</v>
      </c>
      <c r="AP3" s="606"/>
      <c r="AQ3" s="606"/>
      <c r="AR3" s="606"/>
      <c r="AS3" s="606"/>
      <c r="AT3" s="607">
        <v>46202</v>
      </c>
      <c r="AU3" s="608"/>
      <c r="AV3" s="608"/>
      <c r="AW3" s="608"/>
      <c r="AX3" s="609"/>
    </row>
    <row r="4" spans="1:50" ht="14.25" customHeight="1">
      <c r="B4" s="597" t="s">
        <v>162</v>
      </c>
      <c r="C4" s="597" t="s">
        <v>157</v>
      </c>
      <c r="D4" s="597"/>
      <c r="E4" s="597" t="s">
        <v>158</v>
      </c>
      <c r="F4" s="597"/>
      <c r="G4" s="597"/>
      <c r="H4" s="597" t="s">
        <v>163</v>
      </c>
      <c r="I4" s="601" t="s">
        <v>364</v>
      </c>
      <c r="J4" s="601"/>
      <c r="K4" s="601"/>
      <c r="L4" s="601" t="s">
        <v>163</v>
      </c>
      <c r="M4" s="601" t="s">
        <v>165</v>
      </c>
      <c r="N4" s="597"/>
      <c r="O4" s="597" t="s">
        <v>164</v>
      </c>
      <c r="P4" s="597" t="s">
        <v>160</v>
      </c>
      <c r="Q4" s="597"/>
      <c r="R4" s="597"/>
      <c r="S4" s="597"/>
      <c r="T4" s="597" t="s">
        <v>163</v>
      </c>
      <c r="U4" s="597" t="s">
        <v>160</v>
      </c>
      <c r="V4" s="597"/>
      <c r="W4" s="597"/>
      <c r="X4" s="597"/>
      <c r="Y4" s="597" t="s">
        <v>163</v>
      </c>
      <c r="Z4" s="597" t="s">
        <v>160</v>
      </c>
      <c r="AA4" s="597"/>
      <c r="AB4" s="597"/>
      <c r="AC4" s="597"/>
      <c r="AD4" s="597" t="s">
        <v>163</v>
      </c>
      <c r="AE4" s="597" t="s">
        <v>160</v>
      </c>
      <c r="AF4" s="597"/>
      <c r="AG4" s="597"/>
      <c r="AH4" s="597"/>
      <c r="AI4" s="597" t="s">
        <v>163</v>
      </c>
      <c r="AJ4" s="597" t="s">
        <v>160</v>
      </c>
      <c r="AK4" s="597"/>
      <c r="AL4" s="597"/>
      <c r="AM4" s="597"/>
      <c r="AN4" s="597" t="s">
        <v>163</v>
      </c>
      <c r="AO4" s="597" t="s">
        <v>160</v>
      </c>
      <c r="AP4" s="597"/>
      <c r="AQ4" s="597"/>
      <c r="AR4" s="597"/>
      <c r="AS4" s="597" t="s">
        <v>163</v>
      </c>
      <c r="AT4" s="597" t="s">
        <v>160</v>
      </c>
      <c r="AU4" s="597"/>
      <c r="AV4" s="597"/>
      <c r="AW4" s="597"/>
      <c r="AX4" s="597" t="s">
        <v>163</v>
      </c>
    </row>
    <row r="5" spans="1:50" ht="14.25" customHeight="1">
      <c r="B5" s="597"/>
      <c r="C5" s="597"/>
      <c r="D5" s="597"/>
      <c r="E5" s="597" t="s">
        <v>365</v>
      </c>
      <c r="F5" s="597"/>
      <c r="G5" s="597"/>
      <c r="H5" s="597"/>
      <c r="I5" s="601" t="s">
        <v>365</v>
      </c>
      <c r="J5" s="601"/>
      <c r="K5" s="601"/>
      <c r="L5" s="601"/>
      <c r="M5" s="601"/>
      <c r="N5" s="597"/>
      <c r="O5" s="597"/>
      <c r="P5" s="597" t="s">
        <v>366</v>
      </c>
      <c r="Q5" s="597"/>
      <c r="R5" s="597"/>
      <c r="S5" s="597"/>
      <c r="T5" s="597"/>
      <c r="U5" s="597" t="s">
        <v>366</v>
      </c>
      <c r="V5" s="597"/>
      <c r="W5" s="597"/>
      <c r="X5" s="597"/>
      <c r="Y5" s="597"/>
      <c r="Z5" s="597" t="s">
        <v>366</v>
      </c>
      <c r="AA5" s="597"/>
      <c r="AB5" s="597"/>
      <c r="AC5" s="597"/>
      <c r="AD5" s="597"/>
      <c r="AE5" s="597" t="s">
        <v>366</v>
      </c>
      <c r="AF5" s="597"/>
      <c r="AG5" s="597"/>
      <c r="AH5" s="597"/>
      <c r="AI5" s="597"/>
      <c r="AJ5" s="597" t="s">
        <v>366</v>
      </c>
      <c r="AK5" s="597"/>
      <c r="AL5" s="597"/>
      <c r="AM5" s="597"/>
      <c r="AN5" s="597"/>
      <c r="AO5" s="597" t="s">
        <v>366</v>
      </c>
      <c r="AP5" s="597"/>
      <c r="AQ5" s="597"/>
      <c r="AR5" s="597"/>
      <c r="AS5" s="597"/>
      <c r="AT5" s="597" t="s">
        <v>366</v>
      </c>
      <c r="AU5" s="597"/>
      <c r="AV5" s="597"/>
      <c r="AW5" s="597"/>
      <c r="AX5" s="597"/>
    </row>
    <row r="6" spans="1:50" ht="14.25" customHeight="1">
      <c r="B6" s="597"/>
      <c r="C6" s="597"/>
      <c r="D6" s="597"/>
      <c r="E6" s="179" t="s">
        <v>159</v>
      </c>
      <c r="F6" s="179" t="s">
        <v>367</v>
      </c>
      <c r="G6" s="179" t="s">
        <v>161</v>
      </c>
      <c r="H6" s="597"/>
      <c r="I6" s="180" t="s">
        <v>159</v>
      </c>
      <c r="J6" s="180" t="s">
        <v>367</v>
      </c>
      <c r="K6" s="180" t="s">
        <v>161</v>
      </c>
      <c r="L6" s="601"/>
      <c r="M6" s="601"/>
      <c r="N6" s="597"/>
      <c r="O6" s="597"/>
      <c r="P6" s="179" t="s">
        <v>159</v>
      </c>
      <c r="Q6" s="179" t="s">
        <v>367</v>
      </c>
      <c r="R6" s="179" t="s">
        <v>161</v>
      </c>
      <c r="S6" s="181" t="s">
        <v>165</v>
      </c>
      <c r="T6" s="597"/>
      <c r="U6" s="179" t="s">
        <v>159</v>
      </c>
      <c r="V6" s="179" t="s">
        <v>367</v>
      </c>
      <c r="W6" s="179" t="s">
        <v>161</v>
      </c>
      <c r="X6" s="181" t="s">
        <v>165</v>
      </c>
      <c r="Y6" s="597"/>
      <c r="Z6" s="179" t="s">
        <v>159</v>
      </c>
      <c r="AA6" s="179" t="s">
        <v>367</v>
      </c>
      <c r="AB6" s="179" t="s">
        <v>161</v>
      </c>
      <c r="AC6" s="181" t="s">
        <v>165</v>
      </c>
      <c r="AD6" s="597"/>
      <c r="AE6" s="179" t="s">
        <v>159</v>
      </c>
      <c r="AF6" s="179" t="s">
        <v>367</v>
      </c>
      <c r="AG6" s="179" t="s">
        <v>161</v>
      </c>
      <c r="AH6" s="181" t="s">
        <v>165</v>
      </c>
      <c r="AI6" s="597"/>
      <c r="AJ6" s="179" t="s">
        <v>159</v>
      </c>
      <c r="AK6" s="179" t="s">
        <v>367</v>
      </c>
      <c r="AL6" s="179" t="s">
        <v>161</v>
      </c>
      <c r="AM6" s="181" t="s">
        <v>165</v>
      </c>
      <c r="AN6" s="597"/>
      <c r="AO6" s="179" t="s">
        <v>159</v>
      </c>
      <c r="AP6" s="179" t="s">
        <v>367</v>
      </c>
      <c r="AQ6" s="179" t="s">
        <v>161</v>
      </c>
      <c r="AR6" s="181" t="s">
        <v>165</v>
      </c>
      <c r="AS6" s="597"/>
      <c r="AT6" s="179" t="s">
        <v>159</v>
      </c>
      <c r="AU6" s="179" t="s">
        <v>367</v>
      </c>
      <c r="AV6" s="179" t="s">
        <v>161</v>
      </c>
      <c r="AW6" s="181" t="s">
        <v>165</v>
      </c>
      <c r="AX6" s="597"/>
    </row>
    <row r="7" spans="1:50" ht="14.25" customHeight="1">
      <c r="B7" s="635" t="s">
        <v>425</v>
      </c>
      <c r="C7" s="179">
        <v>1</v>
      </c>
      <c r="D7" s="182" t="s">
        <v>347</v>
      </c>
      <c r="E7" s="183">
        <v>21</v>
      </c>
      <c r="F7" s="179">
        <v>2790</v>
      </c>
      <c r="G7" s="184">
        <f>IFERROR(F7/E7,"")</f>
        <v>132.85714285714286</v>
      </c>
      <c r="H7" s="598">
        <f>AVERAGE(G7:G21)</f>
        <v>132.85714285714286</v>
      </c>
      <c r="I7" s="185">
        <f>AVERAGE(P7,U7,Z7,AE7,AJ7,AO7,AT7)</f>
        <v>22</v>
      </c>
      <c r="J7" s="185">
        <f>AVERAGE(Q7,V7,AA7,AF7,AK7,AP7,AU7)</f>
        <v>2626.6346153846148</v>
      </c>
      <c r="K7" s="186">
        <f>AVERAGE(R7,W7,AB7,AG7,AL7,AQ7,AV7)</f>
        <v>119.39248251748248</v>
      </c>
      <c r="L7" s="599">
        <f>IFERROR(AVERAGE(K7:K21),"-")</f>
        <v>119.39248251748248</v>
      </c>
      <c r="M7" s="185">
        <f>RANK(K7, K$7:$K$21)</f>
        <v>1</v>
      </c>
      <c r="N7" s="597"/>
      <c r="O7" s="597"/>
      <c r="P7" s="187">
        <v>22</v>
      </c>
      <c r="Q7" s="187">
        <v>2626.6346153846152</v>
      </c>
      <c r="R7" s="184">
        <f>IFERROR(Q7/P7,"")</f>
        <v>119.39248251748251</v>
      </c>
      <c r="S7" s="181">
        <f>RANK(R7, R$7:R$21)</f>
        <v>1</v>
      </c>
      <c r="T7" s="598">
        <f>AVERAGE(R7:R21)</f>
        <v>119.39248251748251</v>
      </c>
      <c r="U7" s="187">
        <v>22</v>
      </c>
      <c r="V7" s="187">
        <v>2626.6346153846152</v>
      </c>
      <c r="W7" s="184">
        <f t="shared" ref="W7" si="0">IFERROR(V7/U7,"")</f>
        <v>119.39248251748251</v>
      </c>
      <c r="X7" s="181">
        <f>RANK(W7, W$7:W$21)</f>
        <v>1</v>
      </c>
      <c r="Y7" s="598">
        <f>AVERAGE(W7:W21)</f>
        <v>119.39248251748251</v>
      </c>
      <c r="Z7" s="187">
        <v>22</v>
      </c>
      <c r="AA7" s="187">
        <v>2626.6346153846152</v>
      </c>
      <c r="AB7" s="184">
        <f>IFERROR(AA7/Z7,"")</f>
        <v>119.39248251748251</v>
      </c>
      <c r="AC7" s="181">
        <f>RANK(AB7, AB$7:AB$21)</f>
        <v>1</v>
      </c>
      <c r="AD7" s="598">
        <f>AVERAGE(AB7:AB21)</f>
        <v>119.39248251748251</v>
      </c>
      <c r="AE7" s="187">
        <v>22</v>
      </c>
      <c r="AF7" s="187">
        <v>2626.6346153846152</v>
      </c>
      <c r="AG7" s="184">
        <f>IFERROR(AF7/AE7,"")</f>
        <v>119.39248251748251</v>
      </c>
      <c r="AH7" s="181">
        <f>RANK(AG7, AG$7:AG$21)</f>
        <v>1</v>
      </c>
      <c r="AI7" s="598">
        <f>AVERAGE(AG7:AG21)</f>
        <v>119.39248251748251</v>
      </c>
      <c r="AJ7" s="187">
        <v>22</v>
      </c>
      <c r="AK7" s="187">
        <v>2626.6346153846152</v>
      </c>
      <c r="AL7" s="184">
        <f>IFERROR(AK7/AJ7,"")</f>
        <v>119.39248251748251</v>
      </c>
      <c r="AM7" s="181">
        <f>RANK(AL7, AL$7:AL$21)</f>
        <v>1</v>
      </c>
      <c r="AN7" s="598">
        <f>AVERAGE(AL7:AL21)</f>
        <v>119.39248251748251</v>
      </c>
      <c r="AO7" s="187">
        <v>22</v>
      </c>
      <c r="AP7" s="187">
        <v>2626.6346153846152</v>
      </c>
      <c r="AQ7" s="184">
        <f>IFERROR(AP7/AO7,"")</f>
        <v>119.39248251748251</v>
      </c>
      <c r="AR7" s="181">
        <f>RANK(AQ7, AQ$7:AQ$21)</f>
        <v>1</v>
      </c>
      <c r="AS7" s="598">
        <f>AVERAGE(AQ7:AQ21)</f>
        <v>119.39248251748251</v>
      </c>
      <c r="AT7" s="187">
        <v>22</v>
      </c>
      <c r="AU7" s="187">
        <v>2626.6346153846152</v>
      </c>
      <c r="AV7" s="184">
        <f>IFERROR(AU7/AT7,"")</f>
        <v>119.39248251748251</v>
      </c>
      <c r="AW7" s="181">
        <f>RANK(AV7, AV$7:AV$21)</f>
        <v>1</v>
      </c>
      <c r="AX7" s="598">
        <f>AVERAGE(AV7:AV21)</f>
        <v>119.39248251748251</v>
      </c>
    </row>
    <row r="8" spans="1:50" ht="14.25" customHeight="1">
      <c r="B8" s="597"/>
      <c r="C8" s="179">
        <v>2</v>
      </c>
      <c r="D8" s="182"/>
      <c r="E8" s="179"/>
      <c r="F8" s="179"/>
      <c r="G8" s="184"/>
      <c r="H8" s="598"/>
      <c r="I8" s="185"/>
      <c r="J8" s="185"/>
      <c r="K8" s="186"/>
      <c r="L8" s="599"/>
      <c r="M8" s="185"/>
      <c r="N8" s="597"/>
      <c r="O8" s="597"/>
      <c r="P8" s="187"/>
      <c r="Q8" s="187"/>
      <c r="R8" s="184"/>
      <c r="S8" s="181"/>
      <c r="T8" s="598"/>
      <c r="U8" s="187"/>
      <c r="V8" s="187"/>
      <c r="W8" s="184"/>
      <c r="X8" s="181"/>
      <c r="Y8" s="598"/>
      <c r="Z8" s="187"/>
      <c r="AA8" s="187"/>
      <c r="AB8" s="184"/>
      <c r="AC8" s="181"/>
      <c r="AD8" s="598"/>
      <c r="AE8" s="187"/>
      <c r="AF8" s="187"/>
      <c r="AG8" s="184"/>
      <c r="AH8" s="181"/>
      <c r="AI8" s="598"/>
      <c r="AJ8" s="187"/>
      <c r="AK8" s="187"/>
      <c r="AL8" s="184"/>
      <c r="AM8" s="181"/>
      <c r="AN8" s="598"/>
      <c r="AO8" s="187"/>
      <c r="AP8" s="187"/>
      <c r="AQ8" s="184"/>
      <c r="AR8" s="181"/>
      <c r="AS8" s="598"/>
      <c r="AT8" s="187"/>
      <c r="AU8" s="187"/>
      <c r="AV8" s="184"/>
      <c r="AW8" s="181"/>
      <c r="AX8" s="598"/>
    </row>
    <row r="9" spans="1:50" ht="14.25" customHeight="1">
      <c r="B9" s="597"/>
      <c r="C9" s="179">
        <v>3</v>
      </c>
      <c r="D9" s="182"/>
      <c r="E9" s="179"/>
      <c r="F9" s="179"/>
      <c r="G9" s="184"/>
      <c r="H9" s="598"/>
      <c r="I9" s="185"/>
      <c r="J9" s="185"/>
      <c r="K9" s="186"/>
      <c r="L9" s="599"/>
      <c r="M9" s="185"/>
      <c r="N9" s="597"/>
      <c r="O9" s="597"/>
      <c r="P9" s="187"/>
      <c r="Q9" s="187"/>
      <c r="R9" s="184"/>
      <c r="S9" s="181"/>
      <c r="T9" s="598"/>
      <c r="U9" s="187"/>
      <c r="V9" s="187"/>
      <c r="W9" s="184"/>
      <c r="X9" s="181"/>
      <c r="Y9" s="598"/>
      <c r="Z9" s="187"/>
      <c r="AA9" s="187"/>
      <c r="AB9" s="184"/>
      <c r="AC9" s="181"/>
      <c r="AD9" s="598"/>
      <c r="AE9" s="187"/>
      <c r="AF9" s="187"/>
      <c r="AG9" s="184"/>
      <c r="AH9" s="181"/>
      <c r="AI9" s="598"/>
      <c r="AJ9" s="187"/>
      <c r="AK9" s="187"/>
      <c r="AL9" s="184"/>
      <c r="AM9" s="181"/>
      <c r="AN9" s="598"/>
      <c r="AO9" s="187"/>
      <c r="AP9" s="187"/>
      <c r="AQ9" s="184"/>
      <c r="AR9" s="181"/>
      <c r="AS9" s="598"/>
      <c r="AT9" s="187"/>
      <c r="AU9" s="187"/>
      <c r="AV9" s="184"/>
      <c r="AW9" s="181"/>
      <c r="AX9" s="598"/>
    </row>
    <row r="10" spans="1:50" ht="14.25" customHeight="1">
      <c r="B10" s="597"/>
      <c r="C10" s="179">
        <v>4</v>
      </c>
      <c r="D10" s="182"/>
      <c r="E10" s="179"/>
      <c r="F10" s="179"/>
      <c r="G10" s="184"/>
      <c r="H10" s="598"/>
      <c r="I10" s="185"/>
      <c r="J10" s="185"/>
      <c r="K10" s="186"/>
      <c r="L10" s="599"/>
      <c r="M10" s="185"/>
      <c r="N10" s="597"/>
      <c r="O10" s="597"/>
      <c r="P10" s="187"/>
      <c r="Q10" s="187"/>
      <c r="R10" s="184"/>
      <c r="S10" s="181"/>
      <c r="T10" s="598"/>
      <c r="U10" s="187"/>
      <c r="V10" s="187"/>
      <c r="W10" s="184"/>
      <c r="X10" s="181"/>
      <c r="Y10" s="598"/>
      <c r="Z10" s="187"/>
      <c r="AA10" s="187"/>
      <c r="AB10" s="184"/>
      <c r="AC10" s="181"/>
      <c r="AD10" s="598"/>
      <c r="AE10" s="187"/>
      <c r="AF10" s="187"/>
      <c r="AG10" s="184"/>
      <c r="AH10" s="181"/>
      <c r="AI10" s="598"/>
      <c r="AJ10" s="187"/>
      <c r="AK10" s="187"/>
      <c r="AL10" s="184"/>
      <c r="AM10" s="181"/>
      <c r="AN10" s="598"/>
      <c r="AO10" s="187"/>
      <c r="AP10" s="187"/>
      <c r="AQ10" s="184"/>
      <c r="AR10" s="181"/>
      <c r="AS10" s="598"/>
      <c r="AT10" s="187"/>
      <c r="AU10" s="187"/>
      <c r="AV10" s="184"/>
      <c r="AW10" s="181"/>
      <c r="AX10" s="598"/>
    </row>
    <row r="11" spans="1:50" ht="14.25" customHeight="1">
      <c r="B11" s="597"/>
      <c r="C11" s="179">
        <v>5</v>
      </c>
      <c r="D11" s="182"/>
      <c r="E11" s="179"/>
      <c r="F11" s="179"/>
      <c r="G11" s="184"/>
      <c r="H11" s="598"/>
      <c r="I11" s="185"/>
      <c r="J11" s="185"/>
      <c r="K11" s="186"/>
      <c r="L11" s="599"/>
      <c r="M11" s="185"/>
      <c r="N11" s="597"/>
      <c r="O11" s="597"/>
      <c r="P11" s="187"/>
      <c r="Q11" s="187"/>
      <c r="R11" s="184"/>
      <c r="S11" s="181"/>
      <c r="T11" s="598"/>
      <c r="U11" s="187"/>
      <c r="V11" s="187"/>
      <c r="W11" s="184"/>
      <c r="X11" s="181"/>
      <c r="Y11" s="598"/>
      <c r="Z11" s="187"/>
      <c r="AA11" s="187"/>
      <c r="AB11" s="184"/>
      <c r="AC11" s="181"/>
      <c r="AD11" s="598"/>
      <c r="AE11" s="187"/>
      <c r="AF11" s="187"/>
      <c r="AG11" s="184"/>
      <c r="AH11" s="181"/>
      <c r="AI11" s="598"/>
      <c r="AJ11" s="187"/>
      <c r="AK11" s="187"/>
      <c r="AL11" s="184"/>
      <c r="AM11" s="181"/>
      <c r="AN11" s="598"/>
      <c r="AO11" s="187"/>
      <c r="AP11" s="187"/>
      <c r="AQ11" s="184"/>
      <c r="AR11" s="181"/>
      <c r="AS11" s="598"/>
      <c r="AT11" s="187"/>
      <c r="AU11" s="187"/>
      <c r="AV11" s="184"/>
      <c r="AW11" s="181"/>
      <c r="AX11" s="598"/>
    </row>
    <row r="12" spans="1:50" ht="14.25" customHeight="1">
      <c r="B12" s="597"/>
      <c r="C12" s="179">
        <v>6</v>
      </c>
      <c r="D12" s="182"/>
      <c r="E12" s="179"/>
      <c r="F12" s="179"/>
      <c r="G12" s="184"/>
      <c r="H12" s="598"/>
      <c r="I12" s="185"/>
      <c r="J12" s="185"/>
      <c r="K12" s="186"/>
      <c r="L12" s="599"/>
      <c r="M12" s="185"/>
      <c r="N12" s="597"/>
      <c r="O12" s="597"/>
      <c r="P12" s="187"/>
      <c r="Q12" s="187"/>
      <c r="R12" s="184"/>
      <c r="S12" s="181"/>
      <c r="T12" s="598"/>
      <c r="U12" s="187"/>
      <c r="V12" s="187"/>
      <c r="W12" s="184"/>
      <c r="X12" s="181"/>
      <c r="Y12" s="598"/>
      <c r="Z12" s="187"/>
      <c r="AA12" s="187"/>
      <c r="AB12" s="184"/>
      <c r="AC12" s="181"/>
      <c r="AD12" s="598"/>
      <c r="AE12" s="187"/>
      <c r="AF12" s="187"/>
      <c r="AG12" s="184"/>
      <c r="AH12" s="181"/>
      <c r="AI12" s="598"/>
      <c r="AJ12" s="187"/>
      <c r="AK12" s="187"/>
      <c r="AL12" s="184"/>
      <c r="AM12" s="181"/>
      <c r="AN12" s="598"/>
      <c r="AO12" s="187"/>
      <c r="AP12" s="187"/>
      <c r="AQ12" s="184"/>
      <c r="AR12" s="181"/>
      <c r="AS12" s="598"/>
      <c r="AT12" s="187"/>
      <c r="AU12" s="187"/>
      <c r="AV12" s="184"/>
      <c r="AW12" s="181"/>
      <c r="AX12" s="598"/>
    </row>
    <row r="13" spans="1:50" ht="14.25" customHeight="1">
      <c r="B13" s="597"/>
      <c r="C13" s="179">
        <v>7</v>
      </c>
      <c r="D13" s="182"/>
      <c r="E13" s="179"/>
      <c r="F13" s="179"/>
      <c r="G13" s="184"/>
      <c r="H13" s="598"/>
      <c r="I13" s="185"/>
      <c r="J13" s="185"/>
      <c r="K13" s="186"/>
      <c r="L13" s="599"/>
      <c r="M13" s="185"/>
      <c r="N13" s="597"/>
      <c r="O13" s="597"/>
      <c r="P13" s="187"/>
      <c r="Q13" s="187"/>
      <c r="R13" s="184"/>
      <c r="S13" s="181"/>
      <c r="T13" s="598"/>
      <c r="U13" s="187"/>
      <c r="V13" s="187"/>
      <c r="W13" s="184"/>
      <c r="X13" s="181"/>
      <c r="Y13" s="598"/>
      <c r="Z13" s="187"/>
      <c r="AA13" s="187"/>
      <c r="AB13" s="184"/>
      <c r="AC13" s="181"/>
      <c r="AD13" s="598"/>
      <c r="AE13" s="187"/>
      <c r="AF13" s="187"/>
      <c r="AG13" s="184"/>
      <c r="AH13" s="181"/>
      <c r="AI13" s="598"/>
      <c r="AJ13" s="187"/>
      <c r="AK13" s="187"/>
      <c r="AL13" s="184"/>
      <c r="AM13" s="181"/>
      <c r="AN13" s="598"/>
      <c r="AO13" s="187"/>
      <c r="AP13" s="187"/>
      <c r="AQ13" s="184"/>
      <c r="AR13" s="181"/>
      <c r="AS13" s="598"/>
      <c r="AT13" s="187"/>
      <c r="AU13" s="187"/>
      <c r="AV13" s="184"/>
      <c r="AW13" s="181"/>
      <c r="AX13" s="598"/>
    </row>
    <row r="14" spans="1:50" ht="14.25" customHeight="1">
      <c r="B14" s="597"/>
      <c r="C14" s="179">
        <v>8</v>
      </c>
      <c r="D14" s="182"/>
      <c r="E14" s="179"/>
      <c r="F14" s="179"/>
      <c r="G14" s="184"/>
      <c r="H14" s="598"/>
      <c r="I14" s="185"/>
      <c r="J14" s="185"/>
      <c r="K14" s="186"/>
      <c r="L14" s="599"/>
      <c r="M14" s="185"/>
      <c r="N14" s="597"/>
      <c r="O14" s="597"/>
      <c r="P14" s="187"/>
      <c r="Q14" s="187"/>
      <c r="R14" s="184"/>
      <c r="S14" s="181"/>
      <c r="T14" s="598"/>
      <c r="U14" s="187"/>
      <c r="V14" s="187"/>
      <c r="W14" s="184"/>
      <c r="X14" s="181"/>
      <c r="Y14" s="598"/>
      <c r="Z14" s="187"/>
      <c r="AA14" s="187"/>
      <c r="AB14" s="184"/>
      <c r="AC14" s="181"/>
      <c r="AD14" s="598"/>
      <c r="AE14" s="187"/>
      <c r="AF14" s="187"/>
      <c r="AG14" s="184"/>
      <c r="AH14" s="181"/>
      <c r="AI14" s="598"/>
      <c r="AJ14" s="187"/>
      <c r="AK14" s="187"/>
      <c r="AL14" s="184"/>
      <c r="AM14" s="181"/>
      <c r="AN14" s="598"/>
      <c r="AO14" s="187"/>
      <c r="AP14" s="187"/>
      <c r="AQ14" s="184"/>
      <c r="AR14" s="181"/>
      <c r="AS14" s="598"/>
      <c r="AT14" s="187"/>
      <c r="AU14" s="187"/>
      <c r="AV14" s="184"/>
      <c r="AW14" s="181"/>
      <c r="AX14" s="598"/>
    </row>
    <row r="15" spans="1:50" ht="14.25" customHeight="1">
      <c r="B15" s="597"/>
      <c r="C15" s="179">
        <v>9</v>
      </c>
      <c r="D15" s="182"/>
      <c r="E15" s="179"/>
      <c r="F15" s="179"/>
      <c r="G15" s="184"/>
      <c r="H15" s="598"/>
      <c r="I15" s="185"/>
      <c r="J15" s="185"/>
      <c r="K15" s="186"/>
      <c r="L15" s="599"/>
      <c r="M15" s="185"/>
      <c r="N15" s="597"/>
      <c r="O15" s="597"/>
      <c r="P15" s="187"/>
      <c r="Q15" s="187"/>
      <c r="R15" s="184"/>
      <c r="S15" s="181"/>
      <c r="T15" s="598"/>
      <c r="U15" s="187"/>
      <c r="V15" s="187"/>
      <c r="W15" s="184"/>
      <c r="X15" s="181"/>
      <c r="Y15" s="598"/>
      <c r="Z15" s="187"/>
      <c r="AA15" s="187"/>
      <c r="AB15" s="184"/>
      <c r="AC15" s="181"/>
      <c r="AD15" s="598"/>
      <c r="AE15" s="187"/>
      <c r="AF15" s="187"/>
      <c r="AG15" s="184"/>
      <c r="AH15" s="181"/>
      <c r="AI15" s="598"/>
      <c r="AJ15" s="187"/>
      <c r="AK15" s="187"/>
      <c r="AL15" s="184"/>
      <c r="AM15" s="181"/>
      <c r="AN15" s="598"/>
      <c r="AO15" s="187"/>
      <c r="AP15" s="187"/>
      <c r="AQ15" s="184"/>
      <c r="AR15" s="181"/>
      <c r="AS15" s="598"/>
      <c r="AT15" s="187"/>
      <c r="AU15" s="187"/>
      <c r="AV15" s="184"/>
      <c r="AW15" s="181"/>
      <c r="AX15" s="598"/>
    </row>
    <row r="16" spans="1:50" ht="14.25" customHeight="1">
      <c r="B16" s="597"/>
      <c r="C16" s="179">
        <v>10</v>
      </c>
      <c r="D16" s="182"/>
      <c r="E16" s="179"/>
      <c r="F16" s="179"/>
      <c r="G16" s="184"/>
      <c r="H16" s="598"/>
      <c r="I16" s="185"/>
      <c r="J16" s="185"/>
      <c r="K16" s="186"/>
      <c r="L16" s="599"/>
      <c r="M16" s="185"/>
      <c r="N16" s="597"/>
      <c r="O16" s="597"/>
      <c r="P16" s="187"/>
      <c r="Q16" s="187"/>
      <c r="R16" s="184"/>
      <c r="S16" s="181"/>
      <c r="T16" s="598"/>
      <c r="U16" s="187"/>
      <c r="V16" s="187"/>
      <c r="W16" s="184"/>
      <c r="X16" s="181"/>
      <c r="Y16" s="598"/>
      <c r="Z16" s="187"/>
      <c r="AA16" s="187"/>
      <c r="AB16" s="184"/>
      <c r="AC16" s="181"/>
      <c r="AD16" s="598"/>
      <c r="AE16" s="187"/>
      <c r="AF16" s="187"/>
      <c r="AG16" s="184"/>
      <c r="AH16" s="181"/>
      <c r="AI16" s="598"/>
      <c r="AJ16" s="187"/>
      <c r="AK16" s="187"/>
      <c r="AL16" s="184"/>
      <c r="AM16" s="181"/>
      <c r="AN16" s="598"/>
      <c r="AO16" s="187"/>
      <c r="AP16" s="187"/>
      <c r="AQ16" s="184"/>
      <c r="AR16" s="181"/>
      <c r="AS16" s="598"/>
      <c r="AT16" s="187"/>
      <c r="AU16" s="187"/>
      <c r="AV16" s="184"/>
      <c r="AW16" s="181"/>
      <c r="AX16" s="598"/>
    </row>
    <row r="17" spans="2:50" ht="14.25" customHeight="1">
      <c r="B17" s="597"/>
      <c r="C17" s="179">
        <v>11</v>
      </c>
      <c r="D17" s="182"/>
      <c r="E17" s="179"/>
      <c r="F17" s="179"/>
      <c r="G17" s="184"/>
      <c r="H17" s="598"/>
      <c r="I17" s="185"/>
      <c r="J17" s="185"/>
      <c r="K17" s="186"/>
      <c r="L17" s="599"/>
      <c r="M17" s="185"/>
      <c r="N17" s="597"/>
      <c r="O17" s="597"/>
      <c r="P17" s="187"/>
      <c r="Q17" s="187"/>
      <c r="R17" s="184"/>
      <c r="S17" s="181"/>
      <c r="T17" s="598"/>
      <c r="U17" s="187"/>
      <c r="V17" s="187"/>
      <c r="W17" s="184"/>
      <c r="X17" s="181"/>
      <c r="Y17" s="598"/>
      <c r="Z17" s="187"/>
      <c r="AA17" s="187"/>
      <c r="AB17" s="184"/>
      <c r="AC17" s="181"/>
      <c r="AD17" s="598"/>
      <c r="AE17" s="187"/>
      <c r="AF17" s="187"/>
      <c r="AG17" s="184"/>
      <c r="AH17" s="181"/>
      <c r="AI17" s="598"/>
      <c r="AJ17" s="187"/>
      <c r="AK17" s="187"/>
      <c r="AL17" s="184"/>
      <c r="AM17" s="181"/>
      <c r="AN17" s="598"/>
      <c r="AO17" s="187"/>
      <c r="AP17" s="187"/>
      <c r="AQ17" s="184"/>
      <c r="AR17" s="181"/>
      <c r="AS17" s="598"/>
      <c r="AT17" s="187"/>
      <c r="AU17" s="187"/>
      <c r="AV17" s="184"/>
      <c r="AW17" s="181"/>
      <c r="AX17" s="598"/>
    </row>
    <row r="18" spans="2:50" ht="14.25" customHeight="1">
      <c r="B18" s="597"/>
      <c r="C18" s="179">
        <v>12</v>
      </c>
      <c r="D18" s="182"/>
      <c r="E18" s="179"/>
      <c r="F18" s="179"/>
      <c r="G18" s="184"/>
      <c r="H18" s="598"/>
      <c r="I18" s="185"/>
      <c r="J18" s="185"/>
      <c r="K18" s="186"/>
      <c r="L18" s="599"/>
      <c r="M18" s="185"/>
      <c r="N18" s="597"/>
      <c r="O18" s="597"/>
      <c r="P18" s="187"/>
      <c r="Q18" s="187"/>
      <c r="R18" s="184"/>
      <c r="S18" s="181"/>
      <c r="T18" s="598"/>
      <c r="U18" s="187"/>
      <c r="V18" s="187"/>
      <c r="W18" s="184"/>
      <c r="X18" s="181"/>
      <c r="Y18" s="598"/>
      <c r="Z18" s="187"/>
      <c r="AA18" s="187"/>
      <c r="AB18" s="184"/>
      <c r="AC18" s="181"/>
      <c r="AD18" s="598"/>
      <c r="AE18" s="187"/>
      <c r="AF18" s="187"/>
      <c r="AG18" s="184"/>
      <c r="AH18" s="181"/>
      <c r="AI18" s="598"/>
      <c r="AJ18" s="187"/>
      <c r="AK18" s="187"/>
      <c r="AL18" s="184"/>
      <c r="AM18" s="181"/>
      <c r="AN18" s="598"/>
      <c r="AO18" s="187"/>
      <c r="AP18" s="187"/>
      <c r="AQ18" s="184"/>
      <c r="AR18" s="181"/>
      <c r="AS18" s="598"/>
      <c r="AT18" s="187"/>
      <c r="AU18" s="187"/>
      <c r="AV18" s="184"/>
      <c r="AW18" s="181"/>
      <c r="AX18" s="598"/>
    </row>
    <row r="19" spans="2:50" ht="14.25" customHeight="1">
      <c r="B19" s="597"/>
      <c r="C19" s="179">
        <v>13</v>
      </c>
      <c r="D19" s="182"/>
      <c r="E19" s="179"/>
      <c r="F19" s="179"/>
      <c r="G19" s="184"/>
      <c r="H19" s="598"/>
      <c r="I19" s="185"/>
      <c r="J19" s="185"/>
      <c r="K19" s="186"/>
      <c r="L19" s="599"/>
      <c r="M19" s="185"/>
      <c r="N19" s="597"/>
      <c r="O19" s="597"/>
      <c r="P19" s="187"/>
      <c r="Q19" s="187"/>
      <c r="R19" s="184"/>
      <c r="S19" s="181"/>
      <c r="T19" s="598"/>
      <c r="U19" s="187"/>
      <c r="V19" s="187"/>
      <c r="W19" s="184"/>
      <c r="X19" s="181"/>
      <c r="Y19" s="598"/>
      <c r="Z19" s="187"/>
      <c r="AA19" s="187"/>
      <c r="AB19" s="184"/>
      <c r="AC19" s="181"/>
      <c r="AD19" s="598"/>
      <c r="AE19" s="187"/>
      <c r="AF19" s="187"/>
      <c r="AG19" s="184"/>
      <c r="AH19" s="181"/>
      <c r="AI19" s="598"/>
      <c r="AJ19" s="187"/>
      <c r="AK19" s="187"/>
      <c r="AL19" s="184"/>
      <c r="AM19" s="181"/>
      <c r="AN19" s="598"/>
      <c r="AO19" s="187"/>
      <c r="AP19" s="187"/>
      <c r="AQ19" s="184"/>
      <c r="AR19" s="181"/>
      <c r="AS19" s="598"/>
      <c r="AT19" s="187"/>
      <c r="AU19" s="187"/>
      <c r="AV19" s="184"/>
      <c r="AW19" s="181"/>
      <c r="AX19" s="598"/>
    </row>
    <row r="20" spans="2:50" ht="14.25" customHeight="1">
      <c r="B20" s="597"/>
      <c r="C20" s="179">
        <v>14</v>
      </c>
      <c r="D20" s="182"/>
      <c r="E20" s="179"/>
      <c r="F20" s="179"/>
      <c r="G20" s="184"/>
      <c r="H20" s="598"/>
      <c r="I20" s="185"/>
      <c r="J20" s="185"/>
      <c r="K20" s="186"/>
      <c r="L20" s="599"/>
      <c r="M20" s="185"/>
      <c r="N20" s="597"/>
      <c r="O20" s="597"/>
      <c r="P20" s="187"/>
      <c r="Q20" s="187"/>
      <c r="R20" s="184"/>
      <c r="S20" s="181"/>
      <c r="T20" s="598"/>
      <c r="U20" s="187"/>
      <c r="V20" s="187"/>
      <c r="W20" s="184"/>
      <c r="X20" s="181"/>
      <c r="Y20" s="598"/>
      <c r="Z20" s="187"/>
      <c r="AA20" s="187"/>
      <c r="AB20" s="184"/>
      <c r="AC20" s="181"/>
      <c r="AD20" s="598"/>
      <c r="AE20" s="187"/>
      <c r="AF20" s="187"/>
      <c r="AG20" s="184"/>
      <c r="AH20" s="181"/>
      <c r="AI20" s="598"/>
      <c r="AJ20" s="187"/>
      <c r="AK20" s="187"/>
      <c r="AL20" s="184"/>
      <c r="AM20" s="181"/>
      <c r="AN20" s="598"/>
      <c r="AO20" s="187"/>
      <c r="AP20" s="187"/>
      <c r="AQ20" s="184"/>
      <c r="AR20" s="181"/>
      <c r="AS20" s="598"/>
      <c r="AT20" s="187"/>
      <c r="AU20" s="187"/>
      <c r="AV20" s="184"/>
      <c r="AW20" s="181"/>
      <c r="AX20" s="598"/>
    </row>
    <row r="21" spans="2:50" ht="14.25" customHeight="1">
      <c r="B21" s="597"/>
      <c r="C21" s="179">
        <v>15</v>
      </c>
      <c r="D21" s="182"/>
      <c r="E21" s="179"/>
      <c r="F21" s="179"/>
      <c r="G21" s="184"/>
      <c r="H21" s="598"/>
      <c r="I21" s="185"/>
      <c r="J21" s="185"/>
      <c r="K21" s="186"/>
      <c r="L21" s="599"/>
      <c r="M21" s="185"/>
      <c r="N21" s="597"/>
      <c r="O21" s="597"/>
      <c r="P21" s="187"/>
      <c r="Q21" s="187"/>
      <c r="R21" s="184"/>
      <c r="S21" s="181"/>
      <c r="T21" s="598"/>
      <c r="U21" s="187"/>
      <c r="V21" s="187"/>
      <c r="W21" s="184"/>
      <c r="X21" s="181"/>
      <c r="Y21" s="598"/>
      <c r="Z21" s="187"/>
      <c r="AA21" s="187"/>
      <c r="AB21" s="184"/>
      <c r="AC21" s="181"/>
      <c r="AD21" s="598"/>
      <c r="AE21" s="187"/>
      <c r="AF21" s="187"/>
      <c r="AG21" s="184"/>
      <c r="AH21" s="181"/>
      <c r="AI21" s="598"/>
      <c r="AJ21" s="187"/>
      <c r="AK21" s="187"/>
      <c r="AL21" s="184"/>
      <c r="AM21" s="181"/>
      <c r="AN21" s="598"/>
      <c r="AO21" s="187"/>
      <c r="AP21" s="187"/>
      <c r="AQ21" s="184"/>
      <c r="AR21" s="181"/>
      <c r="AS21" s="598"/>
      <c r="AT21" s="187"/>
      <c r="AU21" s="187"/>
      <c r="AV21" s="184"/>
      <c r="AW21" s="181"/>
      <c r="AX21" s="598"/>
    </row>
    <row r="22" spans="2:50" ht="14.25" customHeight="1">
      <c r="B22" s="625" t="s">
        <v>773</v>
      </c>
      <c r="C22" s="631"/>
      <c r="D22" s="631"/>
      <c r="E22" s="631"/>
      <c r="F22" s="631"/>
      <c r="G22" s="631"/>
      <c r="H22" s="631"/>
      <c r="I22" s="631"/>
      <c r="J22" s="631"/>
      <c r="K22" s="631"/>
      <c r="L22" s="631"/>
      <c r="M22" s="632"/>
      <c r="N22" s="629" t="s">
        <v>363</v>
      </c>
      <c r="O22" s="629" t="s">
        <v>105</v>
      </c>
      <c r="P22" s="617">
        <v>46210</v>
      </c>
      <c r="Q22" s="618"/>
      <c r="R22" s="618"/>
      <c r="S22" s="618"/>
      <c r="T22" s="618"/>
      <c r="U22" s="619">
        <v>46211</v>
      </c>
      <c r="V22" s="620"/>
      <c r="W22" s="620"/>
      <c r="X22" s="620"/>
      <c r="Y22" s="620"/>
      <c r="Z22" s="617">
        <v>46212</v>
      </c>
      <c r="AA22" s="618"/>
      <c r="AB22" s="618"/>
      <c r="AC22" s="618"/>
      <c r="AD22" s="618"/>
      <c r="AE22" s="619">
        <v>46213</v>
      </c>
      <c r="AF22" s="620"/>
      <c r="AG22" s="620"/>
      <c r="AH22" s="620"/>
      <c r="AI22" s="620"/>
      <c r="AJ22" s="602">
        <v>46214</v>
      </c>
      <c r="AK22" s="603"/>
      <c r="AL22" s="603"/>
      <c r="AM22" s="603"/>
      <c r="AN22" s="604"/>
      <c r="AO22" s="619">
        <v>46215</v>
      </c>
      <c r="AP22" s="620"/>
      <c r="AQ22" s="620"/>
      <c r="AR22" s="620"/>
      <c r="AS22" s="620"/>
      <c r="AT22" s="602">
        <v>46216</v>
      </c>
      <c r="AU22" s="603"/>
      <c r="AV22" s="603"/>
      <c r="AW22" s="603"/>
      <c r="AX22" s="604"/>
    </row>
    <row r="23" spans="2:50" ht="14.25" customHeight="1"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4"/>
      <c r="N23" s="630"/>
      <c r="O23" s="630"/>
      <c r="P23" s="605">
        <v>46196</v>
      </c>
      <c r="Q23" s="605"/>
      <c r="R23" s="605"/>
      <c r="S23" s="605"/>
      <c r="T23" s="605"/>
      <c r="U23" s="606">
        <v>46197</v>
      </c>
      <c r="V23" s="606"/>
      <c r="W23" s="606"/>
      <c r="X23" s="606"/>
      <c r="Y23" s="606"/>
      <c r="Z23" s="605">
        <v>46198</v>
      </c>
      <c r="AA23" s="605"/>
      <c r="AB23" s="605"/>
      <c r="AC23" s="605"/>
      <c r="AD23" s="605"/>
      <c r="AE23" s="606">
        <v>46199</v>
      </c>
      <c r="AF23" s="606"/>
      <c r="AG23" s="606"/>
      <c r="AH23" s="606"/>
      <c r="AI23" s="606"/>
      <c r="AJ23" s="607">
        <v>46200</v>
      </c>
      <c r="AK23" s="608"/>
      <c r="AL23" s="608"/>
      <c r="AM23" s="608"/>
      <c r="AN23" s="609"/>
      <c r="AO23" s="606">
        <v>46201</v>
      </c>
      <c r="AP23" s="606"/>
      <c r="AQ23" s="606"/>
      <c r="AR23" s="606"/>
      <c r="AS23" s="606"/>
      <c r="AT23" s="607">
        <v>46202</v>
      </c>
      <c r="AU23" s="608"/>
      <c r="AV23" s="608"/>
      <c r="AW23" s="608"/>
      <c r="AX23" s="609"/>
    </row>
    <row r="24" spans="2:50" ht="14.25" customHeight="1">
      <c r="B24" s="597" t="s">
        <v>162</v>
      </c>
      <c r="C24" s="597" t="s">
        <v>157</v>
      </c>
      <c r="D24" s="597"/>
      <c r="E24" s="597" t="s">
        <v>158</v>
      </c>
      <c r="F24" s="597"/>
      <c r="G24" s="597"/>
      <c r="H24" s="597" t="s">
        <v>163</v>
      </c>
      <c r="I24" s="601" t="s">
        <v>364</v>
      </c>
      <c r="J24" s="601"/>
      <c r="K24" s="601"/>
      <c r="L24" s="601" t="s">
        <v>163</v>
      </c>
      <c r="M24" s="601" t="s">
        <v>165</v>
      </c>
      <c r="N24" s="597"/>
      <c r="O24" s="597" t="s">
        <v>164</v>
      </c>
      <c r="P24" s="597" t="s">
        <v>160</v>
      </c>
      <c r="Q24" s="597"/>
      <c r="R24" s="597"/>
      <c r="S24" s="597"/>
      <c r="T24" s="597" t="s">
        <v>163</v>
      </c>
      <c r="U24" s="597" t="s">
        <v>160</v>
      </c>
      <c r="V24" s="597"/>
      <c r="W24" s="597"/>
      <c r="X24" s="597"/>
      <c r="Y24" s="597" t="s">
        <v>163</v>
      </c>
      <c r="Z24" s="597" t="s">
        <v>160</v>
      </c>
      <c r="AA24" s="597"/>
      <c r="AB24" s="597"/>
      <c r="AC24" s="597"/>
      <c r="AD24" s="597" t="s">
        <v>163</v>
      </c>
      <c r="AE24" s="597" t="s">
        <v>160</v>
      </c>
      <c r="AF24" s="597"/>
      <c r="AG24" s="597"/>
      <c r="AH24" s="597"/>
      <c r="AI24" s="597" t="s">
        <v>163</v>
      </c>
      <c r="AJ24" s="597" t="s">
        <v>160</v>
      </c>
      <c r="AK24" s="597"/>
      <c r="AL24" s="597"/>
      <c r="AM24" s="597"/>
      <c r="AN24" s="597" t="s">
        <v>163</v>
      </c>
      <c r="AO24" s="597" t="s">
        <v>160</v>
      </c>
      <c r="AP24" s="597"/>
      <c r="AQ24" s="597"/>
      <c r="AR24" s="597"/>
      <c r="AS24" s="597" t="s">
        <v>163</v>
      </c>
      <c r="AT24" s="597" t="s">
        <v>160</v>
      </c>
      <c r="AU24" s="597"/>
      <c r="AV24" s="597"/>
      <c r="AW24" s="597"/>
      <c r="AX24" s="597" t="s">
        <v>163</v>
      </c>
    </row>
    <row r="25" spans="2:50" ht="14.25" customHeight="1">
      <c r="B25" s="597"/>
      <c r="C25" s="597"/>
      <c r="D25" s="597"/>
      <c r="E25" s="597" t="s">
        <v>365</v>
      </c>
      <c r="F25" s="597"/>
      <c r="G25" s="597"/>
      <c r="H25" s="597"/>
      <c r="I25" s="601" t="s">
        <v>365</v>
      </c>
      <c r="J25" s="601"/>
      <c r="K25" s="601"/>
      <c r="L25" s="601"/>
      <c r="M25" s="601"/>
      <c r="N25" s="597"/>
      <c r="O25" s="597"/>
      <c r="P25" s="597" t="s">
        <v>366</v>
      </c>
      <c r="Q25" s="597"/>
      <c r="R25" s="597"/>
      <c r="S25" s="597"/>
      <c r="T25" s="597"/>
      <c r="U25" s="597" t="s">
        <v>366</v>
      </c>
      <c r="V25" s="597"/>
      <c r="W25" s="597"/>
      <c r="X25" s="597"/>
      <c r="Y25" s="597"/>
      <c r="Z25" s="597" t="s">
        <v>366</v>
      </c>
      <c r="AA25" s="597"/>
      <c r="AB25" s="597"/>
      <c r="AC25" s="597"/>
      <c r="AD25" s="597"/>
      <c r="AE25" s="597" t="s">
        <v>366</v>
      </c>
      <c r="AF25" s="597"/>
      <c r="AG25" s="597"/>
      <c r="AH25" s="597"/>
      <c r="AI25" s="597"/>
      <c r="AJ25" s="597" t="s">
        <v>366</v>
      </c>
      <c r="AK25" s="597"/>
      <c r="AL25" s="597"/>
      <c r="AM25" s="597"/>
      <c r="AN25" s="597"/>
      <c r="AO25" s="597" t="s">
        <v>366</v>
      </c>
      <c r="AP25" s="597"/>
      <c r="AQ25" s="597"/>
      <c r="AR25" s="597"/>
      <c r="AS25" s="597"/>
      <c r="AT25" s="597" t="s">
        <v>366</v>
      </c>
      <c r="AU25" s="597"/>
      <c r="AV25" s="597"/>
      <c r="AW25" s="597"/>
      <c r="AX25" s="597"/>
    </row>
    <row r="26" spans="2:50" ht="14.25" customHeight="1">
      <c r="B26" s="597"/>
      <c r="C26" s="597"/>
      <c r="D26" s="597"/>
      <c r="E26" s="179" t="s">
        <v>159</v>
      </c>
      <c r="F26" s="179" t="s">
        <v>367</v>
      </c>
      <c r="G26" s="179" t="s">
        <v>161</v>
      </c>
      <c r="H26" s="597"/>
      <c r="I26" s="180" t="s">
        <v>159</v>
      </c>
      <c r="J26" s="180" t="s">
        <v>367</v>
      </c>
      <c r="K26" s="180" t="s">
        <v>161</v>
      </c>
      <c r="L26" s="601"/>
      <c r="M26" s="601"/>
      <c r="N26" s="597"/>
      <c r="O26" s="597"/>
      <c r="P26" s="179" t="s">
        <v>159</v>
      </c>
      <c r="Q26" s="179" t="s">
        <v>367</v>
      </c>
      <c r="R26" s="179" t="s">
        <v>161</v>
      </c>
      <c r="S26" s="181" t="s">
        <v>165</v>
      </c>
      <c r="T26" s="597"/>
      <c r="U26" s="179" t="s">
        <v>159</v>
      </c>
      <c r="V26" s="179" t="s">
        <v>367</v>
      </c>
      <c r="W26" s="179" t="s">
        <v>161</v>
      </c>
      <c r="X26" s="181" t="s">
        <v>165</v>
      </c>
      <c r="Y26" s="597"/>
      <c r="Z26" s="179" t="s">
        <v>159</v>
      </c>
      <c r="AA26" s="179" t="s">
        <v>367</v>
      </c>
      <c r="AB26" s="179" t="s">
        <v>161</v>
      </c>
      <c r="AC26" s="181" t="s">
        <v>165</v>
      </c>
      <c r="AD26" s="597"/>
      <c r="AE26" s="179" t="s">
        <v>159</v>
      </c>
      <c r="AF26" s="179" t="s">
        <v>367</v>
      </c>
      <c r="AG26" s="179" t="s">
        <v>161</v>
      </c>
      <c r="AH26" s="181" t="s">
        <v>165</v>
      </c>
      <c r="AI26" s="597"/>
      <c r="AJ26" s="179" t="s">
        <v>159</v>
      </c>
      <c r="AK26" s="179" t="s">
        <v>367</v>
      </c>
      <c r="AL26" s="179" t="s">
        <v>161</v>
      </c>
      <c r="AM26" s="181" t="s">
        <v>165</v>
      </c>
      <c r="AN26" s="597"/>
      <c r="AO26" s="179" t="s">
        <v>159</v>
      </c>
      <c r="AP26" s="179" t="s">
        <v>367</v>
      </c>
      <c r="AQ26" s="179" t="s">
        <v>161</v>
      </c>
      <c r="AR26" s="181" t="s">
        <v>165</v>
      </c>
      <c r="AS26" s="597"/>
      <c r="AT26" s="179" t="s">
        <v>159</v>
      </c>
      <c r="AU26" s="179" t="s">
        <v>367</v>
      </c>
      <c r="AV26" s="179" t="s">
        <v>161</v>
      </c>
      <c r="AW26" s="181" t="s">
        <v>165</v>
      </c>
      <c r="AX26" s="597"/>
    </row>
    <row r="27" spans="2:50" ht="14.25" customHeight="1">
      <c r="B27" s="635" t="s">
        <v>425</v>
      </c>
      <c r="C27" s="179">
        <v>1</v>
      </c>
      <c r="D27" s="182" t="s">
        <v>347</v>
      </c>
      <c r="E27" s="183">
        <v>21</v>
      </c>
      <c r="F27" s="179">
        <v>2790</v>
      </c>
      <c r="G27" s="184">
        <f t="shared" ref="G27:G28" si="1">IFERROR(F27/E27,"")</f>
        <v>132.85714285714286</v>
      </c>
      <c r="H27" s="598">
        <f>AVERAGE(G27:G41)</f>
        <v>132.85714285714286</v>
      </c>
      <c r="I27" s="185">
        <f>AVERAGE(P27,U27,Z27,AE27,AJ27,AO27,AT27)</f>
        <v>23</v>
      </c>
      <c r="J27" s="185">
        <f>AVERAGE(Q27,V27,AA27,AF27,AK27,AP27,AU27)</f>
        <v>2786.9038461538466</v>
      </c>
      <c r="K27" s="186">
        <f>AVERAGE(R27,W27,AB27,AG27,AL27,AQ27,AV27)</f>
        <v>121.16973244147157</v>
      </c>
      <c r="L27" s="599">
        <f>IFERROR(AVERAGE(K27:K41),"-")</f>
        <v>113.38841138750922</v>
      </c>
      <c r="M27" s="185">
        <f>RANK(K27, K$27:$K$41)</f>
        <v>1</v>
      </c>
      <c r="N27" s="597"/>
      <c r="O27" s="597"/>
      <c r="P27" s="187">
        <v>23</v>
      </c>
      <c r="Q27" s="187">
        <v>2786.9038461538466</v>
      </c>
      <c r="R27" s="184">
        <f>IFERROR(Q27/P27,"")</f>
        <v>121.1697324414716</v>
      </c>
      <c r="S27" s="181">
        <f>RANK(R27, R$27:R$41)</f>
        <v>1</v>
      </c>
      <c r="T27" s="598">
        <f>AVERAGE(R27:R41)</f>
        <v>109.05801333612041</v>
      </c>
      <c r="U27" s="187">
        <v>23</v>
      </c>
      <c r="V27" s="187">
        <v>2786.9038461538457</v>
      </c>
      <c r="W27" s="184">
        <f t="shared" ref="W27:W28" si="2">IFERROR(V27/U27,"")</f>
        <v>121.16973244147155</v>
      </c>
      <c r="X27" s="181">
        <f>RANK(W27, W$27:W$41)</f>
        <v>1</v>
      </c>
      <c r="Y27" s="598">
        <f>AVERAGE(W27:W41)</f>
        <v>110.02337924156912</v>
      </c>
      <c r="Z27" s="187">
        <v>23</v>
      </c>
      <c r="AA27" s="187">
        <v>2786.9038461538462</v>
      </c>
      <c r="AB27" s="184">
        <f>IFERROR(AA27/Z27,"")</f>
        <v>121.16973244147157</v>
      </c>
      <c r="AC27" s="181">
        <f>RANK(AB27, AB$27:AB$41)</f>
        <v>1</v>
      </c>
      <c r="AD27" s="598">
        <f>AVERAGE(AB27:AB41)</f>
        <v>111.01040768708194</v>
      </c>
      <c r="AE27" s="187">
        <v>23</v>
      </c>
      <c r="AF27" s="187">
        <v>2786.9038461538462</v>
      </c>
      <c r="AG27" s="184">
        <f>IFERROR(AF27/AE27,"")</f>
        <v>121.16973244147157</v>
      </c>
      <c r="AH27" s="181">
        <f>RANK(AG27, AG$27:AG$41)</f>
        <v>1</v>
      </c>
      <c r="AI27" s="598">
        <f>AVERAGE(AG27:AG41)</f>
        <v>113.93995067418385</v>
      </c>
      <c r="AJ27" s="187">
        <v>23</v>
      </c>
      <c r="AK27" s="187">
        <v>2786.9038461538466</v>
      </c>
      <c r="AL27" s="184">
        <f>IFERROR(AK27/AJ27,"")</f>
        <v>121.1697324414716</v>
      </c>
      <c r="AM27" s="181">
        <f>RANK(AL27, AL$27:AL$41)</f>
        <v>1</v>
      </c>
      <c r="AN27" s="598">
        <f>AVERAGE(AL27:AL41)</f>
        <v>116.39866905941042</v>
      </c>
      <c r="AO27" s="187">
        <v>23</v>
      </c>
      <c r="AP27" s="187">
        <v>2786.9038461538462</v>
      </c>
      <c r="AQ27" s="184">
        <f>IFERROR(AP27/AO27,"")</f>
        <v>121.16973244147157</v>
      </c>
      <c r="AR27" s="181">
        <f>RANK(AQ27, AQ$27:AQ$41)</f>
        <v>1</v>
      </c>
      <c r="AS27" s="598">
        <f>AVERAGE(AQ27:AQ41)</f>
        <v>116.24904803891761</v>
      </c>
      <c r="AT27" s="187">
        <v>23</v>
      </c>
      <c r="AU27" s="187">
        <v>2786.9038461538462</v>
      </c>
      <c r="AV27" s="184">
        <f>IFERROR(AU27/AT27,"")</f>
        <v>121.16973244147157</v>
      </c>
      <c r="AW27" s="181">
        <f>RANK(AV27, AV$27:AV$41)</f>
        <v>1</v>
      </c>
      <c r="AX27" s="598">
        <f>AVERAGE(AV27:AV41)</f>
        <v>117.03941167528123</v>
      </c>
    </row>
    <row r="28" spans="2:50" ht="14.25" customHeight="1">
      <c r="B28" s="597"/>
      <c r="C28" s="179">
        <v>2</v>
      </c>
      <c r="D28" s="182" t="s">
        <v>774</v>
      </c>
      <c r="E28" s="179">
        <v>21</v>
      </c>
      <c r="F28" s="179">
        <v>2790</v>
      </c>
      <c r="G28" s="184">
        <f t="shared" si="1"/>
        <v>132.85714285714286</v>
      </c>
      <c r="H28" s="598"/>
      <c r="I28" s="185">
        <f t="shared" ref="I28:K28" si="3">AVERAGE(P28,U28,Z28,AE28,AJ28,AO28,AT28)</f>
        <v>23.571428571428573</v>
      </c>
      <c r="J28" s="185">
        <f t="shared" si="3"/>
        <v>2484.3517944536766</v>
      </c>
      <c r="K28" s="186">
        <f t="shared" si="3"/>
        <v>105.60709033354688</v>
      </c>
      <c r="L28" s="599"/>
      <c r="M28" s="185">
        <f>RANK(K28, K$27:$K$41)</f>
        <v>2</v>
      </c>
      <c r="N28" s="597"/>
      <c r="O28" s="597"/>
      <c r="P28" s="187">
        <v>25</v>
      </c>
      <c r="Q28" s="187">
        <v>2423.6573557692309</v>
      </c>
      <c r="R28" s="184">
        <f t="shared" ref="R28" si="4">IFERROR(Q28/P28,"")</f>
        <v>96.94629423076924</v>
      </c>
      <c r="S28" s="181">
        <f>RANK(R28, R$27:R$41)</f>
        <v>2</v>
      </c>
      <c r="T28" s="598"/>
      <c r="U28" s="187">
        <v>24</v>
      </c>
      <c r="V28" s="187">
        <v>2373.0486250000004</v>
      </c>
      <c r="W28" s="184">
        <f t="shared" si="2"/>
        <v>98.877026041666682</v>
      </c>
      <c r="X28" s="181">
        <f>RANK(W28, W$27:W$41)</f>
        <v>2</v>
      </c>
      <c r="Y28" s="598"/>
      <c r="Z28" s="187">
        <v>24</v>
      </c>
      <c r="AA28" s="187">
        <v>2420.425990384615</v>
      </c>
      <c r="AB28" s="184">
        <f t="shared" ref="AB28" si="5">IFERROR(AA28/Z28,"")</f>
        <v>100.85108293269229</v>
      </c>
      <c r="AC28" s="181">
        <f>RANK(AB28, AB$27:AB$41)</f>
        <v>2</v>
      </c>
      <c r="AD28" s="598"/>
      <c r="AE28" s="187">
        <v>24</v>
      </c>
      <c r="AF28" s="187">
        <v>2561.0440537655068</v>
      </c>
      <c r="AG28" s="184">
        <f t="shared" ref="AG28" si="6">IFERROR(AF28/AE28,"")</f>
        <v>106.71016890689612</v>
      </c>
      <c r="AH28" s="181">
        <f>RANK(AG28, AG$27:AG$41)</f>
        <v>2</v>
      </c>
      <c r="AI28" s="598"/>
      <c r="AJ28" s="187">
        <v>24</v>
      </c>
      <c r="AK28" s="187">
        <v>2679.0625362563819</v>
      </c>
      <c r="AL28" s="184">
        <f t="shared" ref="AL28" si="7">IFERROR(AK28/AJ28,"")</f>
        <v>111.62760567734925</v>
      </c>
      <c r="AM28" s="181">
        <f>RANK(AL28, AL$27:AL$41)</f>
        <v>2</v>
      </c>
      <c r="AN28" s="598"/>
      <c r="AO28" s="187">
        <v>22</v>
      </c>
      <c r="AP28" s="187">
        <v>2449.2240000000002</v>
      </c>
      <c r="AQ28" s="184">
        <f t="shared" ref="AQ28" si="8">IFERROR(AP28/AO28,"")</f>
        <v>111.32836363636365</v>
      </c>
      <c r="AR28" s="181">
        <f>RANK(AQ28, AQ$27:AQ$41)</f>
        <v>2</v>
      </c>
      <c r="AS28" s="598"/>
      <c r="AT28" s="187">
        <v>22</v>
      </c>
      <c r="AU28" s="187">
        <v>2484</v>
      </c>
      <c r="AV28" s="184">
        <f t="shared" ref="AV28" si="9">IFERROR(AU28/AT28,"")</f>
        <v>112.90909090909091</v>
      </c>
      <c r="AW28" s="181">
        <f>RANK(AV28, AV$27:AV$41)</f>
        <v>2</v>
      </c>
      <c r="AX28" s="598"/>
    </row>
    <row r="29" spans="2:50" ht="14.25" customHeight="1">
      <c r="B29" s="597"/>
      <c r="C29" s="179">
        <v>3</v>
      </c>
      <c r="D29" s="182"/>
      <c r="E29" s="179"/>
      <c r="F29" s="179"/>
      <c r="G29" s="184"/>
      <c r="H29" s="598"/>
      <c r="I29" s="185"/>
      <c r="J29" s="185"/>
      <c r="K29" s="186"/>
      <c r="L29" s="599"/>
      <c r="M29" s="185"/>
      <c r="N29" s="597"/>
      <c r="O29" s="597"/>
      <c r="P29" s="187"/>
      <c r="Q29" s="187"/>
      <c r="R29" s="184"/>
      <c r="S29" s="181"/>
      <c r="T29" s="598"/>
      <c r="U29" s="187"/>
      <c r="V29" s="187"/>
      <c r="W29" s="184"/>
      <c r="X29" s="181"/>
      <c r="Y29" s="598"/>
      <c r="Z29" s="187"/>
      <c r="AA29" s="187"/>
      <c r="AB29" s="184"/>
      <c r="AC29" s="181"/>
      <c r="AD29" s="598"/>
      <c r="AE29" s="187"/>
      <c r="AF29" s="187"/>
      <c r="AG29" s="184"/>
      <c r="AH29" s="181"/>
      <c r="AI29" s="598"/>
      <c r="AJ29" s="187"/>
      <c r="AK29" s="187"/>
      <c r="AL29" s="184"/>
      <c r="AM29" s="181"/>
      <c r="AN29" s="598"/>
      <c r="AO29" s="187"/>
      <c r="AP29" s="187"/>
      <c r="AQ29" s="184"/>
      <c r="AR29" s="181"/>
      <c r="AS29" s="598"/>
      <c r="AT29" s="187"/>
      <c r="AU29" s="187"/>
      <c r="AV29" s="184"/>
      <c r="AW29" s="181"/>
      <c r="AX29" s="598"/>
    </row>
    <row r="30" spans="2:50" ht="14.25" customHeight="1">
      <c r="B30" s="597"/>
      <c r="C30" s="179">
        <v>4</v>
      </c>
      <c r="D30" s="182"/>
      <c r="E30" s="179"/>
      <c r="F30" s="179"/>
      <c r="G30" s="184"/>
      <c r="H30" s="598"/>
      <c r="I30" s="185"/>
      <c r="J30" s="185"/>
      <c r="K30" s="186"/>
      <c r="L30" s="599"/>
      <c r="M30" s="185"/>
      <c r="N30" s="597"/>
      <c r="O30" s="597"/>
      <c r="P30" s="187"/>
      <c r="Q30" s="187"/>
      <c r="R30" s="184"/>
      <c r="S30" s="181"/>
      <c r="T30" s="598"/>
      <c r="U30" s="187"/>
      <c r="V30" s="187"/>
      <c r="W30" s="184"/>
      <c r="X30" s="181"/>
      <c r="Y30" s="598"/>
      <c r="Z30" s="187"/>
      <c r="AA30" s="187"/>
      <c r="AB30" s="184"/>
      <c r="AC30" s="181"/>
      <c r="AD30" s="598"/>
      <c r="AE30" s="187"/>
      <c r="AF30" s="187"/>
      <c r="AG30" s="184"/>
      <c r="AH30" s="181"/>
      <c r="AI30" s="598"/>
      <c r="AJ30" s="187"/>
      <c r="AK30" s="187"/>
      <c r="AL30" s="184"/>
      <c r="AM30" s="181"/>
      <c r="AN30" s="598"/>
      <c r="AO30" s="187"/>
      <c r="AP30" s="187"/>
      <c r="AQ30" s="184"/>
      <c r="AR30" s="181"/>
      <c r="AS30" s="598"/>
      <c r="AT30" s="187"/>
      <c r="AU30" s="187"/>
      <c r="AV30" s="184"/>
      <c r="AW30" s="181"/>
      <c r="AX30" s="598"/>
    </row>
    <row r="31" spans="2:50" ht="14.25" customHeight="1">
      <c r="B31" s="597"/>
      <c r="C31" s="179">
        <v>5</v>
      </c>
      <c r="D31" s="182"/>
      <c r="E31" s="179"/>
      <c r="F31" s="179"/>
      <c r="G31" s="184"/>
      <c r="H31" s="598"/>
      <c r="I31" s="185"/>
      <c r="J31" s="185"/>
      <c r="K31" s="186"/>
      <c r="L31" s="599"/>
      <c r="M31" s="185"/>
      <c r="N31" s="597"/>
      <c r="O31" s="597"/>
      <c r="P31" s="187"/>
      <c r="Q31" s="187"/>
      <c r="R31" s="184"/>
      <c r="S31" s="181"/>
      <c r="T31" s="598"/>
      <c r="U31" s="187"/>
      <c r="V31" s="187"/>
      <c r="W31" s="184"/>
      <c r="X31" s="181"/>
      <c r="Y31" s="598"/>
      <c r="Z31" s="187"/>
      <c r="AA31" s="187"/>
      <c r="AB31" s="184"/>
      <c r="AC31" s="181"/>
      <c r="AD31" s="598"/>
      <c r="AE31" s="187"/>
      <c r="AF31" s="187"/>
      <c r="AG31" s="184"/>
      <c r="AH31" s="181"/>
      <c r="AI31" s="598"/>
      <c r="AJ31" s="187"/>
      <c r="AK31" s="187"/>
      <c r="AL31" s="184"/>
      <c r="AM31" s="181"/>
      <c r="AN31" s="598"/>
      <c r="AO31" s="187"/>
      <c r="AP31" s="187"/>
      <c r="AQ31" s="184"/>
      <c r="AR31" s="181"/>
      <c r="AS31" s="598"/>
      <c r="AT31" s="187"/>
      <c r="AU31" s="187"/>
      <c r="AV31" s="184"/>
      <c r="AW31" s="181"/>
      <c r="AX31" s="598"/>
    </row>
    <row r="32" spans="2:50" ht="14.25" customHeight="1">
      <c r="B32" s="597"/>
      <c r="C32" s="179">
        <v>6</v>
      </c>
      <c r="D32" s="182"/>
      <c r="E32" s="179"/>
      <c r="F32" s="179"/>
      <c r="G32" s="184"/>
      <c r="H32" s="598"/>
      <c r="I32" s="185"/>
      <c r="J32" s="185"/>
      <c r="K32" s="186"/>
      <c r="L32" s="599"/>
      <c r="M32" s="185"/>
      <c r="N32" s="597"/>
      <c r="O32" s="597"/>
      <c r="P32" s="187"/>
      <c r="Q32" s="187"/>
      <c r="R32" s="184"/>
      <c r="S32" s="181"/>
      <c r="T32" s="598"/>
      <c r="U32" s="187"/>
      <c r="V32" s="187"/>
      <c r="W32" s="184"/>
      <c r="X32" s="181"/>
      <c r="Y32" s="598"/>
      <c r="Z32" s="187"/>
      <c r="AA32" s="187"/>
      <c r="AB32" s="184"/>
      <c r="AC32" s="181"/>
      <c r="AD32" s="598"/>
      <c r="AE32" s="187"/>
      <c r="AF32" s="187"/>
      <c r="AG32" s="184"/>
      <c r="AH32" s="181"/>
      <c r="AI32" s="598"/>
      <c r="AJ32" s="187"/>
      <c r="AK32" s="187"/>
      <c r="AL32" s="184"/>
      <c r="AM32" s="181"/>
      <c r="AN32" s="598"/>
      <c r="AO32" s="187"/>
      <c r="AP32" s="187"/>
      <c r="AQ32" s="184"/>
      <c r="AR32" s="181"/>
      <c r="AS32" s="598"/>
      <c r="AT32" s="187"/>
      <c r="AU32" s="187"/>
      <c r="AV32" s="184"/>
      <c r="AW32" s="181"/>
      <c r="AX32" s="598"/>
    </row>
    <row r="33" spans="2:50" ht="14.25" customHeight="1">
      <c r="B33" s="597"/>
      <c r="C33" s="179">
        <v>7</v>
      </c>
      <c r="D33" s="182"/>
      <c r="E33" s="179"/>
      <c r="F33" s="179"/>
      <c r="G33" s="184"/>
      <c r="H33" s="598"/>
      <c r="I33" s="185"/>
      <c r="J33" s="185"/>
      <c r="K33" s="186"/>
      <c r="L33" s="599"/>
      <c r="M33" s="185"/>
      <c r="N33" s="597"/>
      <c r="O33" s="597"/>
      <c r="P33" s="187"/>
      <c r="Q33" s="187"/>
      <c r="R33" s="184"/>
      <c r="S33" s="181"/>
      <c r="T33" s="598"/>
      <c r="U33" s="187"/>
      <c r="V33" s="187"/>
      <c r="W33" s="184"/>
      <c r="X33" s="181"/>
      <c r="Y33" s="598"/>
      <c r="Z33" s="187"/>
      <c r="AA33" s="187"/>
      <c r="AB33" s="184"/>
      <c r="AC33" s="181"/>
      <c r="AD33" s="598"/>
      <c r="AE33" s="187"/>
      <c r="AF33" s="187"/>
      <c r="AG33" s="184"/>
      <c r="AH33" s="181"/>
      <c r="AI33" s="598"/>
      <c r="AJ33" s="187"/>
      <c r="AK33" s="187"/>
      <c r="AL33" s="184"/>
      <c r="AM33" s="181"/>
      <c r="AN33" s="598"/>
      <c r="AO33" s="187"/>
      <c r="AP33" s="187"/>
      <c r="AQ33" s="184"/>
      <c r="AR33" s="181"/>
      <c r="AS33" s="598"/>
      <c r="AT33" s="187"/>
      <c r="AU33" s="187"/>
      <c r="AV33" s="184"/>
      <c r="AW33" s="181"/>
      <c r="AX33" s="598"/>
    </row>
    <row r="34" spans="2:50" ht="14.25" customHeight="1">
      <c r="B34" s="597"/>
      <c r="C34" s="179">
        <v>8</v>
      </c>
      <c r="D34" s="182"/>
      <c r="E34" s="179"/>
      <c r="F34" s="179"/>
      <c r="G34" s="184"/>
      <c r="H34" s="598"/>
      <c r="I34" s="185"/>
      <c r="J34" s="185"/>
      <c r="K34" s="186"/>
      <c r="L34" s="599"/>
      <c r="M34" s="185"/>
      <c r="N34" s="597"/>
      <c r="O34" s="597"/>
      <c r="P34" s="187"/>
      <c r="Q34" s="187"/>
      <c r="R34" s="184"/>
      <c r="S34" s="181"/>
      <c r="T34" s="598"/>
      <c r="U34" s="187"/>
      <c r="V34" s="187"/>
      <c r="W34" s="184"/>
      <c r="X34" s="181"/>
      <c r="Y34" s="598"/>
      <c r="Z34" s="187"/>
      <c r="AA34" s="187"/>
      <c r="AB34" s="184"/>
      <c r="AC34" s="181"/>
      <c r="AD34" s="598"/>
      <c r="AE34" s="187"/>
      <c r="AF34" s="187"/>
      <c r="AG34" s="184"/>
      <c r="AH34" s="181"/>
      <c r="AI34" s="598"/>
      <c r="AJ34" s="187"/>
      <c r="AK34" s="187"/>
      <c r="AL34" s="184"/>
      <c r="AM34" s="181"/>
      <c r="AN34" s="598"/>
      <c r="AO34" s="187"/>
      <c r="AP34" s="187"/>
      <c r="AQ34" s="184"/>
      <c r="AR34" s="181"/>
      <c r="AS34" s="598"/>
      <c r="AT34" s="187"/>
      <c r="AU34" s="187"/>
      <c r="AV34" s="184"/>
      <c r="AW34" s="181"/>
      <c r="AX34" s="598"/>
    </row>
    <row r="35" spans="2:50" ht="14.25" customHeight="1">
      <c r="B35" s="597"/>
      <c r="C35" s="179">
        <v>9</v>
      </c>
      <c r="D35" s="182"/>
      <c r="E35" s="179"/>
      <c r="F35" s="179"/>
      <c r="G35" s="184"/>
      <c r="H35" s="598"/>
      <c r="I35" s="185"/>
      <c r="J35" s="185"/>
      <c r="K35" s="186"/>
      <c r="L35" s="599"/>
      <c r="M35" s="185"/>
      <c r="N35" s="597"/>
      <c r="O35" s="597"/>
      <c r="P35" s="187"/>
      <c r="Q35" s="187"/>
      <c r="R35" s="184"/>
      <c r="S35" s="181"/>
      <c r="T35" s="598"/>
      <c r="U35" s="187"/>
      <c r="V35" s="187"/>
      <c r="W35" s="184"/>
      <c r="X35" s="181"/>
      <c r="Y35" s="598"/>
      <c r="Z35" s="187"/>
      <c r="AA35" s="187"/>
      <c r="AB35" s="184"/>
      <c r="AC35" s="181"/>
      <c r="AD35" s="598"/>
      <c r="AE35" s="187"/>
      <c r="AF35" s="187"/>
      <c r="AG35" s="184"/>
      <c r="AH35" s="181"/>
      <c r="AI35" s="598"/>
      <c r="AJ35" s="187"/>
      <c r="AK35" s="187"/>
      <c r="AL35" s="184"/>
      <c r="AM35" s="181"/>
      <c r="AN35" s="598"/>
      <c r="AO35" s="187"/>
      <c r="AP35" s="187"/>
      <c r="AQ35" s="184"/>
      <c r="AR35" s="181"/>
      <c r="AS35" s="598"/>
      <c r="AT35" s="187"/>
      <c r="AU35" s="187"/>
      <c r="AV35" s="184"/>
      <c r="AW35" s="181"/>
      <c r="AX35" s="598"/>
    </row>
    <row r="36" spans="2:50" ht="14.25" customHeight="1">
      <c r="B36" s="597"/>
      <c r="C36" s="179">
        <v>10</v>
      </c>
      <c r="D36" s="182"/>
      <c r="E36" s="179"/>
      <c r="F36" s="179"/>
      <c r="G36" s="184"/>
      <c r="H36" s="598"/>
      <c r="I36" s="185"/>
      <c r="J36" s="185"/>
      <c r="K36" s="186"/>
      <c r="L36" s="599"/>
      <c r="M36" s="185"/>
      <c r="N36" s="597"/>
      <c r="O36" s="597"/>
      <c r="P36" s="187"/>
      <c r="Q36" s="187"/>
      <c r="R36" s="184"/>
      <c r="S36" s="181"/>
      <c r="T36" s="598"/>
      <c r="U36" s="187"/>
      <c r="V36" s="187"/>
      <c r="W36" s="184"/>
      <c r="X36" s="181"/>
      <c r="Y36" s="598"/>
      <c r="Z36" s="187"/>
      <c r="AA36" s="187"/>
      <c r="AB36" s="184"/>
      <c r="AC36" s="181"/>
      <c r="AD36" s="598"/>
      <c r="AE36" s="187"/>
      <c r="AF36" s="187"/>
      <c r="AG36" s="184"/>
      <c r="AH36" s="181"/>
      <c r="AI36" s="598"/>
      <c r="AJ36" s="187"/>
      <c r="AK36" s="187"/>
      <c r="AL36" s="184"/>
      <c r="AM36" s="181"/>
      <c r="AN36" s="598"/>
      <c r="AO36" s="187"/>
      <c r="AP36" s="187"/>
      <c r="AQ36" s="184"/>
      <c r="AR36" s="181"/>
      <c r="AS36" s="598"/>
      <c r="AT36" s="187"/>
      <c r="AU36" s="187"/>
      <c r="AV36" s="184"/>
      <c r="AW36" s="181"/>
      <c r="AX36" s="598"/>
    </row>
    <row r="37" spans="2:50" ht="14.25" customHeight="1">
      <c r="B37" s="597"/>
      <c r="C37" s="179">
        <v>11</v>
      </c>
      <c r="D37" s="182"/>
      <c r="E37" s="179"/>
      <c r="F37" s="179"/>
      <c r="G37" s="184"/>
      <c r="H37" s="598"/>
      <c r="I37" s="185"/>
      <c r="J37" s="185"/>
      <c r="K37" s="186"/>
      <c r="L37" s="599"/>
      <c r="M37" s="185"/>
      <c r="N37" s="597"/>
      <c r="O37" s="597"/>
      <c r="P37" s="187"/>
      <c r="Q37" s="187"/>
      <c r="R37" s="184"/>
      <c r="S37" s="181"/>
      <c r="T37" s="598"/>
      <c r="U37" s="187"/>
      <c r="V37" s="187"/>
      <c r="W37" s="184"/>
      <c r="X37" s="181"/>
      <c r="Y37" s="598"/>
      <c r="Z37" s="187"/>
      <c r="AA37" s="187"/>
      <c r="AB37" s="184"/>
      <c r="AC37" s="181"/>
      <c r="AD37" s="598"/>
      <c r="AE37" s="187"/>
      <c r="AF37" s="187"/>
      <c r="AG37" s="184"/>
      <c r="AH37" s="181"/>
      <c r="AI37" s="598"/>
      <c r="AJ37" s="187"/>
      <c r="AK37" s="187"/>
      <c r="AL37" s="184"/>
      <c r="AM37" s="181"/>
      <c r="AN37" s="598"/>
      <c r="AO37" s="187"/>
      <c r="AP37" s="187"/>
      <c r="AQ37" s="184"/>
      <c r="AR37" s="181"/>
      <c r="AS37" s="598"/>
      <c r="AT37" s="187"/>
      <c r="AU37" s="187"/>
      <c r="AV37" s="184"/>
      <c r="AW37" s="181"/>
      <c r="AX37" s="598"/>
    </row>
    <row r="38" spans="2:50" ht="14.25" customHeight="1">
      <c r="B38" s="597"/>
      <c r="C38" s="179">
        <v>12</v>
      </c>
      <c r="D38" s="182"/>
      <c r="E38" s="179"/>
      <c r="F38" s="179"/>
      <c r="G38" s="184"/>
      <c r="H38" s="598"/>
      <c r="I38" s="185"/>
      <c r="J38" s="185"/>
      <c r="K38" s="186"/>
      <c r="L38" s="599"/>
      <c r="M38" s="185"/>
      <c r="N38" s="597"/>
      <c r="O38" s="597"/>
      <c r="P38" s="187"/>
      <c r="Q38" s="187"/>
      <c r="R38" s="184"/>
      <c r="S38" s="181"/>
      <c r="T38" s="598"/>
      <c r="U38" s="187"/>
      <c r="V38" s="187"/>
      <c r="W38" s="184"/>
      <c r="X38" s="181"/>
      <c r="Y38" s="598"/>
      <c r="Z38" s="187"/>
      <c r="AA38" s="187"/>
      <c r="AB38" s="184"/>
      <c r="AC38" s="181"/>
      <c r="AD38" s="598"/>
      <c r="AE38" s="187"/>
      <c r="AF38" s="187"/>
      <c r="AG38" s="184"/>
      <c r="AH38" s="181"/>
      <c r="AI38" s="598"/>
      <c r="AJ38" s="187"/>
      <c r="AK38" s="187"/>
      <c r="AL38" s="184"/>
      <c r="AM38" s="181"/>
      <c r="AN38" s="598"/>
      <c r="AO38" s="187"/>
      <c r="AP38" s="187"/>
      <c r="AQ38" s="184"/>
      <c r="AR38" s="181"/>
      <c r="AS38" s="598"/>
      <c r="AT38" s="187"/>
      <c r="AU38" s="187"/>
      <c r="AV38" s="184"/>
      <c r="AW38" s="181"/>
      <c r="AX38" s="598"/>
    </row>
    <row r="39" spans="2:50" ht="14.25" customHeight="1">
      <c r="B39" s="597"/>
      <c r="C39" s="179">
        <v>13</v>
      </c>
      <c r="D39" s="182"/>
      <c r="E39" s="179"/>
      <c r="F39" s="179"/>
      <c r="G39" s="184"/>
      <c r="H39" s="598"/>
      <c r="I39" s="185"/>
      <c r="J39" s="185"/>
      <c r="K39" s="186"/>
      <c r="L39" s="599"/>
      <c r="M39" s="185"/>
      <c r="N39" s="597"/>
      <c r="O39" s="597"/>
      <c r="P39" s="187"/>
      <c r="Q39" s="187"/>
      <c r="R39" s="184"/>
      <c r="S39" s="181"/>
      <c r="T39" s="598"/>
      <c r="U39" s="187"/>
      <c r="V39" s="187"/>
      <c r="W39" s="184"/>
      <c r="X39" s="181"/>
      <c r="Y39" s="598"/>
      <c r="Z39" s="187"/>
      <c r="AA39" s="187"/>
      <c r="AB39" s="184"/>
      <c r="AC39" s="181"/>
      <c r="AD39" s="598"/>
      <c r="AE39" s="187"/>
      <c r="AF39" s="187"/>
      <c r="AG39" s="184"/>
      <c r="AH39" s="181"/>
      <c r="AI39" s="598"/>
      <c r="AJ39" s="187"/>
      <c r="AK39" s="187"/>
      <c r="AL39" s="184"/>
      <c r="AM39" s="181"/>
      <c r="AN39" s="598"/>
      <c r="AO39" s="187"/>
      <c r="AP39" s="187"/>
      <c r="AQ39" s="184"/>
      <c r="AR39" s="181"/>
      <c r="AS39" s="598"/>
      <c r="AT39" s="187"/>
      <c r="AU39" s="187"/>
      <c r="AV39" s="184"/>
      <c r="AW39" s="181"/>
      <c r="AX39" s="598"/>
    </row>
    <row r="40" spans="2:50" ht="14.25" customHeight="1">
      <c r="B40" s="597"/>
      <c r="C40" s="179">
        <v>14</v>
      </c>
      <c r="D40" s="182"/>
      <c r="E40" s="179"/>
      <c r="F40" s="179"/>
      <c r="G40" s="184"/>
      <c r="H40" s="598"/>
      <c r="I40" s="185"/>
      <c r="J40" s="185"/>
      <c r="K40" s="186"/>
      <c r="L40" s="599"/>
      <c r="M40" s="185"/>
      <c r="N40" s="597"/>
      <c r="O40" s="597"/>
      <c r="P40" s="187"/>
      <c r="Q40" s="187"/>
      <c r="R40" s="184"/>
      <c r="S40" s="181"/>
      <c r="T40" s="598"/>
      <c r="U40" s="187"/>
      <c r="V40" s="187"/>
      <c r="W40" s="184"/>
      <c r="X40" s="181"/>
      <c r="Y40" s="598"/>
      <c r="Z40" s="187"/>
      <c r="AA40" s="187"/>
      <c r="AB40" s="184"/>
      <c r="AC40" s="181"/>
      <c r="AD40" s="598"/>
      <c r="AE40" s="187"/>
      <c r="AF40" s="187"/>
      <c r="AG40" s="184"/>
      <c r="AH40" s="181"/>
      <c r="AI40" s="598"/>
      <c r="AJ40" s="187"/>
      <c r="AK40" s="187"/>
      <c r="AL40" s="184"/>
      <c r="AM40" s="181"/>
      <c r="AN40" s="598"/>
      <c r="AO40" s="187"/>
      <c r="AP40" s="187"/>
      <c r="AQ40" s="184"/>
      <c r="AR40" s="181"/>
      <c r="AS40" s="598"/>
      <c r="AT40" s="187"/>
      <c r="AU40" s="187"/>
      <c r="AV40" s="184"/>
      <c r="AW40" s="181"/>
      <c r="AX40" s="598"/>
    </row>
    <row r="41" spans="2:50" ht="14.25" customHeight="1">
      <c r="B41" s="597"/>
      <c r="C41" s="179">
        <v>15</v>
      </c>
      <c r="D41" s="182"/>
      <c r="E41" s="179"/>
      <c r="F41" s="179"/>
      <c r="G41" s="184"/>
      <c r="H41" s="598"/>
      <c r="I41" s="185"/>
      <c r="J41" s="185"/>
      <c r="K41" s="186"/>
      <c r="L41" s="599"/>
      <c r="M41" s="185"/>
      <c r="N41" s="597"/>
      <c r="O41" s="597"/>
      <c r="P41" s="187"/>
      <c r="Q41" s="187"/>
      <c r="R41" s="184"/>
      <c r="S41" s="181"/>
      <c r="T41" s="598"/>
      <c r="U41" s="187"/>
      <c r="V41" s="187"/>
      <c r="W41" s="184"/>
      <c r="X41" s="181"/>
      <c r="Y41" s="598"/>
      <c r="Z41" s="187"/>
      <c r="AA41" s="187"/>
      <c r="AB41" s="184"/>
      <c r="AC41" s="181"/>
      <c r="AD41" s="598"/>
      <c r="AE41" s="187"/>
      <c r="AF41" s="187"/>
      <c r="AG41" s="184"/>
      <c r="AH41" s="181"/>
      <c r="AI41" s="598"/>
      <c r="AJ41" s="187"/>
      <c r="AK41" s="187"/>
      <c r="AL41" s="184"/>
      <c r="AM41" s="181"/>
      <c r="AN41" s="598"/>
      <c r="AO41" s="187"/>
      <c r="AP41" s="187"/>
      <c r="AQ41" s="184"/>
      <c r="AR41" s="181"/>
      <c r="AS41" s="598"/>
      <c r="AT41" s="187"/>
      <c r="AU41" s="187"/>
      <c r="AV41" s="184"/>
      <c r="AW41" s="181"/>
      <c r="AX41" s="598"/>
    </row>
    <row r="42" spans="2:50" ht="14.25" customHeight="1">
      <c r="B42" s="625" t="s">
        <v>825</v>
      </c>
      <c r="C42" s="631"/>
      <c r="D42" s="631"/>
      <c r="E42" s="631"/>
      <c r="F42" s="631"/>
      <c r="G42" s="631"/>
      <c r="H42" s="631"/>
      <c r="I42" s="631"/>
      <c r="J42" s="631"/>
      <c r="K42" s="631"/>
      <c r="L42" s="631"/>
      <c r="M42" s="632"/>
      <c r="N42" s="629" t="s">
        <v>363</v>
      </c>
      <c r="O42" s="629" t="s">
        <v>105</v>
      </c>
      <c r="P42" s="617">
        <v>46217</v>
      </c>
      <c r="Q42" s="618"/>
      <c r="R42" s="618"/>
      <c r="S42" s="618"/>
      <c r="T42" s="618"/>
      <c r="U42" s="619">
        <v>46218</v>
      </c>
      <c r="V42" s="620"/>
      <c r="W42" s="620"/>
      <c r="X42" s="620"/>
      <c r="Y42" s="620"/>
      <c r="Z42" s="617">
        <v>46219</v>
      </c>
      <c r="AA42" s="618"/>
      <c r="AB42" s="618"/>
      <c r="AC42" s="618"/>
      <c r="AD42" s="618"/>
      <c r="AE42" s="619">
        <v>46220</v>
      </c>
      <c r="AF42" s="620"/>
      <c r="AG42" s="620"/>
      <c r="AH42" s="620"/>
      <c r="AI42" s="620"/>
      <c r="AJ42" s="602">
        <v>46221</v>
      </c>
      <c r="AK42" s="603"/>
      <c r="AL42" s="603"/>
      <c r="AM42" s="603"/>
      <c r="AN42" s="604"/>
      <c r="AO42" s="619">
        <v>46222</v>
      </c>
      <c r="AP42" s="620"/>
      <c r="AQ42" s="620"/>
      <c r="AR42" s="620"/>
      <c r="AS42" s="620"/>
      <c r="AT42" s="602">
        <v>46223</v>
      </c>
      <c r="AU42" s="603"/>
      <c r="AV42" s="603"/>
      <c r="AW42" s="603"/>
      <c r="AX42" s="604"/>
    </row>
    <row r="43" spans="2:50" ht="14.25" customHeight="1">
      <c r="B43" s="633"/>
      <c r="C43" s="633"/>
      <c r="D43" s="633"/>
      <c r="E43" s="633"/>
      <c r="F43" s="633"/>
      <c r="G43" s="633"/>
      <c r="H43" s="633"/>
      <c r="I43" s="633"/>
      <c r="J43" s="633"/>
      <c r="K43" s="633"/>
      <c r="L43" s="633"/>
      <c r="M43" s="634"/>
      <c r="N43" s="630"/>
      <c r="O43" s="630"/>
      <c r="P43" s="605">
        <v>46196</v>
      </c>
      <c r="Q43" s="605"/>
      <c r="R43" s="605"/>
      <c r="S43" s="605"/>
      <c r="T43" s="605"/>
      <c r="U43" s="606">
        <v>46197</v>
      </c>
      <c r="V43" s="606"/>
      <c r="W43" s="606"/>
      <c r="X43" s="606"/>
      <c r="Y43" s="606"/>
      <c r="Z43" s="605">
        <v>46198</v>
      </c>
      <c r="AA43" s="605"/>
      <c r="AB43" s="605"/>
      <c r="AC43" s="605"/>
      <c r="AD43" s="605"/>
      <c r="AE43" s="606">
        <v>46199</v>
      </c>
      <c r="AF43" s="606"/>
      <c r="AG43" s="606"/>
      <c r="AH43" s="606"/>
      <c r="AI43" s="606"/>
      <c r="AJ43" s="607">
        <v>46200</v>
      </c>
      <c r="AK43" s="608"/>
      <c r="AL43" s="608"/>
      <c r="AM43" s="608"/>
      <c r="AN43" s="609"/>
      <c r="AO43" s="606">
        <v>46201</v>
      </c>
      <c r="AP43" s="606"/>
      <c r="AQ43" s="606"/>
      <c r="AR43" s="606"/>
      <c r="AS43" s="606"/>
      <c r="AT43" s="607">
        <v>46202</v>
      </c>
      <c r="AU43" s="608"/>
      <c r="AV43" s="608"/>
      <c r="AW43" s="608"/>
      <c r="AX43" s="609"/>
    </row>
    <row r="44" spans="2:50" ht="14.25" customHeight="1">
      <c r="B44" s="597" t="s">
        <v>162</v>
      </c>
      <c r="C44" s="597" t="s">
        <v>157</v>
      </c>
      <c r="D44" s="597"/>
      <c r="E44" s="597" t="s">
        <v>158</v>
      </c>
      <c r="F44" s="597"/>
      <c r="G44" s="597"/>
      <c r="H44" s="597" t="s">
        <v>163</v>
      </c>
      <c r="I44" s="601" t="s">
        <v>364</v>
      </c>
      <c r="J44" s="601"/>
      <c r="K44" s="601"/>
      <c r="L44" s="601" t="s">
        <v>163</v>
      </c>
      <c r="M44" s="601" t="s">
        <v>165</v>
      </c>
      <c r="N44" s="597"/>
      <c r="O44" s="597" t="s">
        <v>164</v>
      </c>
      <c r="P44" s="597" t="s">
        <v>160</v>
      </c>
      <c r="Q44" s="597"/>
      <c r="R44" s="597"/>
      <c r="S44" s="597"/>
      <c r="T44" s="597" t="s">
        <v>163</v>
      </c>
      <c r="U44" s="597" t="s">
        <v>160</v>
      </c>
      <c r="V44" s="597"/>
      <c r="W44" s="597"/>
      <c r="X44" s="597"/>
      <c r="Y44" s="597" t="s">
        <v>163</v>
      </c>
      <c r="Z44" s="597" t="s">
        <v>160</v>
      </c>
      <c r="AA44" s="597"/>
      <c r="AB44" s="597"/>
      <c r="AC44" s="597"/>
      <c r="AD44" s="597" t="s">
        <v>163</v>
      </c>
      <c r="AE44" s="597" t="s">
        <v>160</v>
      </c>
      <c r="AF44" s="597"/>
      <c r="AG44" s="597"/>
      <c r="AH44" s="597"/>
      <c r="AI44" s="597" t="s">
        <v>163</v>
      </c>
      <c r="AJ44" s="597" t="s">
        <v>160</v>
      </c>
      <c r="AK44" s="597"/>
      <c r="AL44" s="597"/>
      <c r="AM44" s="597"/>
      <c r="AN44" s="597" t="s">
        <v>163</v>
      </c>
      <c r="AO44" s="597" t="s">
        <v>160</v>
      </c>
      <c r="AP44" s="597"/>
      <c r="AQ44" s="597"/>
      <c r="AR44" s="597"/>
      <c r="AS44" s="597" t="s">
        <v>163</v>
      </c>
      <c r="AT44" s="597" t="s">
        <v>160</v>
      </c>
      <c r="AU44" s="597"/>
      <c r="AV44" s="597"/>
      <c r="AW44" s="597"/>
      <c r="AX44" s="597" t="s">
        <v>163</v>
      </c>
    </row>
    <row r="45" spans="2:50" ht="14.25" customHeight="1">
      <c r="B45" s="597"/>
      <c r="C45" s="597"/>
      <c r="D45" s="597"/>
      <c r="E45" s="597" t="s">
        <v>365</v>
      </c>
      <c r="F45" s="597"/>
      <c r="G45" s="597"/>
      <c r="H45" s="597"/>
      <c r="I45" s="601" t="s">
        <v>365</v>
      </c>
      <c r="J45" s="601"/>
      <c r="K45" s="601"/>
      <c r="L45" s="601"/>
      <c r="M45" s="601"/>
      <c r="N45" s="597"/>
      <c r="O45" s="597"/>
      <c r="P45" s="597" t="s">
        <v>366</v>
      </c>
      <c r="Q45" s="597"/>
      <c r="R45" s="597"/>
      <c r="S45" s="597"/>
      <c r="T45" s="597"/>
      <c r="U45" s="597" t="s">
        <v>366</v>
      </c>
      <c r="V45" s="597"/>
      <c r="W45" s="597"/>
      <c r="X45" s="597"/>
      <c r="Y45" s="597"/>
      <c r="Z45" s="597" t="s">
        <v>366</v>
      </c>
      <c r="AA45" s="597"/>
      <c r="AB45" s="597"/>
      <c r="AC45" s="597"/>
      <c r="AD45" s="597"/>
      <c r="AE45" s="597" t="s">
        <v>366</v>
      </c>
      <c r="AF45" s="597"/>
      <c r="AG45" s="597"/>
      <c r="AH45" s="597"/>
      <c r="AI45" s="597"/>
      <c r="AJ45" s="597" t="s">
        <v>366</v>
      </c>
      <c r="AK45" s="597"/>
      <c r="AL45" s="597"/>
      <c r="AM45" s="597"/>
      <c r="AN45" s="597"/>
      <c r="AO45" s="597" t="s">
        <v>366</v>
      </c>
      <c r="AP45" s="597"/>
      <c r="AQ45" s="597"/>
      <c r="AR45" s="597"/>
      <c r="AS45" s="597"/>
      <c r="AT45" s="597" t="s">
        <v>366</v>
      </c>
      <c r="AU45" s="597"/>
      <c r="AV45" s="597"/>
      <c r="AW45" s="597"/>
      <c r="AX45" s="597"/>
    </row>
    <row r="46" spans="2:50" ht="14.25" customHeight="1">
      <c r="B46" s="597"/>
      <c r="C46" s="597"/>
      <c r="D46" s="597"/>
      <c r="E46" s="179" t="s">
        <v>159</v>
      </c>
      <c r="F46" s="179" t="s">
        <v>367</v>
      </c>
      <c r="G46" s="179" t="s">
        <v>161</v>
      </c>
      <c r="H46" s="597"/>
      <c r="I46" s="180" t="s">
        <v>159</v>
      </c>
      <c r="J46" s="180" t="s">
        <v>367</v>
      </c>
      <c r="K46" s="180" t="s">
        <v>161</v>
      </c>
      <c r="L46" s="601"/>
      <c r="M46" s="601"/>
      <c r="N46" s="597"/>
      <c r="O46" s="597"/>
      <c r="P46" s="179" t="s">
        <v>159</v>
      </c>
      <c r="Q46" s="179" t="s">
        <v>367</v>
      </c>
      <c r="R46" s="179" t="s">
        <v>161</v>
      </c>
      <c r="S46" s="181" t="s">
        <v>165</v>
      </c>
      <c r="T46" s="597"/>
      <c r="U46" s="179" t="s">
        <v>159</v>
      </c>
      <c r="V46" s="179" t="s">
        <v>367</v>
      </c>
      <c r="W46" s="179" t="s">
        <v>161</v>
      </c>
      <c r="X46" s="181" t="s">
        <v>165</v>
      </c>
      <c r="Y46" s="597"/>
      <c r="Z46" s="179" t="s">
        <v>159</v>
      </c>
      <c r="AA46" s="179" t="s">
        <v>367</v>
      </c>
      <c r="AB46" s="179" t="s">
        <v>161</v>
      </c>
      <c r="AC46" s="181" t="s">
        <v>165</v>
      </c>
      <c r="AD46" s="597"/>
      <c r="AE46" s="179" t="s">
        <v>159</v>
      </c>
      <c r="AF46" s="179" t="s">
        <v>367</v>
      </c>
      <c r="AG46" s="179" t="s">
        <v>161</v>
      </c>
      <c r="AH46" s="181" t="s">
        <v>165</v>
      </c>
      <c r="AI46" s="597"/>
      <c r="AJ46" s="179" t="s">
        <v>159</v>
      </c>
      <c r="AK46" s="179" t="s">
        <v>367</v>
      </c>
      <c r="AL46" s="179" t="s">
        <v>161</v>
      </c>
      <c r="AM46" s="181" t="s">
        <v>165</v>
      </c>
      <c r="AN46" s="597"/>
      <c r="AO46" s="179" t="s">
        <v>159</v>
      </c>
      <c r="AP46" s="179" t="s">
        <v>367</v>
      </c>
      <c r="AQ46" s="179" t="s">
        <v>161</v>
      </c>
      <c r="AR46" s="181" t="s">
        <v>165</v>
      </c>
      <c r="AS46" s="597"/>
      <c r="AT46" s="179" t="s">
        <v>159</v>
      </c>
      <c r="AU46" s="179" t="s">
        <v>367</v>
      </c>
      <c r="AV46" s="179" t="s">
        <v>161</v>
      </c>
      <c r="AW46" s="181" t="s">
        <v>165</v>
      </c>
      <c r="AX46" s="597"/>
    </row>
    <row r="47" spans="2:50" ht="14.25" customHeight="1">
      <c r="B47" s="635" t="s">
        <v>425</v>
      </c>
      <c r="C47" s="179">
        <v>1</v>
      </c>
      <c r="D47" s="182" t="s">
        <v>347</v>
      </c>
      <c r="E47" s="183">
        <v>21</v>
      </c>
      <c r="F47" s="179">
        <v>2790</v>
      </c>
      <c r="G47" s="184">
        <f t="shared" ref="G47:G48" si="10">IFERROR(F47/E47,"")</f>
        <v>132.85714285714286</v>
      </c>
      <c r="H47" s="598">
        <f>AVERAGE(G47:G61)</f>
        <v>132.85714285714286</v>
      </c>
      <c r="I47" s="185">
        <f>AVERAGE(P47,U47,Z47,AE47,AJ47,AO47,AT47)</f>
        <v>21.571428571428573</v>
      </c>
      <c r="J47" s="185">
        <f>AVERAGE(Q47,V47,AA47,AF47,AK47,AP47,AU47)</f>
        <v>2568.1236263736259</v>
      </c>
      <c r="K47" s="186">
        <f>AVERAGE(R47,W47,AB47,AG47,AL47,AQ47,AV47)</f>
        <v>119.01864595032293</v>
      </c>
      <c r="L47" s="599">
        <f>IFERROR(AVERAGE(K47:K61),"-")</f>
        <v>115.96780199614047</v>
      </c>
      <c r="M47" s="185">
        <f>RANK(K47, K$47:$K$61)</f>
        <v>1</v>
      </c>
      <c r="N47" s="597"/>
      <c r="O47" s="597"/>
      <c r="P47" s="187">
        <v>23</v>
      </c>
      <c r="Q47" s="187">
        <v>2786.9038461538466</v>
      </c>
      <c r="R47" s="184">
        <f>IFERROR(Q47/P47,"")</f>
        <v>121.1697324414716</v>
      </c>
      <c r="S47" s="181">
        <f>RANK(R47, R$47:R$61)</f>
        <v>1</v>
      </c>
      <c r="T47" s="598">
        <f>AVERAGE(R47:R61)</f>
        <v>117.0433452417148</v>
      </c>
      <c r="U47" s="187">
        <v>21</v>
      </c>
      <c r="V47" s="187">
        <v>2484.1730769230762</v>
      </c>
      <c r="W47" s="184">
        <f t="shared" ref="W47:W48" si="11">IFERROR(V47/U47,"")</f>
        <v>118.29395604395602</v>
      </c>
      <c r="X47" s="181">
        <f>RANK(W47, W$47:W$61)</f>
        <v>1</v>
      </c>
      <c r="Y47" s="598">
        <f>AVERAGE(W47:W61)</f>
        <v>115.60545704295703</v>
      </c>
      <c r="Z47" s="187">
        <v>21</v>
      </c>
      <c r="AA47" s="187">
        <v>2484.1730769230762</v>
      </c>
      <c r="AB47" s="184">
        <f>IFERROR(AA47/Z47,"")</f>
        <v>118.29395604395602</v>
      </c>
      <c r="AC47" s="181">
        <f>RANK(AB47, AB$47:AB$61)</f>
        <v>1</v>
      </c>
      <c r="AD47" s="598">
        <f>AVERAGE(AB47:AB61)</f>
        <v>115.60545704295701</v>
      </c>
      <c r="AE47" s="187">
        <v>21</v>
      </c>
      <c r="AF47" s="187">
        <v>2484.1730769230762</v>
      </c>
      <c r="AG47" s="184">
        <f>IFERROR(AF47/AE47,"")</f>
        <v>118.29395604395602</v>
      </c>
      <c r="AH47" s="181">
        <f>RANK(AG47, AG$47:AG$61)</f>
        <v>1</v>
      </c>
      <c r="AI47" s="598">
        <f>AVERAGE(AG47:AG61)</f>
        <v>115.60545704295701</v>
      </c>
      <c r="AJ47" s="187">
        <v>21</v>
      </c>
      <c r="AK47" s="187">
        <v>2484.1730769230767</v>
      </c>
      <c r="AL47" s="184">
        <f>IFERROR(AK47/AJ47,"")</f>
        <v>118.29395604395603</v>
      </c>
      <c r="AM47" s="181">
        <f>RANK(AL47, AL$47:AL$61)</f>
        <v>1</v>
      </c>
      <c r="AN47" s="598">
        <f>AVERAGE(AL47:AL61)</f>
        <v>115.60545704295703</v>
      </c>
      <c r="AO47" s="187">
        <v>22</v>
      </c>
      <c r="AP47" s="187">
        <v>2626.6346153846152</v>
      </c>
      <c r="AQ47" s="184">
        <f>IFERROR(AP47/AO47,"")</f>
        <v>119.39248251748251</v>
      </c>
      <c r="AR47" s="181">
        <f>RANK(AQ47, AQ$47:AQ$61)</f>
        <v>1</v>
      </c>
      <c r="AS47" s="598">
        <f>AVERAGE(AQ47:AQ61)</f>
        <v>116.15472027972027</v>
      </c>
      <c r="AT47" s="187">
        <v>22</v>
      </c>
      <c r="AU47" s="187">
        <v>2626.6346153846152</v>
      </c>
      <c r="AV47" s="184">
        <f>IFERROR(AU47/AT47,"")</f>
        <v>119.39248251748251</v>
      </c>
      <c r="AW47" s="181">
        <f>RANK(AV47, AV$47:AV$61)</f>
        <v>1</v>
      </c>
      <c r="AX47" s="598">
        <f>AVERAGE(AV47:AV61)</f>
        <v>116.15472027972027</v>
      </c>
    </row>
    <row r="48" spans="2:50" ht="14.25" customHeight="1">
      <c r="B48" s="597"/>
      <c r="C48" s="179">
        <v>2</v>
      </c>
      <c r="D48" s="182" t="s">
        <v>774</v>
      </c>
      <c r="E48" s="179">
        <v>21</v>
      </c>
      <c r="F48" s="179">
        <v>2790</v>
      </c>
      <c r="G48" s="184">
        <f t="shared" si="10"/>
        <v>132.85714285714286</v>
      </c>
      <c r="H48" s="598"/>
      <c r="I48" s="185">
        <f t="shared" ref="I48:K48" si="12">AVERAGE(P48,U48,Z48,AE48,AJ48,AO48,AT48)</f>
        <v>22</v>
      </c>
      <c r="J48" s="185">
        <f t="shared" si="12"/>
        <v>2484.1730769230758</v>
      </c>
      <c r="K48" s="186">
        <f t="shared" si="12"/>
        <v>112.916958041958</v>
      </c>
      <c r="L48" s="599"/>
      <c r="M48" s="185">
        <f>RANK(K48, K$47:$K$61)</f>
        <v>2</v>
      </c>
      <c r="N48" s="597"/>
      <c r="O48" s="597"/>
      <c r="P48" s="187">
        <v>22</v>
      </c>
      <c r="Q48" s="187">
        <v>2484.1730769230762</v>
      </c>
      <c r="R48" s="184">
        <f t="shared" ref="R48" si="13">IFERROR(Q48/P48,"")</f>
        <v>112.91695804195801</v>
      </c>
      <c r="S48" s="181">
        <f>RANK(R48, R$47:R$61)</f>
        <v>2</v>
      </c>
      <c r="T48" s="598"/>
      <c r="U48" s="187">
        <v>22</v>
      </c>
      <c r="V48" s="187">
        <v>2484.1730769230767</v>
      </c>
      <c r="W48" s="184">
        <f t="shared" si="11"/>
        <v>112.91695804195803</v>
      </c>
      <c r="X48" s="181">
        <f>RANK(W48, W$47:W$61)</f>
        <v>2</v>
      </c>
      <c r="Y48" s="598"/>
      <c r="Z48" s="187">
        <v>22</v>
      </c>
      <c r="AA48" s="187">
        <v>2484.1730769230762</v>
      </c>
      <c r="AB48" s="184">
        <f t="shared" ref="AB48" si="14">IFERROR(AA48/Z48,"")</f>
        <v>112.91695804195801</v>
      </c>
      <c r="AC48" s="181">
        <f>RANK(AB48, AB$47:AB$61)</f>
        <v>2</v>
      </c>
      <c r="AD48" s="598"/>
      <c r="AE48" s="187">
        <v>22</v>
      </c>
      <c r="AF48" s="187">
        <v>2484.1730769230762</v>
      </c>
      <c r="AG48" s="184">
        <f t="shared" ref="AG48" si="15">IFERROR(AF48/AE48,"")</f>
        <v>112.91695804195801</v>
      </c>
      <c r="AH48" s="181">
        <f>RANK(AG48, AG$47:AG$61)</f>
        <v>2</v>
      </c>
      <c r="AI48" s="598"/>
      <c r="AJ48" s="187">
        <v>22</v>
      </c>
      <c r="AK48" s="187">
        <v>2484.1730769230762</v>
      </c>
      <c r="AL48" s="184">
        <f t="shared" ref="AL48" si="16">IFERROR(AK48/AJ48,"")</f>
        <v>112.91695804195801</v>
      </c>
      <c r="AM48" s="181">
        <f>RANK(AL48, AL$47:AL$61)</f>
        <v>2</v>
      </c>
      <c r="AN48" s="598"/>
      <c r="AO48" s="187">
        <v>22</v>
      </c>
      <c r="AP48" s="187">
        <v>2484.1730769230762</v>
      </c>
      <c r="AQ48" s="184">
        <f t="shared" ref="AQ48" si="17">IFERROR(AP48/AO48,"")</f>
        <v>112.91695804195801</v>
      </c>
      <c r="AR48" s="181">
        <f>RANK(AQ48, AQ$47:AQ$61)</f>
        <v>2</v>
      </c>
      <c r="AS48" s="598"/>
      <c r="AT48" s="187">
        <v>22</v>
      </c>
      <c r="AU48" s="187">
        <v>2484.1730769230762</v>
      </c>
      <c r="AV48" s="184">
        <f t="shared" ref="AV48" si="18">IFERROR(AU48/AT48,"")</f>
        <v>112.91695804195801</v>
      </c>
      <c r="AW48" s="181">
        <f>RANK(AV48, AV$47:AV$61)</f>
        <v>2</v>
      </c>
      <c r="AX48" s="598"/>
    </row>
    <row r="49" spans="2:50" ht="14.25" customHeight="1">
      <c r="B49" s="597"/>
      <c r="C49" s="179">
        <v>3</v>
      </c>
      <c r="D49" s="182"/>
      <c r="E49" s="179"/>
      <c r="F49" s="179"/>
      <c r="G49" s="184"/>
      <c r="H49" s="598"/>
      <c r="I49" s="185"/>
      <c r="J49" s="185"/>
      <c r="K49" s="186"/>
      <c r="L49" s="599"/>
      <c r="M49" s="185"/>
      <c r="N49" s="597"/>
      <c r="O49" s="597"/>
      <c r="P49" s="187"/>
      <c r="Q49" s="187"/>
      <c r="R49" s="184"/>
      <c r="S49" s="181"/>
      <c r="T49" s="598"/>
      <c r="U49" s="187"/>
      <c r="V49" s="187"/>
      <c r="W49" s="184"/>
      <c r="X49" s="181"/>
      <c r="Y49" s="598"/>
      <c r="Z49" s="187"/>
      <c r="AA49" s="187"/>
      <c r="AB49" s="184"/>
      <c r="AC49" s="181"/>
      <c r="AD49" s="598"/>
      <c r="AE49" s="187"/>
      <c r="AF49" s="187"/>
      <c r="AG49" s="184"/>
      <c r="AH49" s="181"/>
      <c r="AI49" s="598"/>
      <c r="AJ49" s="187"/>
      <c r="AK49" s="187"/>
      <c r="AL49" s="184"/>
      <c r="AM49" s="181"/>
      <c r="AN49" s="598"/>
      <c r="AO49" s="187"/>
      <c r="AP49" s="187"/>
      <c r="AQ49" s="184"/>
      <c r="AR49" s="181"/>
      <c r="AS49" s="598"/>
      <c r="AT49" s="187"/>
      <c r="AU49" s="187"/>
      <c r="AV49" s="184"/>
      <c r="AW49" s="181"/>
      <c r="AX49" s="598"/>
    </row>
    <row r="50" spans="2:50" ht="14.25" customHeight="1">
      <c r="B50" s="597"/>
      <c r="C50" s="179">
        <v>4</v>
      </c>
      <c r="D50" s="182"/>
      <c r="E50" s="179"/>
      <c r="F50" s="179"/>
      <c r="G50" s="184"/>
      <c r="H50" s="598"/>
      <c r="I50" s="185"/>
      <c r="J50" s="185"/>
      <c r="K50" s="186"/>
      <c r="L50" s="599"/>
      <c r="M50" s="185"/>
      <c r="N50" s="597"/>
      <c r="O50" s="597"/>
      <c r="P50" s="187"/>
      <c r="Q50" s="187"/>
      <c r="R50" s="184"/>
      <c r="S50" s="181"/>
      <c r="T50" s="598"/>
      <c r="U50" s="187"/>
      <c r="V50" s="187"/>
      <c r="W50" s="184"/>
      <c r="X50" s="181"/>
      <c r="Y50" s="598"/>
      <c r="Z50" s="187"/>
      <c r="AA50" s="187"/>
      <c r="AB50" s="184"/>
      <c r="AC50" s="181"/>
      <c r="AD50" s="598"/>
      <c r="AE50" s="187"/>
      <c r="AF50" s="187"/>
      <c r="AG50" s="184"/>
      <c r="AH50" s="181"/>
      <c r="AI50" s="598"/>
      <c r="AJ50" s="187"/>
      <c r="AK50" s="187"/>
      <c r="AL50" s="184"/>
      <c r="AM50" s="181"/>
      <c r="AN50" s="598"/>
      <c r="AO50" s="187"/>
      <c r="AP50" s="187"/>
      <c r="AQ50" s="184"/>
      <c r="AR50" s="181"/>
      <c r="AS50" s="598"/>
      <c r="AT50" s="187"/>
      <c r="AU50" s="187"/>
      <c r="AV50" s="184"/>
      <c r="AW50" s="181"/>
      <c r="AX50" s="598"/>
    </row>
    <row r="51" spans="2:50" ht="14.25" customHeight="1">
      <c r="B51" s="597"/>
      <c r="C51" s="179">
        <v>5</v>
      </c>
      <c r="D51" s="182"/>
      <c r="E51" s="179"/>
      <c r="F51" s="179"/>
      <c r="G51" s="184"/>
      <c r="H51" s="598"/>
      <c r="I51" s="185"/>
      <c r="J51" s="185"/>
      <c r="K51" s="186"/>
      <c r="L51" s="599"/>
      <c r="M51" s="185"/>
      <c r="N51" s="597"/>
      <c r="O51" s="597"/>
      <c r="P51" s="187"/>
      <c r="Q51" s="187"/>
      <c r="R51" s="184"/>
      <c r="S51" s="181"/>
      <c r="T51" s="598"/>
      <c r="U51" s="187"/>
      <c r="V51" s="187"/>
      <c r="W51" s="184"/>
      <c r="X51" s="181"/>
      <c r="Y51" s="598"/>
      <c r="Z51" s="187"/>
      <c r="AA51" s="187"/>
      <c r="AB51" s="184"/>
      <c r="AC51" s="181"/>
      <c r="AD51" s="598"/>
      <c r="AE51" s="187"/>
      <c r="AF51" s="187"/>
      <c r="AG51" s="184"/>
      <c r="AH51" s="181"/>
      <c r="AI51" s="598"/>
      <c r="AJ51" s="187"/>
      <c r="AK51" s="187"/>
      <c r="AL51" s="184"/>
      <c r="AM51" s="181"/>
      <c r="AN51" s="598"/>
      <c r="AO51" s="187"/>
      <c r="AP51" s="187"/>
      <c r="AQ51" s="184"/>
      <c r="AR51" s="181"/>
      <c r="AS51" s="598"/>
      <c r="AT51" s="187"/>
      <c r="AU51" s="187"/>
      <c r="AV51" s="184"/>
      <c r="AW51" s="181"/>
      <c r="AX51" s="598"/>
    </row>
    <row r="52" spans="2:50" ht="14.25" customHeight="1">
      <c r="B52" s="597"/>
      <c r="C52" s="179">
        <v>6</v>
      </c>
      <c r="D52" s="182"/>
      <c r="E52" s="179"/>
      <c r="F52" s="179"/>
      <c r="G52" s="184"/>
      <c r="H52" s="598"/>
      <c r="I52" s="185"/>
      <c r="J52" s="185"/>
      <c r="K52" s="186"/>
      <c r="L52" s="599"/>
      <c r="M52" s="185"/>
      <c r="N52" s="597"/>
      <c r="O52" s="597"/>
      <c r="P52" s="187"/>
      <c r="Q52" s="187"/>
      <c r="R52" s="184"/>
      <c r="S52" s="181"/>
      <c r="T52" s="598"/>
      <c r="U52" s="187"/>
      <c r="V52" s="187"/>
      <c r="W52" s="184"/>
      <c r="X52" s="181"/>
      <c r="Y52" s="598"/>
      <c r="Z52" s="187"/>
      <c r="AA52" s="187"/>
      <c r="AB52" s="184"/>
      <c r="AC52" s="181"/>
      <c r="AD52" s="598"/>
      <c r="AE52" s="187"/>
      <c r="AF52" s="187"/>
      <c r="AG52" s="184"/>
      <c r="AH52" s="181"/>
      <c r="AI52" s="598"/>
      <c r="AJ52" s="187"/>
      <c r="AK52" s="187"/>
      <c r="AL52" s="184"/>
      <c r="AM52" s="181"/>
      <c r="AN52" s="598"/>
      <c r="AO52" s="187"/>
      <c r="AP52" s="187"/>
      <c r="AQ52" s="184"/>
      <c r="AR52" s="181"/>
      <c r="AS52" s="598"/>
      <c r="AT52" s="187"/>
      <c r="AU52" s="187"/>
      <c r="AV52" s="184"/>
      <c r="AW52" s="181"/>
      <c r="AX52" s="598"/>
    </row>
    <row r="53" spans="2:50" ht="14.25" customHeight="1">
      <c r="B53" s="597"/>
      <c r="C53" s="179">
        <v>7</v>
      </c>
      <c r="D53" s="182"/>
      <c r="E53" s="179"/>
      <c r="F53" s="179"/>
      <c r="G53" s="184"/>
      <c r="H53" s="598"/>
      <c r="I53" s="185"/>
      <c r="J53" s="185"/>
      <c r="K53" s="186"/>
      <c r="L53" s="599"/>
      <c r="M53" s="185"/>
      <c r="N53" s="597"/>
      <c r="O53" s="597"/>
      <c r="P53" s="187"/>
      <c r="Q53" s="187"/>
      <c r="R53" s="184"/>
      <c r="S53" s="181"/>
      <c r="T53" s="598"/>
      <c r="U53" s="187"/>
      <c r="V53" s="187"/>
      <c r="W53" s="184"/>
      <c r="X53" s="181"/>
      <c r="Y53" s="598"/>
      <c r="Z53" s="187"/>
      <c r="AA53" s="187"/>
      <c r="AB53" s="184"/>
      <c r="AC53" s="181"/>
      <c r="AD53" s="598"/>
      <c r="AE53" s="187"/>
      <c r="AF53" s="187"/>
      <c r="AG53" s="184"/>
      <c r="AH53" s="181"/>
      <c r="AI53" s="598"/>
      <c r="AJ53" s="187"/>
      <c r="AK53" s="187"/>
      <c r="AL53" s="184"/>
      <c r="AM53" s="181"/>
      <c r="AN53" s="598"/>
      <c r="AO53" s="187"/>
      <c r="AP53" s="187"/>
      <c r="AQ53" s="184"/>
      <c r="AR53" s="181"/>
      <c r="AS53" s="598"/>
      <c r="AT53" s="187"/>
      <c r="AU53" s="187"/>
      <c r="AV53" s="184"/>
      <c r="AW53" s="181"/>
      <c r="AX53" s="598"/>
    </row>
    <row r="54" spans="2:50" ht="14.25" customHeight="1">
      <c r="B54" s="597"/>
      <c r="C54" s="179">
        <v>8</v>
      </c>
      <c r="D54" s="182"/>
      <c r="E54" s="179"/>
      <c r="F54" s="179"/>
      <c r="G54" s="184"/>
      <c r="H54" s="598"/>
      <c r="I54" s="185"/>
      <c r="J54" s="185"/>
      <c r="K54" s="186"/>
      <c r="L54" s="599"/>
      <c r="M54" s="185"/>
      <c r="N54" s="597"/>
      <c r="O54" s="597"/>
      <c r="P54" s="187"/>
      <c r="Q54" s="187"/>
      <c r="R54" s="184"/>
      <c r="S54" s="181"/>
      <c r="T54" s="598"/>
      <c r="U54" s="187"/>
      <c r="V54" s="187"/>
      <c r="W54" s="184"/>
      <c r="X54" s="181"/>
      <c r="Y54" s="598"/>
      <c r="Z54" s="187"/>
      <c r="AA54" s="187"/>
      <c r="AB54" s="184"/>
      <c r="AC54" s="181"/>
      <c r="AD54" s="598"/>
      <c r="AE54" s="187"/>
      <c r="AF54" s="187"/>
      <c r="AG54" s="184"/>
      <c r="AH54" s="181"/>
      <c r="AI54" s="598"/>
      <c r="AJ54" s="187"/>
      <c r="AK54" s="187"/>
      <c r="AL54" s="184"/>
      <c r="AM54" s="181"/>
      <c r="AN54" s="598"/>
      <c r="AO54" s="187"/>
      <c r="AP54" s="187"/>
      <c r="AQ54" s="184"/>
      <c r="AR54" s="181"/>
      <c r="AS54" s="598"/>
      <c r="AT54" s="187"/>
      <c r="AU54" s="187"/>
      <c r="AV54" s="184"/>
      <c r="AW54" s="181"/>
      <c r="AX54" s="598"/>
    </row>
    <row r="55" spans="2:50" ht="14.25" customHeight="1">
      <c r="B55" s="597"/>
      <c r="C55" s="179">
        <v>9</v>
      </c>
      <c r="D55" s="182"/>
      <c r="E55" s="179"/>
      <c r="F55" s="179"/>
      <c r="G55" s="184"/>
      <c r="H55" s="598"/>
      <c r="I55" s="185"/>
      <c r="J55" s="185"/>
      <c r="K55" s="186"/>
      <c r="L55" s="599"/>
      <c r="M55" s="185"/>
      <c r="N55" s="597"/>
      <c r="O55" s="597"/>
      <c r="P55" s="187"/>
      <c r="Q55" s="187"/>
      <c r="R55" s="184"/>
      <c r="S55" s="181"/>
      <c r="T55" s="598"/>
      <c r="U55" s="187"/>
      <c r="V55" s="187"/>
      <c r="W55" s="184"/>
      <c r="X55" s="181"/>
      <c r="Y55" s="598"/>
      <c r="Z55" s="187"/>
      <c r="AA55" s="187"/>
      <c r="AB55" s="184"/>
      <c r="AC55" s="181"/>
      <c r="AD55" s="598"/>
      <c r="AE55" s="187"/>
      <c r="AF55" s="187"/>
      <c r="AG55" s="184"/>
      <c r="AH55" s="181"/>
      <c r="AI55" s="598"/>
      <c r="AJ55" s="187"/>
      <c r="AK55" s="187"/>
      <c r="AL55" s="184"/>
      <c r="AM55" s="181"/>
      <c r="AN55" s="598"/>
      <c r="AO55" s="187"/>
      <c r="AP55" s="187"/>
      <c r="AQ55" s="184"/>
      <c r="AR55" s="181"/>
      <c r="AS55" s="598"/>
      <c r="AT55" s="187"/>
      <c r="AU55" s="187"/>
      <c r="AV55" s="184"/>
      <c r="AW55" s="181"/>
      <c r="AX55" s="598"/>
    </row>
    <row r="56" spans="2:50" ht="14.25" customHeight="1">
      <c r="B56" s="597"/>
      <c r="C56" s="179">
        <v>10</v>
      </c>
      <c r="D56" s="182"/>
      <c r="E56" s="179"/>
      <c r="F56" s="179"/>
      <c r="G56" s="184"/>
      <c r="H56" s="598"/>
      <c r="I56" s="185"/>
      <c r="J56" s="185"/>
      <c r="K56" s="186"/>
      <c r="L56" s="599"/>
      <c r="M56" s="185"/>
      <c r="N56" s="597"/>
      <c r="O56" s="597"/>
      <c r="P56" s="187"/>
      <c r="Q56" s="187"/>
      <c r="R56" s="184"/>
      <c r="S56" s="181"/>
      <c r="T56" s="598"/>
      <c r="U56" s="187"/>
      <c r="V56" s="187"/>
      <c r="W56" s="184"/>
      <c r="X56" s="181"/>
      <c r="Y56" s="598"/>
      <c r="Z56" s="187"/>
      <c r="AA56" s="187"/>
      <c r="AB56" s="184"/>
      <c r="AC56" s="181"/>
      <c r="AD56" s="598"/>
      <c r="AE56" s="187"/>
      <c r="AF56" s="187"/>
      <c r="AG56" s="184"/>
      <c r="AH56" s="181"/>
      <c r="AI56" s="598"/>
      <c r="AJ56" s="187"/>
      <c r="AK56" s="187"/>
      <c r="AL56" s="184"/>
      <c r="AM56" s="181"/>
      <c r="AN56" s="598"/>
      <c r="AO56" s="187"/>
      <c r="AP56" s="187"/>
      <c r="AQ56" s="184"/>
      <c r="AR56" s="181"/>
      <c r="AS56" s="598"/>
      <c r="AT56" s="187"/>
      <c r="AU56" s="187"/>
      <c r="AV56" s="184"/>
      <c r="AW56" s="181"/>
      <c r="AX56" s="598"/>
    </row>
    <row r="57" spans="2:50" ht="14.25" customHeight="1">
      <c r="B57" s="597"/>
      <c r="C57" s="179">
        <v>11</v>
      </c>
      <c r="D57" s="182"/>
      <c r="E57" s="179"/>
      <c r="F57" s="179"/>
      <c r="G57" s="184"/>
      <c r="H57" s="598"/>
      <c r="I57" s="185"/>
      <c r="J57" s="185"/>
      <c r="K57" s="186"/>
      <c r="L57" s="599"/>
      <c r="M57" s="185"/>
      <c r="N57" s="597"/>
      <c r="O57" s="597"/>
      <c r="P57" s="187"/>
      <c r="Q57" s="187"/>
      <c r="R57" s="184"/>
      <c r="S57" s="181"/>
      <c r="T57" s="598"/>
      <c r="U57" s="187"/>
      <c r="V57" s="187"/>
      <c r="W57" s="184"/>
      <c r="X57" s="181"/>
      <c r="Y57" s="598"/>
      <c r="Z57" s="187"/>
      <c r="AA57" s="187"/>
      <c r="AB57" s="184"/>
      <c r="AC57" s="181"/>
      <c r="AD57" s="598"/>
      <c r="AE57" s="187"/>
      <c r="AF57" s="187"/>
      <c r="AG57" s="184"/>
      <c r="AH57" s="181"/>
      <c r="AI57" s="598"/>
      <c r="AJ57" s="187"/>
      <c r="AK57" s="187"/>
      <c r="AL57" s="184"/>
      <c r="AM57" s="181"/>
      <c r="AN57" s="598"/>
      <c r="AO57" s="187"/>
      <c r="AP57" s="187"/>
      <c r="AQ57" s="184"/>
      <c r="AR57" s="181"/>
      <c r="AS57" s="598"/>
      <c r="AT57" s="187"/>
      <c r="AU57" s="187"/>
      <c r="AV57" s="184"/>
      <c r="AW57" s="181"/>
      <c r="AX57" s="598"/>
    </row>
    <row r="58" spans="2:50" ht="14.25" customHeight="1">
      <c r="B58" s="597"/>
      <c r="C58" s="179">
        <v>12</v>
      </c>
      <c r="D58" s="182"/>
      <c r="E58" s="179"/>
      <c r="F58" s="179"/>
      <c r="G58" s="184"/>
      <c r="H58" s="598"/>
      <c r="I58" s="185"/>
      <c r="J58" s="185"/>
      <c r="K58" s="186"/>
      <c r="L58" s="599"/>
      <c r="M58" s="185"/>
      <c r="N58" s="597"/>
      <c r="O58" s="597"/>
      <c r="P58" s="187"/>
      <c r="Q58" s="187"/>
      <c r="R58" s="184"/>
      <c r="S58" s="181"/>
      <c r="T58" s="598"/>
      <c r="U58" s="187"/>
      <c r="V58" s="187"/>
      <c r="W58" s="184"/>
      <c r="X58" s="181"/>
      <c r="Y58" s="598"/>
      <c r="Z58" s="187"/>
      <c r="AA58" s="187"/>
      <c r="AB58" s="184"/>
      <c r="AC58" s="181"/>
      <c r="AD58" s="598"/>
      <c r="AE58" s="187"/>
      <c r="AF58" s="187"/>
      <c r="AG58" s="184"/>
      <c r="AH58" s="181"/>
      <c r="AI58" s="598"/>
      <c r="AJ58" s="187"/>
      <c r="AK58" s="187"/>
      <c r="AL58" s="184"/>
      <c r="AM58" s="181"/>
      <c r="AN58" s="598"/>
      <c r="AO58" s="187"/>
      <c r="AP58" s="187"/>
      <c r="AQ58" s="184"/>
      <c r="AR58" s="181"/>
      <c r="AS58" s="598"/>
      <c r="AT58" s="187"/>
      <c r="AU58" s="187"/>
      <c r="AV58" s="184"/>
      <c r="AW58" s="181"/>
      <c r="AX58" s="598"/>
    </row>
    <row r="59" spans="2:50" ht="14.25" customHeight="1">
      <c r="B59" s="597"/>
      <c r="C59" s="179">
        <v>13</v>
      </c>
      <c r="D59" s="182"/>
      <c r="E59" s="179"/>
      <c r="F59" s="179"/>
      <c r="G59" s="184"/>
      <c r="H59" s="598"/>
      <c r="I59" s="185"/>
      <c r="J59" s="185"/>
      <c r="K59" s="186"/>
      <c r="L59" s="599"/>
      <c r="M59" s="185"/>
      <c r="N59" s="597"/>
      <c r="O59" s="597"/>
      <c r="P59" s="187"/>
      <c r="Q59" s="187"/>
      <c r="R59" s="184"/>
      <c r="S59" s="181"/>
      <c r="T59" s="598"/>
      <c r="U59" s="187"/>
      <c r="V59" s="187"/>
      <c r="W59" s="184"/>
      <c r="X59" s="181"/>
      <c r="Y59" s="598"/>
      <c r="Z59" s="187"/>
      <c r="AA59" s="187"/>
      <c r="AB59" s="184"/>
      <c r="AC59" s="181"/>
      <c r="AD59" s="598"/>
      <c r="AE59" s="187"/>
      <c r="AF59" s="187"/>
      <c r="AG59" s="184"/>
      <c r="AH59" s="181"/>
      <c r="AI59" s="598"/>
      <c r="AJ59" s="187"/>
      <c r="AK59" s="187"/>
      <c r="AL59" s="184"/>
      <c r="AM59" s="181"/>
      <c r="AN59" s="598"/>
      <c r="AO59" s="187"/>
      <c r="AP59" s="187"/>
      <c r="AQ59" s="184"/>
      <c r="AR59" s="181"/>
      <c r="AS59" s="598"/>
      <c r="AT59" s="187"/>
      <c r="AU59" s="187"/>
      <c r="AV59" s="184"/>
      <c r="AW59" s="181"/>
      <c r="AX59" s="598"/>
    </row>
    <row r="60" spans="2:50" ht="14.25" customHeight="1">
      <c r="B60" s="597"/>
      <c r="C60" s="179">
        <v>14</v>
      </c>
      <c r="D60" s="182"/>
      <c r="E60" s="179"/>
      <c r="F60" s="179"/>
      <c r="G60" s="184"/>
      <c r="H60" s="598"/>
      <c r="I60" s="185"/>
      <c r="J60" s="185"/>
      <c r="K60" s="186"/>
      <c r="L60" s="599"/>
      <c r="M60" s="185"/>
      <c r="N60" s="597"/>
      <c r="O60" s="597"/>
      <c r="P60" s="187"/>
      <c r="Q60" s="187"/>
      <c r="R60" s="184"/>
      <c r="S60" s="181"/>
      <c r="T60" s="598"/>
      <c r="U60" s="187"/>
      <c r="V60" s="187"/>
      <c r="W60" s="184"/>
      <c r="X60" s="181"/>
      <c r="Y60" s="598"/>
      <c r="Z60" s="187"/>
      <c r="AA60" s="187"/>
      <c r="AB60" s="184"/>
      <c r="AC60" s="181"/>
      <c r="AD60" s="598"/>
      <c r="AE60" s="187"/>
      <c r="AF60" s="187"/>
      <c r="AG60" s="184"/>
      <c r="AH60" s="181"/>
      <c r="AI60" s="598"/>
      <c r="AJ60" s="187"/>
      <c r="AK60" s="187"/>
      <c r="AL60" s="184"/>
      <c r="AM60" s="181"/>
      <c r="AN60" s="598"/>
      <c r="AO60" s="187"/>
      <c r="AP60" s="187"/>
      <c r="AQ60" s="184"/>
      <c r="AR60" s="181"/>
      <c r="AS60" s="598"/>
      <c r="AT60" s="187"/>
      <c r="AU60" s="187"/>
      <c r="AV60" s="184"/>
      <c r="AW60" s="181"/>
      <c r="AX60" s="598"/>
    </row>
    <row r="61" spans="2:50" ht="14.25" customHeight="1">
      <c r="B61" s="597"/>
      <c r="C61" s="179">
        <v>15</v>
      </c>
      <c r="D61" s="182"/>
      <c r="E61" s="179"/>
      <c r="F61" s="179"/>
      <c r="G61" s="184"/>
      <c r="H61" s="598"/>
      <c r="I61" s="185"/>
      <c r="J61" s="185"/>
      <c r="K61" s="186"/>
      <c r="L61" s="599"/>
      <c r="M61" s="185"/>
      <c r="N61" s="597"/>
      <c r="O61" s="597"/>
      <c r="P61" s="187"/>
      <c r="Q61" s="187"/>
      <c r="R61" s="184"/>
      <c r="S61" s="181"/>
      <c r="T61" s="598"/>
      <c r="U61" s="187"/>
      <c r="V61" s="187"/>
      <c r="W61" s="184"/>
      <c r="X61" s="181"/>
      <c r="Y61" s="598"/>
      <c r="Z61" s="187"/>
      <c r="AA61" s="187"/>
      <c r="AB61" s="184"/>
      <c r="AC61" s="181"/>
      <c r="AD61" s="598"/>
      <c r="AE61" s="187"/>
      <c r="AF61" s="187"/>
      <c r="AG61" s="184"/>
      <c r="AH61" s="181"/>
      <c r="AI61" s="598"/>
      <c r="AJ61" s="187"/>
      <c r="AK61" s="187"/>
      <c r="AL61" s="184"/>
      <c r="AM61" s="181"/>
      <c r="AN61" s="598"/>
      <c r="AO61" s="187"/>
      <c r="AP61" s="187"/>
      <c r="AQ61" s="184"/>
      <c r="AR61" s="181"/>
      <c r="AS61" s="598"/>
      <c r="AT61" s="187"/>
      <c r="AU61" s="187"/>
      <c r="AV61" s="184"/>
      <c r="AW61" s="181"/>
      <c r="AX61" s="598"/>
    </row>
    <row r="86" spans="2:50" ht="14.25" customHeight="1">
      <c r="B86" s="521" t="s">
        <v>825</v>
      </c>
      <c r="C86" s="522"/>
      <c r="D86" s="523"/>
      <c r="E86" s="522"/>
      <c r="F86" s="522"/>
      <c r="G86" s="522"/>
      <c r="H86" s="522"/>
      <c r="I86" s="524"/>
      <c r="J86" s="524"/>
      <c r="K86" s="524"/>
      <c r="L86" s="524"/>
      <c r="M86" s="524"/>
      <c r="N86" s="629" t="s">
        <v>363</v>
      </c>
      <c r="O86" s="629" t="s">
        <v>105</v>
      </c>
      <c r="P86" s="617">
        <v>46217</v>
      </c>
      <c r="Q86" s="618"/>
      <c r="R86" s="618"/>
      <c r="S86" s="618"/>
      <c r="T86" s="618"/>
      <c r="U86" s="619">
        <v>46218</v>
      </c>
      <c r="V86" s="620"/>
      <c r="W86" s="620"/>
      <c r="X86" s="620"/>
      <c r="Y86" s="620"/>
      <c r="Z86" s="617">
        <v>46219</v>
      </c>
      <c r="AA86" s="618"/>
      <c r="AB86" s="618"/>
      <c r="AC86" s="618"/>
      <c r="AD86" s="618"/>
      <c r="AE86" s="619">
        <v>46220</v>
      </c>
      <c r="AF86" s="620"/>
      <c r="AG86" s="620"/>
      <c r="AH86" s="620"/>
      <c r="AI86" s="620"/>
      <c r="AJ86" s="602">
        <v>46221</v>
      </c>
      <c r="AK86" s="603"/>
      <c r="AL86" s="603"/>
      <c r="AM86" s="603"/>
      <c r="AN86" s="604"/>
      <c r="AO86" s="619">
        <v>46222</v>
      </c>
      <c r="AP86" s="620"/>
      <c r="AQ86" s="620"/>
      <c r="AR86" s="620"/>
      <c r="AS86" s="620"/>
      <c r="AT86" s="602">
        <v>46223</v>
      </c>
      <c r="AU86" s="603"/>
      <c r="AV86" s="603"/>
      <c r="AW86" s="603"/>
      <c r="AX86" s="604"/>
    </row>
    <row r="87" spans="2:50" ht="14.25" customHeight="1">
      <c r="B87" s="521"/>
      <c r="C87" s="522"/>
      <c r="D87" s="523"/>
      <c r="E87" s="522"/>
      <c r="F87" s="522"/>
      <c r="G87" s="522"/>
      <c r="H87" s="522"/>
      <c r="I87" s="524"/>
      <c r="J87" s="524"/>
      <c r="K87" s="524"/>
      <c r="L87" s="524"/>
      <c r="M87" s="524"/>
      <c r="N87" s="630"/>
      <c r="O87" s="630"/>
      <c r="P87" s="605">
        <v>46196</v>
      </c>
      <c r="Q87" s="605"/>
      <c r="R87" s="605"/>
      <c r="S87" s="605"/>
      <c r="T87" s="605"/>
      <c r="U87" s="606">
        <v>46197</v>
      </c>
      <c r="V87" s="606"/>
      <c r="W87" s="606"/>
      <c r="X87" s="606"/>
      <c r="Y87" s="606"/>
      <c r="Z87" s="605">
        <v>46198</v>
      </c>
      <c r="AA87" s="605"/>
      <c r="AB87" s="605"/>
      <c r="AC87" s="605"/>
      <c r="AD87" s="605"/>
      <c r="AE87" s="606">
        <v>46199</v>
      </c>
      <c r="AF87" s="606"/>
      <c r="AG87" s="606"/>
      <c r="AH87" s="606"/>
      <c r="AI87" s="606"/>
      <c r="AJ87" s="607">
        <v>46200</v>
      </c>
      <c r="AK87" s="608"/>
      <c r="AL87" s="608"/>
      <c r="AM87" s="608"/>
      <c r="AN87" s="609"/>
      <c r="AO87" s="606">
        <v>46201</v>
      </c>
      <c r="AP87" s="606"/>
      <c r="AQ87" s="606"/>
      <c r="AR87" s="606"/>
      <c r="AS87" s="606"/>
      <c r="AT87" s="607">
        <v>46202</v>
      </c>
      <c r="AU87" s="608"/>
      <c r="AV87" s="608"/>
      <c r="AW87" s="608"/>
      <c r="AX87" s="609"/>
    </row>
    <row r="88" spans="2:50" ht="14.25" customHeight="1">
      <c r="B88" s="597" t="s">
        <v>162</v>
      </c>
      <c r="C88" s="597" t="s">
        <v>157</v>
      </c>
      <c r="D88" s="597"/>
      <c r="E88" s="597" t="s">
        <v>158</v>
      </c>
      <c r="F88" s="597"/>
      <c r="G88" s="597"/>
      <c r="H88" s="597" t="s">
        <v>163</v>
      </c>
      <c r="I88" s="601" t="s">
        <v>364</v>
      </c>
      <c r="J88" s="601"/>
      <c r="K88" s="601"/>
      <c r="L88" s="601" t="s">
        <v>163</v>
      </c>
      <c r="M88" s="601" t="s">
        <v>165</v>
      </c>
      <c r="N88" s="597"/>
      <c r="O88" s="597" t="s">
        <v>164</v>
      </c>
      <c r="P88" s="597" t="s">
        <v>160</v>
      </c>
      <c r="Q88" s="597"/>
      <c r="R88" s="597"/>
      <c r="S88" s="597"/>
      <c r="T88" s="597" t="s">
        <v>163</v>
      </c>
      <c r="U88" s="597" t="s">
        <v>160</v>
      </c>
      <c r="V88" s="597"/>
      <c r="W88" s="597"/>
      <c r="X88" s="597"/>
      <c r="Y88" s="597" t="s">
        <v>163</v>
      </c>
      <c r="Z88" s="597" t="s">
        <v>160</v>
      </c>
      <c r="AA88" s="597"/>
      <c r="AB88" s="597"/>
      <c r="AC88" s="597"/>
      <c r="AD88" s="597" t="s">
        <v>163</v>
      </c>
      <c r="AE88" s="597" t="s">
        <v>160</v>
      </c>
      <c r="AF88" s="597"/>
      <c r="AG88" s="597"/>
      <c r="AH88" s="597"/>
      <c r="AI88" s="597" t="s">
        <v>163</v>
      </c>
      <c r="AJ88" s="597" t="s">
        <v>160</v>
      </c>
      <c r="AK88" s="597"/>
      <c r="AL88" s="597"/>
      <c r="AM88" s="597"/>
      <c r="AN88" s="597" t="s">
        <v>163</v>
      </c>
      <c r="AO88" s="597" t="s">
        <v>160</v>
      </c>
      <c r="AP88" s="597"/>
      <c r="AQ88" s="597"/>
      <c r="AR88" s="597"/>
      <c r="AS88" s="597" t="s">
        <v>163</v>
      </c>
      <c r="AT88" s="597" t="s">
        <v>160</v>
      </c>
      <c r="AU88" s="597"/>
      <c r="AV88" s="597"/>
      <c r="AW88" s="597"/>
      <c r="AX88" s="597" t="s">
        <v>163</v>
      </c>
    </row>
    <row r="89" spans="2:50" ht="14.25" customHeight="1">
      <c r="B89" s="597"/>
      <c r="C89" s="597"/>
      <c r="D89" s="597"/>
      <c r="E89" s="597" t="s">
        <v>365</v>
      </c>
      <c r="F89" s="597"/>
      <c r="G89" s="597"/>
      <c r="H89" s="597"/>
      <c r="I89" s="601" t="s">
        <v>365</v>
      </c>
      <c r="J89" s="601"/>
      <c r="K89" s="601"/>
      <c r="L89" s="601"/>
      <c r="M89" s="601"/>
      <c r="N89" s="597"/>
      <c r="O89" s="597"/>
      <c r="P89" s="597" t="s">
        <v>366</v>
      </c>
      <c r="Q89" s="597"/>
      <c r="R89" s="597"/>
      <c r="S89" s="597"/>
      <c r="T89" s="597"/>
      <c r="U89" s="597" t="s">
        <v>366</v>
      </c>
      <c r="V89" s="597"/>
      <c r="W89" s="597"/>
      <c r="X89" s="597"/>
      <c r="Y89" s="597"/>
      <c r="Z89" s="597" t="s">
        <v>366</v>
      </c>
      <c r="AA89" s="597"/>
      <c r="AB89" s="597"/>
      <c r="AC89" s="597"/>
      <c r="AD89" s="597"/>
      <c r="AE89" s="597" t="s">
        <v>366</v>
      </c>
      <c r="AF89" s="597"/>
      <c r="AG89" s="597"/>
      <c r="AH89" s="597"/>
      <c r="AI89" s="597"/>
      <c r="AJ89" s="597" t="s">
        <v>366</v>
      </c>
      <c r="AK89" s="597"/>
      <c r="AL89" s="597"/>
      <c r="AM89" s="597"/>
      <c r="AN89" s="597"/>
      <c r="AO89" s="597" t="s">
        <v>366</v>
      </c>
      <c r="AP89" s="597"/>
      <c r="AQ89" s="597"/>
      <c r="AR89" s="597"/>
      <c r="AS89" s="597"/>
      <c r="AT89" s="597" t="s">
        <v>366</v>
      </c>
      <c r="AU89" s="597"/>
      <c r="AV89" s="597"/>
      <c r="AW89" s="597"/>
      <c r="AX89" s="597"/>
    </row>
    <row r="90" spans="2:50" ht="14.25" customHeight="1">
      <c r="B90" s="597"/>
      <c r="C90" s="597"/>
      <c r="D90" s="597"/>
      <c r="E90" s="179" t="s">
        <v>159</v>
      </c>
      <c r="F90" s="179" t="s">
        <v>367</v>
      </c>
      <c r="G90" s="179" t="s">
        <v>161</v>
      </c>
      <c r="H90" s="597"/>
      <c r="I90" s="180" t="s">
        <v>159</v>
      </c>
      <c r="J90" s="180" t="s">
        <v>367</v>
      </c>
      <c r="K90" s="180" t="s">
        <v>161</v>
      </c>
      <c r="L90" s="601"/>
      <c r="M90" s="601"/>
      <c r="N90" s="597"/>
      <c r="O90" s="597"/>
      <c r="P90" s="179" t="s">
        <v>159</v>
      </c>
      <c r="Q90" s="179" t="s">
        <v>367</v>
      </c>
      <c r="R90" s="179" t="s">
        <v>161</v>
      </c>
      <c r="S90" s="181" t="s">
        <v>165</v>
      </c>
      <c r="T90" s="597"/>
      <c r="U90" s="179" t="s">
        <v>159</v>
      </c>
      <c r="V90" s="179" t="s">
        <v>367</v>
      </c>
      <c r="W90" s="179" t="s">
        <v>161</v>
      </c>
      <c r="X90" s="181" t="s">
        <v>165</v>
      </c>
      <c r="Y90" s="597"/>
      <c r="Z90" s="179" t="s">
        <v>159</v>
      </c>
      <c r="AA90" s="179" t="s">
        <v>367</v>
      </c>
      <c r="AB90" s="179" t="s">
        <v>161</v>
      </c>
      <c r="AC90" s="181" t="s">
        <v>165</v>
      </c>
      <c r="AD90" s="597"/>
      <c r="AE90" s="179" t="s">
        <v>159</v>
      </c>
      <c r="AF90" s="179" t="s">
        <v>367</v>
      </c>
      <c r="AG90" s="179" t="s">
        <v>161</v>
      </c>
      <c r="AH90" s="181" t="s">
        <v>165</v>
      </c>
      <c r="AI90" s="597"/>
      <c r="AJ90" s="179" t="s">
        <v>159</v>
      </c>
      <c r="AK90" s="179" t="s">
        <v>367</v>
      </c>
      <c r="AL90" s="179" t="s">
        <v>161</v>
      </c>
      <c r="AM90" s="181" t="s">
        <v>165</v>
      </c>
      <c r="AN90" s="597"/>
      <c r="AO90" s="179" t="s">
        <v>159</v>
      </c>
      <c r="AP90" s="179" t="s">
        <v>367</v>
      </c>
      <c r="AQ90" s="179" t="s">
        <v>161</v>
      </c>
      <c r="AR90" s="181" t="s">
        <v>165</v>
      </c>
      <c r="AS90" s="597"/>
      <c r="AT90" s="179" t="s">
        <v>159</v>
      </c>
      <c r="AU90" s="179" t="s">
        <v>367</v>
      </c>
      <c r="AV90" s="179" t="s">
        <v>161</v>
      </c>
      <c r="AW90" s="181" t="s">
        <v>165</v>
      </c>
      <c r="AX90" s="597"/>
    </row>
    <row r="91" spans="2:50" ht="14.25" customHeight="1">
      <c r="B91" s="635" t="s">
        <v>425</v>
      </c>
      <c r="C91" s="179">
        <v>1</v>
      </c>
      <c r="D91" s="182" t="s">
        <v>347</v>
      </c>
      <c r="E91" s="183">
        <v>21</v>
      </c>
      <c r="F91" s="179">
        <v>2790</v>
      </c>
      <c r="G91" s="184">
        <f t="shared" ref="G91:G92" si="19">IFERROR(F91/E91,"")</f>
        <v>132.85714285714286</v>
      </c>
      <c r="H91" s="598">
        <f>AVERAGE(G91:G105)</f>
        <v>132.85714285714286</v>
      </c>
      <c r="I91" s="185">
        <f>AVERAGE(P91,U91,Z91,AE91,AJ91,AO91,AT91)</f>
        <v>21.571428571428573</v>
      </c>
      <c r="J91" s="185">
        <f>AVERAGE(Q91,V91,AA91,AF91,AK91,AP91,AU91)</f>
        <v>2568.1236263736259</v>
      </c>
      <c r="K91" s="186">
        <f>AVERAGE(R91,W91,AB91,AG91,AL91,AQ91,AV91)</f>
        <v>119.01864595032293</v>
      </c>
      <c r="L91" s="599">
        <f>IFERROR(AVERAGE(K91:K105),"-")</f>
        <v>115.96780199614047</v>
      </c>
      <c r="M91" s="185">
        <f>RANK(K91, K$91:$K$127)</f>
        <v>1</v>
      </c>
      <c r="N91" s="597"/>
      <c r="O91" s="597"/>
      <c r="P91" s="187">
        <v>23</v>
      </c>
      <c r="Q91" s="187">
        <v>2786.9038461538466</v>
      </c>
      <c r="R91" s="184">
        <f>IFERROR(Q91/P91,"")</f>
        <v>121.1697324414716</v>
      </c>
      <c r="S91" s="181">
        <f>RANK(R91, R$91:R$127)</f>
        <v>1</v>
      </c>
      <c r="T91" s="598">
        <f>AVERAGE(R91:R105)</f>
        <v>117.0433452417148</v>
      </c>
      <c r="U91" s="187">
        <v>21</v>
      </c>
      <c r="V91" s="187">
        <v>2484.1730769230762</v>
      </c>
      <c r="W91" s="184">
        <f t="shared" ref="W91:W92" si="20">IFERROR(V91/U91,"")</f>
        <v>118.29395604395602</v>
      </c>
      <c r="X91" s="181">
        <f>RANK(W91, W$91:W$127)</f>
        <v>1</v>
      </c>
      <c r="Y91" s="598">
        <f>AVERAGE(W91:W105)</f>
        <v>115.60545704295703</v>
      </c>
      <c r="Z91" s="187">
        <v>21</v>
      </c>
      <c r="AA91" s="187">
        <v>2484.1730769230762</v>
      </c>
      <c r="AB91" s="184">
        <f>IFERROR(AA91/Z91,"")</f>
        <v>118.29395604395602</v>
      </c>
      <c r="AC91" s="181">
        <f>RANK(AB91, AB$91:AB$127)</f>
        <v>1</v>
      </c>
      <c r="AD91" s="598">
        <f>AVERAGE(AB91:AB105)</f>
        <v>115.60545704295701</v>
      </c>
      <c r="AE91" s="187">
        <v>21</v>
      </c>
      <c r="AF91" s="187">
        <v>2484.1730769230762</v>
      </c>
      <c r="AG91" s="184">
        <f>IFERROR(AF91/AE91,"")</f>
        <v>118.29395604395602</v>
      </c>
      <c r="AH91" s="181">
        <f>RANK(AG91, AG$91:AG$127)</f>
        <v>1</v>
      </c>
      <c r="AI91" s="598">
        <f>AVERAGE(AG91:AG105)</f>
        <v>115.60545704295701</v>
      </c>
      <c r="AJ91" s="187">
        <v>21</v>
      </c>
      <c r="AK91" s="187">
        <v>2484.1730769230767</v>
      </c>
      <c r="AL91" s="184">
        <f>IFERROR(AK91/AJ91,"")</f>
        <v>118.29395604395603</v>
      </c>
      <c r="AM91" s="181">
        <f>RANK(AL91, AL$91:AL$127)</f>
        <v>1</v>
      </c>
      <c r="AN91" s="598">
        <f>AVERAGE(AL91:AL105)</f>
        <v>115.60545704295703</v>
      </c>
      <c r="AO91" s="187">
        <v>22</v>
      </c>
      <c r="AP91" s="187">
        <v>2626.6346153846152</v>
      </c>
      <c r="AQ91" s="184">
        <f>IFERROR(AP91/AO91,"")</f>
        <v>119.39248251748251</v>
      </c>
      <c r="AR91" s="181">
        <f>RANK(AQ91, AQ$91:AQ$127)</f>
        <v>1</v>
      </c>
      <c r="AS91" s="598">
        <f>AVERAGE(AQ91:AQ105)</f>
        <v>116.15472027972027</v>
      </c>
      <c r="AT91" s="187">
        <v>22</v>
      </c>
      <c r="AU91" s="187">
        <v>2626.6346153846152</v>
      </c>
      <c r="AV91" s="184">
        <f>IFERROR(AU91/AT91,"")</f>
        <v>119.39248251748251</v>
      </c>
      <c r="AW91" s="181">
        <f>RANK(AV91, AV$91:AV$127)</f>
        <v>1</v>
      </c>
      <c r="AX91" s="598">
        <f>AVERAGE(AV91:AV105)</f>
        <v>116.15472027972027</v>
      </c>
    </row>
    <row r="92" spans="2:50" ht="14.25" customHeight="1">
      <c r="B92" s="597"/>
      <c r="C92" s="179">
        <v>2</v>
      </c>
      <c r="D92" s="182" t="s">
        <v>774</v>
      </c>
      <c r="E92" s="179">
        <v>21</v>
      </c>
      <c r="F92" s="179">
        <v>2790</v>
      </c>
      <c r="G92" s="184">
        <f t="shared" si="19"/>
        <v>132.85714285714286</v>
      </c>
      <c r="H92" s="598"/>
      <c r="I92" s="185">
        <f t="shared" ref="I92:K92" si="21">AVERAGE(P92,U92,Z92,AE92,AJ92,AO92,AT92)</f>
        <v>22</v>
      </c>
      <c r="J92" s="185">
        <f t="shared" si="21"/>
        <v>2484.1730769230758</v>
      </c>
      <c r="K92" s="186">
        <f t="shared" si="21"/>
        <v>112.916958041958</v>
      </c>
      <c r="L92" s="599"/>
      <c r="M92" s="185">
        <f>RANK(K92, K$91:$K$127)</f>
        <v>2</v>
      </c>
      <c r="N92" s="597"/>
      <c r="O92" s="597"/>
      <c r="P92" s="187">
        <v>22</v>
      </c>
      <c r="Q92" s="187">
        <v>2484.1730769230762</v>
      </c>
      <c r="R92" s="184">
        <f t="shared" ref="R92" si="22">IFERROR(Q92/P92,"")</f>
        <v>112.91695804195801</v>
      </c>
      <c r="S92" s="181">
        <f t="shared" ref="S92:S126" si="23">RANK(R92, R$91:R$127)</f>
        <v>2</v>
      </c>
      <c r="T92" s="598"/>
      <c r="U92" s="187">
        <v>22</v>
      </c>
      <c r="V92" s="187">
        <v>2484.1730769230767</v>
      </c>
      <c r="W92" s="184">
        <f t="shared" si="20"/>
        <v>112.91695804195803</v>
      </c>
      <c r="X92" s="181">
        <f t="shared" ref="X92:X126" si="24">RANK(W92, W$91:W$127)</f>
        <v>2</v>
      </c>
      <c r="Y92" s="598"/>
      <c r="Z92" s="187">
        <v>22</v>
      </c>
      <c r="AA92" s="187">
        <v>2484.1730769230762</v>
      </c>
      <c r="AB92" s="184">
        <f t="shared" ref="AB92" si="25">IFERROR(AA92/Z92,"")</f>
        <v>112.91695804195801</v>
      </c>
      <c r="AC92" s="181">
        <f t="shared" ref="AC92:AC126" si="26">RANK(AB92, AB$91:AB$127)</f>
        <v>2</v>
      </c>
      <c r="AD92" s="598"/>
      <c r="AE92" s="187">
        <v>22</v>
      </c>
      <c r="AF92" s="187">
        <v>2484.1730769230762</v>
      </c>
      <c r="AG92" s="184">
        <f t="shared" ref="AG92" si="27">IFERROR(AF92/AE92,"")</f>
        <v>112.91695804195801</v>
      </c>
      <c r="AH92" s="181">
        <f t="shared" ref="AH92:AH126" si="28">RANK(AG92, AG$91:AG$127)</f>
        <v>2</v>
      </c>
      <c r="AI92" s="598"/>
      <c r="AJ92" s="187">
        <v>22</v>
      </c>
      <c r="AK92" s="187">
        <v>2484.1730769230762</v>
      </c>
      <c r="AL92" s="184">
        <f t="shared" ref="AL92" si="29">IFERROR(AK92/AJ92,"")</f>
        <v>112.91695804195801</v>
      </c>
      <c r="AM92" s="181">
        <f t="shared" ref="AM92:AM126" si="30">RANK(AL92, AL$91:AL$127)</f>
        <v>2</v>
      </c>
      <c r="AN92" s="598"/>
      <c r="AO92" s="187">
        <v>22</v>
      </c>
      <c r="AP92" s="187">
        <v>2484.1730769230762</v>
      </c>
      <c r="AQ92" s="184">
        <f t="shared" ref="AQ92" si="31">IFERROR(AP92/AO92,"")</f>
        <v>112.91695804195801</v>
      </c>
      <c r="AR92" s="181">
        <f t="shared" ref="AR92:AR126" si="32">RANK(AQ92, AQ$91:AQ$127)</f>
        <v>2</v>
      </c>
      <c r="AS92" s="598"/>
      <c r="AT92" s="187">
        <v>22</v>
      </c>
      <c r="AU92" s="187">
        <v>2484.1730769230762</v>
      </c>
      <c r="AV92" s="184">
        <f t="shared" ref="AV92" si="33">IFERROR(AU92/AT92,"")</f>
        <v>112.91695804195801</v>
      </c>
      <c r="AW92" s="181">
        <f t="shared" ref="AW92:AW126" si="34">RANK(AV92, AV$91:AV$127)</f>
        <v>2</v>
      </c>
      <c r="AX92" s="598"/>
    </row>
    <row r="93" spans="2:50" ht="14.25" customHeight="1">
      <c r="B93" s="597"/>
      <c r="C93" s="179">
        <v>3</v>
      </c>
      <c r="D93" s="182"/>
      <c r="E93" s="179"/>
      <c r="F93" s="179"/>
      <c r="G93" s="184"/>
      <c r="H93" s="598"/>
      <c r="I93" s="185"/>
      <c r="J93" s="185"/>
      <c r="K93" s="186"/>
      <c r="L93" s="599"/>
      <c r="M93" s="185" t="e">
        <f>RANK(K93, K$91:$K$127)</f>
        <v>#N/A</v>
      </c>
      <c r="N93" s="597"/>
      <c r="O93" s="597"/>
      <c r="P93" s="187"/>
      <c r="Q93" s="187"/>
      <c r="R93" s="184"/>
      <c r="S93" s="181" t="e">
        <f t="shared" si="23"/>
        <v>#N/A</v>
      </c>
      <c r="T93" s="598"/>
      <c r="U93" s="187"/>
      <c r="V93" s="187"/>
      <c r="W93" s="184"/>
      <c r="X93" s="181" t="e">
        <f t="shared" si="24"/>
        <v>#N/A</v>
      </c>
      <c r="Y93" s="598"/>
      <c r="Z93" s="187"/>
      <c r="AA93" s="187"/>
      <c r="AB93" s="184"/>
      <c r="AC93" s="181" t="e">
        <f t="shared" si="26"/>
        <v>#N/A</v>
      </c>
      <c r="AD93" s="598"/>
      <c r="AE93" s="187"/>
      <c r="AF93" s="187"/>
      <c r="AG93" s="184"/>
      <c r="AH93" s="181" t="e">
        <f t="shared" si="28"/>
        <v>#N/A</v>
      </c>
      <c r="AI93" s="598"/>
      <c r="AJ93" s="187"/>
      <c r="AK93" s="187"/>
      <c r="AL93" s="184"/>
      <c r="AM93" s="181" t="e">
        <f t="shared" si="30"/>
        <v>#N/A</v>
      </c>
      <c r="AN93" s="598"/>
      <c r="AO93" s="187"/>
      <c r="AP93" s="187"/>
      <c r="AQ93" s="184"/>
      <c r="AR93" s="181" t="e">
        <f t="shared" si="32"/>
        <v>#N/A</v>
      </c>
      <c r="AS93" s="598"/>
      <c r="AT93" s="187"/>
      <c r="AU93" s="187"/>
      <c r="AV93" s="184"/>
      <c r="AW93" s="181" t="e">
        <f t="shared" si="34"/>
        <v>#N/A</v>
      </c>
      <c r="AX93" s="598"/>
    </row>
    <row r="94" spans="2:50" ht="14.25" customHeight="1">
      <c r="B94" s="597"/>
      <c r="C94" s="179">
        <v>4</v>
      </c>
      <c r="D94" s="182"/>
      <c r="E94" s="179"/>
      <c r="F94" s="179"/>
      <c r="G94" s="184"/>
      <c r="H94" s="598"/>
      <c r="I94" s="185"/>
      <c r="J94" s="185"/>
      <c r="K94" s="186"/>
      <c r="L94" s="599"/>
      <c r="M94" s="185" t="e">
        <f>RANK(K94, K$91:$K$127)</f>
        <v>#N/A</v>
      </c>
      <c r="N94" s="597"/>
      <c r="O94" s="597"/>
      <c r="P94" s="187"/>
      <c r="Q94" s="187"/>
      <c r="R94" s="184"/>
      <c r="S94" s="181" t="e">
        <f t="shared" si="23"/>
        <v>#N/A</v>
      </c>
      <c r="T94" s="598"/>
      <c r="U94" s="187"/>
      <c r="V94" s="187"/>
      <c r="W94" s="184"/>
      <c r="X94" s="181" t="e">
        <f t="shared" si="24"/>
        <v>#N/A</v>
      </c>
      <c r="Y94" s="598"/>
      <c r="Z94" s="187"/>
      <c r="AA94" s="187"/>
      <c r="AB94" s="184"/>
      <c r="AC94" s="181" t="e">
        <f t="shared" si="26"/>
        <v>#N/A</v>
      </c>
      <c r="AD94" s="598"/>
      <c r="AE94" s="187"/>
      <c r="AF94" s="187"/>
      <c r="AG94" s="184"/>
      <c r="AH94" s="181" t="e">
        <f t="shared" si="28"/>
        <v>#N/A</v>
      </c>
      <c r="AI94" s="598"/>
      <c r="AJ94" s="187"/>
      <c r="AK94" s="187"/>
      <c r="AL94" s="184"/>
      <c r="AM94" s="181" t="e">
        <f t="shared" si="30"/>
        <v>#N/A</v>
      </c>
      <c r="AN94" s="598"/>
      <c r="AO94" s="187"/>
      <c r="AP94" s="187"/>
      <c r="AQ94" s="184"/>
      <c r="AR94" s="181" t="e">
        <f t="shared" si="32"/>
        <v>#N/A</v>
      </c>
      <c r="AS94" s="598"/>
      <c r="AT94" s="187"/>
      <c r="AU94" s="187"/>
      <c r="AV94" s="184"/>
      <c r="AW94" s="181" t="e">
        <f t="shared" si="34"/>
        <v>#N/A</v>
      </c>
      <c r="AX94" s="598"/>
    </row>
    <row r="95" spans="2:50" ht="14.25" customHeight="1">
      <c r="B95" s="597"/>
      <c r="C95" s="179">
        <v>5</v>
      </c>
      <c r="D95" s="182"/>
      <c r="E95" s="179"/>
      <c r="F95" s="179"/>
      <c r="G95" s="184"/>
      <c r="H95" s="598"/>
      <c r="I95" s="185"/>
      <c r="J95" s="185"/>
      <c r="K95" s="186"/>
      <c r="L95" s="599"/>
      <c r="M95" s="185" t="e">
        <f>RANK(K95, K$91:$K$127)</f>
        <v>#N/A</v>
      </c>
      <c r="N95" s="597"/>
      <c r="O95" s="597"/>
      <c r="P95" s="187"/>
      <c r="Q95" s="187"/>
      <c r="R95" s="184"/>
      <c r="S95" s="181" t="e">
        <f t="shared" si="23"/>
        <v>#N/A</v>
      </c>
      <c r="T95" s="598"/>
      <c r="U95" s="187"/>
      <c r="V95" s="187"/>
      <c r="W95" s="184"/>
      <c r="X95" s="181" t="e">
        <f t="shared" si="24"/>
        <v>#N/A</v>
      </c>
      <c r="Y95" s="598"/>
      <c r="Z95" s="187"/>
      <c r="AA95" s="187"/>
      <c r="AB95" s="184"/>
      <c r="AC95" s="181" t="e">
        <f t="shared" si="26"/>
        <v>#N/A</v>
      </c>
      <c r="AD95" s="598"/>
      <c r="AE95" s="187"/>
      <c r="AF95" s="187"/>
      <c r="AG95" s="184"/>
      <c r="AH95" s="181" t="e">
        <f t="shared" si="28"/>
        <v>#N/A</v>
      </c>
      <c r="AI95" s="598"/>
      <c r="AJ95" s="187"/>
      <c r="AK95" s="187"/>
      <c r="AL95" s="184"/>
      <c r="AM95" s="181" t="e">
        <f t="shared" si="30"/>
        <v>#N/A</v>
      </c>
      <c r="AN95" s="598"/>
      <c r="AO95" s="187"/>
      <c r="AP95" s="187"/>
      <c r="AQ95" s="184"/>
      <c r="AR95" s="181" t="e">
        <f t="shared" si="32"/>
        <v>#N/A</v>
      </c>
      <c r="AS95" s="598"/>
      <c r="AT95" s="187"/>
      <c r="AU95" s="187"/>
      <c r="AV95" s="184"/>
      <c r="AW95" s="181" t="e">
        <f t="shared" si="34"/>
        <v>#N/A</v>
      </c>
      <c r="AX95" s="598"/>
    </row>
    <row r="96" spans="2:50" ht="14.25" customHeight="1">
      <c r="B96" s="597"/>
      <c r="C96" s="179">
        <v>6</v>
      </c>
      <c r="D96" s="182"/>
      <c r="E96" s="179"/>
      <c r="F96" s="179"/>
      <c r="G96" s="184"/>
      <c r="H96" s="598"/>
      <c r="I96" s="185"/>
      <c r="J96" s="185"/>
      <c r="K96" s="186"/>
      <c r="L96" s="599"/>
      <c r="M96" s="185" t="e">
        <f>RANK(K96, K$91:$K$127)</f>
        <v>#N/A</v>
      </c>
      <c r="N96" s="597"/>
      <c r="O96" s="597"/>
      <c r="P96" s="187"/>
      <c r="Q96" s="187"/>
      <c r="R96" s="184"/>
      <c r="S96" s="181" t="e">
        <f t="shared" si="23"/>
        <v>#N/A</v>
      </c>
      <c r="T96" s="598"/>
      <c r="U96" s="187"/>
      <c r="V96" s="187"/>
      <c r="W96" s="184"/>
      <c r="X96" s="181" t="e">
        <f t="shared" si="24"/>
        <v>#N/A</v>
      </c>
      <c r="Y96" s="598"/>
      <c r="Z96" s="187"/>
      <c r="AA96" s="187"/>
      <c r="AB96" s="184"/>
      <c r="AC96" s="181" t="e">
        <f t="shared" si="26"/>
        <v>#N/A</v>
      </c>
      <c r="AD96" s="598"/>
      <c r="AE96" s="187"/>
      <c r="AF96" s="187"/>
      <c r="AG96" s="184"/>
      <c r="AH96" s="181" t="e">
        <f t="shared" si="28"/>
        <v>#N/A</v>
      </c>
      <c r="AI96" s="598"/>
      <c r="AJ96" s="187"/>
      <c r="AK96" s="187"/>
      <c r="AL96" s="184"/>
      <c r="AM96" s="181" t="e">
        <f t="shared" si="30"/>
        <v>#N/A</v>
      </c>
      <c r="AN96" s="598"/>
      <c r="AO96" s="187"/>
      <c r="AP96" s="187"/>
      <c r="AQ96" s="184"/>
      <c r="AR96" s="181" t="e">
        <f t="shared" si="32"/>
        <v>#N/A</v>
      </c>
      <c r="AS96" s="598"/>
      <c r="AT96" s="187"/>
      <c r="AU96" s="187"/>
      <c r="AV96" s="184"/>
      <c r="AW96" s="181" t="e">
        <f t="shared" si="34"/>
        <v>#N/A</v>
      </c>
      <c r="AX96" s="598"/>
    </row>
    <row r="97" spans="2:50" ht="14.25" customHeight="1">
      <c r="B97" s="597"/>
      <c r="C97" s="179">
        <v>7</v>
      </c>
      <c r="D97" s="182"/>
      <c r="E97" s="179"/>
      <c r="F97" s="179"/>
      <c r="G97" s="184"/>
      <c r="H97" s="598"/>
      <c r="I97" s="185"/>
      <c r="J97" s="185"/>
      <c r="K97" s="186"/>
      <c r="L97" s="599"/>
      <c r="M97" s="185" t="e">
        <f>RANK(K97, K$91:$K$127)</f>
        <v>#N/A</v>
      </c>
      <c r="N97" s="597"/>
      <c r="O97" s="597"/>
      <c r="P97" s="187"/>
      <c r="Q97" s="187"/>
      <c r="R97" s="184"/>
      <c r="S97" s="181" t="e">
        <f t="shared" si="23"/>
        <v>#N/A</v>
      </c>
      <c r="T97" s="598"/>
      <c r="U97" s="187"/>
      <c r="V97" s="187"/>
      <c r="W97" s="184"/>
      <c r="X97" s="181" t="e">
        <f t="shared" si="24"/>
        <v>#N/A</v>
      </c>
      <c r="Y97" s="598"/>
      <c r="Z97" s="187"/>
      <c r="AA97" s="187"/>
      <c r="AB97" s="184"/>
      <c r="AC97" s="181" t="e">
        <f t="shared" si="26"/>
        <v>#N/A</v>
      </c>
      <c r="AD97" s="598"/>
      <c r="AE97" s="187"/>
      <c r="AF97" s="187"/>
      <c r="AG97" s="184"/>
      <c r="AH97" s="181" t="e">
        <f t="shared" si="28"/>
        <v>#N/A</v>
      </c>
      <c r="AI97" s="598"/>
      <c r="AJ97" s="187"/>
      <c r="AK97" s="187"/>
      <c r="AL97" s="184"/>
      <c r="AM97" s="181" t="e">
        <f t="shared" si="30"/>
        <v>#N/A</v>
      </c>
      <c r="AN97" s="598"/>
      <c r="AO97" s="187"/>
      <c r="AP97" s="187"/>
      <c r="AQ97" s="184"/>
      <c r="AR97" s="181" t="e">
        <f t="shared" si="32"/>
        <v>#N/A</v>
      </c>
      <c r="AS97" s="598"/>
      <c r="AT97" s="187"/>
      <c r="AU97" s="187"/>
      <c r="AV97" s="184"/>
      <c r="AW97" s="181" t="e">
        <f t="shared" si="34"/>
        <v>#N/A</v>
      </c>
      <c r="AX97" s="598"/>
    </row>
    <row r="98" spans="2:50" ht="14.25" customHeight="1">
      <c r="B98" s="597"/>
      <c r="C98" s="179">
        <v>8</v>
      </c>
      <c r="D98" s="182"/>
      <c r="E98" s="179"/>
      <c r="F98" s="179"/>
      <c r="G98" s="184"/>
      <c r="H98" s="598"/>
      <c r="I98" s="185"/>
      <c r="J98" s="185"/>
      <c r="K98" s="186"/>
      <c r="L98" s="599"/>
      <c r="M98" s="185" t="e">
        <f>RANK(K98, K$91:$K$127)</f>
        <v>#N/A</v>
      </c>
      <c r="N98" s="597"/>
      <c r="O98" s="597"/>
      <c r="P98" s="187"/>
      <c r="Q98" s="187"/>
      <c r="R98" s="184"/>
      <c r="S98" s="181" t="e">
        <f t="shared" si="23"/>
        <v>#N/A</v>
      </c>
      <c r="T98" s="598"/>
      <c r="U98" s="187"/>
      <c r="V98" s="187"/>
      <c r="W98" s="184"/>
      <c r="X98" s="181" t="e">
        <f t="shared" si="24"/>
        <v>#N/A</v>
      </c>
      <c r="Y98" s="598"/>
      <c r="Z98" s="187"/>
      <c r="AA98" s="187"/>
      <c r="AB98" s="184"/>
      <c r="AC98" s="181" t="e">
        <f t="shared" si="26"/>
        <v>#N/A</v>
      </c>
      <c r="AD98" s="598"/>
      <c r="AE98" s="187"/>
      <c r="AF98" s="187"/>
      <c r="AG98" s="184"/>
      <c r="AH98" s="181" t="e">
        <f t="shared" si="28"/>
        <v>#N/A</v>
      </c>
      <c r="AI98" s="598"/>
      <c r="AJ98" s="187"/>
      <c r="AK98" s="187"/>
      <c r="AL98" s="184"/>
      <c r="AM98" s="181" t="e">
        <f t="shared" si="30"/>
        <v>#N/A</v>
      </c>
      <c r="AN98" s="598"/>
      <c r="AO98" s="187"/>
      <c r="AP98" s="187"/>
      <c r="AQ98" s="184"/>
      <c r="AR98" s="181" t="e">
        <f t="shared" si="32"/>
        <v>#N/A</v>
      </c>
      <c r="AS98" s="598"/>
      <c r="AT98" s="187"/>
      <c r="AU98" s="187"/>
      <c r="AV98" s="184"/>
      <c r="AW98" s="181" t="e">
        <f t="shared" si="34"/>
        <v>#N/A</v>
      </c>
      <c r="AX98" s="598"/>
    </row>
    <row r="99" spans="2:50" ht="14.25" customHeight="1">
      <c r="B99" s="597"/>
      <c r="C99" s="179">
        <v>9</v>
      </c>
      <c r="D99" s="182"/>
      <c r="E99" s="179"/>
      <c r="F99" s="179"/>
      <c r="G99" s="184"/>
      <c r="H99" s="598"/>
      <c r="I99" s="185"/>
      <c r="J99" s="185"/>
      <c r="K99" s="186"/>
      <c r="L99" s="599"/>
      <c r="M99" s="185" t="e">
        <f>RANK(K99, K$91:$K$127)</f>
        <v>#N/A</v>
      </c>
      <c r="N99" s="597"/>
      <c r="O99" s="597"/>
      <c r="P99" s="187"/>
      <c r="Q99" s="187"/>
      <c r="R99" s="184"/>
      <c r="S99" s="181" t="e">
        <f t="shared" si="23"/>
        <v>#N/A</v>
      </c>
      <c r="T99" s="598"/>
      <c r="U99" s="187"/>
      <c r="V99" s="187"/>
      <c r="W99" s="184"/>
      <c r="X99" s="181" t="e">
        <f t="shared" si="24"/>
        <v>#N/A</v>
      </c>
      <c r="Y99" s="598"/>
      <c r="Z99" s="187"/>
      <c r="AA99" s="187"/>
      <c r="AB99" s="184"/>
      <c r="AC99" s="181" t="e">
        <f t="shared" si="26"/>
        <v>#N/A</v>
      </c>
      <c r="AD99" s="598"/>
      <c r="AE99" s="187"/>
      <c r="AF99" s="187"/>
      <c r="AG99" s="184"/>
      <c r="AH99" s="181" t="e">
        <f t="shared" si="28"/>
        <v>#N/A</v>
      </c>
      <c r="AI99" s="598"/>
      <c r="AJ99" s="187"/>
      <c r="AK99" s="187"/>
      <c r="AL99" s="184"/>
      <c r="AM99" s="181" t="e">
        <f t="shared" si="30"/>
        <v>#N/A</v>
      </c>
      <c r="AN99" s="598"/>
      <c r="AO99" s="187"/>
      <c r="AP99" s="187"/>
      <c r="AQ99" s="184"/>
      <c r="AR99" s="181" t="e">
        <f t="shared" si="32"/>
        <v>#N/A</v>
      </c>
      <c r="AS99" s="598"/>
      <c r="AT99" s="187"/>
      <c r="AU99" s="187"/>
      <c r="AV99" s="184"/>
      <c r="AW99" s="181" t="e">
        <f t="shared" si="34"/>
        <v>#N/A</v>
      </c>
      <c r="AX99" s="598"/>
    </row>
    <row r="100" spans="2:50" ht="14.25" customHeight="1">
      <c r="B100" s="597"/>
      <c r="C100" s="179">
        <v>10</v>
      </c>
      <c r="D100" s="182"/>
      <c r="E100" s="179"/>
      <c r="F100" s="179"/>
      <c r="G100" s="184"/>
      <c r="H100" s="598"/>
      <c r="I100" s="185"/>
      <c r="J100" s="185"/>
      <c r="K100" s="186"/>
      <c r="L100" s="599"/>
      <c r="M100" s="185" t="e">
        <f>RANK(K100, K$91:$K$127)</f>
        <v>#N/A</v>
      </c>
      <c r="N100" s="597"/>
      <c r="O100" s="597"/>
      <c r="P100" s="187"/>
      <c r="Q100" s="187"/>
      <c r="R100" s="184"/>
      <c r="S100" s="181" t="e">
        <f t="shared" si="23"/>
        <v>#N/A</v>
      </c>
      <c r="T100" s="598"/>
      <c r="U100" s="187"/>
      <c r="V100" s="187"/>
      <c r="W100" s="184"/>
      <c r="X100" s="181" t="e">
        <f t="shared" si="24"/>
        <v>#N/A</v>
      </c>
      <c r="Y100" s="598"/>
      <c r="Z100" s="187"/>
      <c r="AA100" s="187"/>
      <c r="AB100" s="184"/>
      <c r="AC100" s="181" t="e">
        <f t="shared" si="26"/>
        <v>#N/A</v>
      </c>
      <c r="AD100" s="598"/>
      <c r="AE100" s="187"/>
      <c r="AF100" s="187"/>
      <c r="AG100" s="184"/>
      <c r="AH100" s="181" t="e">
        <f t="shared" si="28"/>
        <v>#N/A</v>
      </c>
      <c r="AI100" s="598"/>
      <c r="AJ100" s="187"/>
      <c r="AK100" s="187"/>
      <c r="AL100" s="184"/>
      <c r="AM100" s="181" t="e">
        <f t="shared" si="30"/>
        <v>#N/A</v>
      </c>
      <c r="AN100" s="598"/>
      <c r="AO100" s="187"/>
      <c r="AP100" s="187"/>
      <c r="AQ100" s="184"/>
      <c r="AR100" s="181" t="e">
        <f t="shared" si="32"/>
        <v>#N/A</v>
      </c>
      <c r="AS100" s="598"/>
      <c r="AT100" s="187"/>
      <c r="AU100" s="187"/>
      <c r="AV100" s="184"/>
      <c r="AW100" s="181" t="e">
        <f t="shared" si="34"/>
        <v>#N/A</v>
      </c>
      <c r="AX100" s="598"/>
    </row>
    <row r="101" spans="2:50" ht="14.25" customHeight="1">
      <c r="B101" s="597"/>
      <c r="C101" s="179">
        <v>11</v>
      </c>
      <c r="D101" s="182"/>
      <c r="E101" s="179"/>
      <c r="F101" s="179"/>
      <c r="G101" s="184"/>
      <c r="H101" s="598"/>
      <c r="I101" s="185"/>
      <c r="J101" s="185"/>
      <c r="K101" s="186"/>
      <c r="L101" s="599"/>
      <c r="M101" s="185" t="e">
        <f>RANK(K101, K$91:$K$127)</f>
        <v>#N/A</v>
      </c>
      <c r="N101" s="597"/>
      <c r="O101" s="597"/>
      <c r="P101" s="187"/>
      <c r="Q101" s="187"/>
      <c r="R101" s="184"/>
      <c r="S101" s="181" t="e">
        <f t="shared" si="23"/>
        <v>#N/A</v>
      </c>
      <c r="T101" s="598"/>
      <c r="U101" s="187"/>
      <c r="V101" s="187"/>
      <c r="W101" s="184"/>
      <c r="X101" s="181" t="e">
        <f t="shared" si="24"/>
        <v>#N/A</v>
      </c>
      <c r="Y101" s="598"/>
      <c r="Z101" s="187"/>
      <c r="AA101" s="187"/>
      <c r="AB101" s="184"/>
      <c r="AC101" s="181" t="e">
        <f t="shared" si="26"/>
        <v>#N/A</v>
      </c>
      <c r="AD101" s="598"/>
      <c r="AE101" s="187"/>
      <c r="AF101" s="187"/>
      <c r="AG101" s="184"/>
      <c r="AH101" s="181" t="e">
        <f t="shared" si="28"/>
        <v>#N/A</v>
      </c>
      <c r="AI101" s="598"/>
      <c r="AJ101" s="187"/>
      <c r="AK101" s="187"/>
      <c r="AL101" s="184"/>
      <c r="AM101" s="181" t="e">
        <f t="shared" si="30"/>
        <v>#N/A</v>
      </c>
      <c r="AN101" s="598"/>
      <c r="AO101" s="187"/>
      <c r="AP101" s="187"/>
      <c r="AQ101" s="184"/>
      <c r="AR101" s="181" t="e">
        <f t="shared" si="32"/>
        <v>#N/A</v>
      </c>
      <c r="AS101" s="598"/>
      <c r="AT101" s="187"/>
      <c r="AU101" s="187"/>
      <c r="AV101" s="184"/>
      <c r="AW101" s="181" t="e">
        <f t="shared" si="34"/>
        <v>#N/A</v>
      </c>
      <c r="AX101" s="598"/>
    </row>
    <row r="102" spans="2:50" ht="14.25" customHeight="1">
      <c r="B102" s="597"/>
      <c r="C102" s="179">
        <v>12</v>
      </c>
      <c r="D102" s="182"/>
      <c r="E102" s="179"/>
      <c r="F102" s="179"/>
      <c r="G102" s="184"/>
      <c r="H102" s="598"/>
      <c r="I102" s="185"/>
      <c r="J102" s="185"/>
      <c r="K102" s="186"/>
      <c r="L102" s="599"/>
      <c r="M102" s="185" t="e">
        <f>RANK(K102, K$91:$K$127)</f>
        <v>#N/A</v>
      </c>
      <c r="N102" s="597"/>
      <c r="O102" s="597"/>
      <c r="P102" s="187"/>
      <c r="Q102" s="187"/>
      <c r="R102" s="184"/>
      <c r="S102" s="181" t="e">
        <f t="shared" si="23"/>
        <v>#N/A</v>
      </c>
      <c r="T102" s="598"/>
      <c r="U102" s="187"/>
      <c r="V102" s="187"/>
      <c r="W102" s="184"/>
      <c r="X102" s="181" t="e">
        <f t="shared" si="24"/>
        <v>#N/A</v>
      </c>
      <c r="Y102" s="598"/>
      <c r="Z102" s="187"/>
      <c r="AA102" s="187"/>
      <c r="AB102" s="184"/>
      <c r="AC102" s="181" t="e">
        <f t="shared" si="26"/>
        <v>#N/A</v>
      </c>
      <c r="AD102" s="598"/>
      <c r="AE102" s="187"/>
      <c r="AF102" s="187"/>
      <c r="AG102" s="184"/>
      <c r="AH102" s="181" t="e">
        <f t="shared" si="28"/>
        <v>#N/A</v>
      </c>
      <c r="AI102" s="598"/>
      <c r="AJ102" s="187"/>
      <c r="AK102" s="187"/>
      <c r="AL102" s="184"/>
      <c r="AM102" s="181" t="e">
        <f t="shared" si="30"/>
        <v>#N/A</v>
      </c>
      <c r="AN102" s="598"/>
      <c r="AO102" s="187"/>
      <c r="AP102" s="187"/>
      <c r="AQ102" s="184"/>
      <c r="AR102" s="181" t="e">
        <f t="shared" si="32"/>
        <v>#N/A</v>
      </c>
      <c r="AS102" s="598"/>
      <c r="AT102" s="187"/>
      <c r="AU102" s="187"/>
      <c r="AV102" s="184"/>
      <c r="AW102" s="181" t="e">
        <f t="shared" si="34"/>
        <v>#N/A</v>
      </c>
      <c r="AX102" s="598"/>
    </row>
    <row r="103" spans="2:50" ht="14.25" customHeight="1">
      <c r="B103" s="597"/>
      <c r="C103" s="179">
        <v>13</v>
      </c>
      <c r="D103" s="182"/>
      <c r="E103" s="179"/>
      <c r="F103" s="179"/>
      <c r="G103" s="184"/>
      <c r="H103" s="598"/>
      <c r="I103" s="185"/>
      <c r="J103" s="185"/>
      <c r="K103" s="186"/>
      <c r="L103" s="599"/>
      <c r="M103" s="185" t="e">
        <f>RANK(K103, K$91:$K$127)</f>
        <v>#N/A</v>
      </c>
      <c r="N103" s="597"/>
      <c r="O103" s="597"/>
      <c r="P103" s="187"/>
      <c r="Q103" s="187"/>
      <c r="R103" s="184"/>
      <c r="S103" s="181" t="e">
        <f t="shared" si="23"/>
        <v>#N/A</v>
      </c>
      <c r="T103" s="598"/>
      <c r="U103" s="187"/>
      <c r="V103" s="187"/>
      <c r="W103" s="184"/>
      <c r="X103" s="181"/>
      <c r="Y103" s="598"/>
      <c r="Z103" s="187"/>
      <c r="AA103" s="187"/>
      <c r="AB103" s="184"/>
      <c r="AC103" s="181"/>
      <c r="AD103" s="598"/>
      <c r="AE103" s="187"/>
      <c r="AF103" s="187"/>
      <c r="AG103" s="184"/>
      <c r="AH103" s="181"/>
      <c r="AI103" s="598"/>
      <c r="AJ103" s="187"/>
      <c r="AK103" s="187"/>
      <c r="AL103" s="184"/>
      <c r="AM103" s="181"/>
      <c r="AN103" s="598"/>
      <c r="AO103" s="187"/>
      <c r="AP103" s="187"/>
      <c r="AQ103" s="184"/>
      <c r="AR103" s="181"/>
      <c r="AS103" s="598"/>
      <c r="AT103" s="187"/>
      <c r="AU103" s="187"/>
      <c r="AV103" s="184"/>
      <c r="AW103" s="181"/>
      <c r="AX103" s="598"/>
    </row>
    <row r="104" spans="2:50" ht="14.25" customHeight="1">
      <c r="B104" s="597"/>
      <c r="C104" s="179">
        <v>14</v>
      </c>
      <c r="D104" s="182"/>
      <c r="E104" s="179"/>
      <c r="F104" s="179"/>
      <c r="G104" s="184"/>
      <c r="H104" s="598"/>
      <c r="I104" s="185"/>
      <c r="J104" s="185"/>
      <c r="K104" s="186"/>
      <c r="L104" s="599"/>
      <c r="M104" s="185" t="e">
        <f>RANK(K104, K$91:$K$127)</f>
        <v>#N/A</v>
      </c>
      <c r="N104" s="597"/>
      <c r="O104" s="597"/>
      <c r="P104" s="187"/>
      <c r="Q104" s="187"/>
      <c r="R104" s="184"/>
      <c r="S104" s="181" t="e">
        <f t="shared" si="23"/>
        <v>#N/A</v>
      </c>
      <c r="T104" s="598"/>
      <c r="U104" s="187"/>
      <c r="V104" s="187"/>
      <c r="W104" s="184"/>
      <c r="X104" s="181" t="e">
        <f t="shared" si="24"/>
        <v>#N/A</v>
      </c>
      <c r="Y104" s="598"/>
      <c r="Z104" s="187"/>
      <c r="AA104" s="187"/>
      <c r="AB104" s="184"/>
      <c r="AC104" s="181" t="e">
        <f t="shared" si="26"/>
        <v>#N/A</v>
      </c>
      <c r="AD104" s="598"/>
      <c r="AE104" s="187"/>
      <c r="AF104" s="187"/>
      <c r="AG104" s="184"/>
      <c r="AH104" s="181" t="e">
        <f t="shared" si="28"/>
        <v>#N/A</v>
      </c>
      <c r="AI104" s="598"/>
      <c r="AJ104" s="187"/>
      <c r="AK104" s="187"/>
      <c r="AL104" s="184"/>
      <c r="AM104" s="181" t="e">
        <f t="shared" si="30"/>
        <v>#N/A</v>
      </c>
      <c r="AN104" s="598"/>
      <c r="AO104" s="187"/>
      <c r="AP104" s="187"/>
      <c r="AQ104" s="184"/>
      <c r="AR104" s="181" t="e">
        <f t="shared" si="32"/>
        <v>#N/A</v>
      </c>
      <c r="AS104" s="598"/>
      <c r="AT104" s="187"/>
      <c r="AU104" s="187"/>
      <c r="AV104" s="184"/>
      <c r="AW104" s="181" t="e">
        <f t="shared" si="34"/>
        <v>#N/A</v>
      </c>
      <c r="AX104" s="598"/>
    </row>
    <row r="105" spans="2:50" ht="14.25" customHeight="1">
      <c r="B105" s="597"/>
      <c r="C105" s="179">
        <v>15</v>
      </c>
      <c r="D105" s="182"/>
      <c r="E105" s="179"/>
      <c r="F105" s="179"/>
      <c r="G105" s="184"/>
      <c r="H105" s="598"/>
      <c r="I105" s="185"/>
      <c r="J105" s="185"/>
      <c r="K105" s="186"/>
      <c r="L105" s="599"/>
      <c r="M105" s="185" t="e">
        <f>RANK(K105, K$91:$K$127)</f>
        <v>#N/A</v>
      </c>
      <c r="N105" s="597"/>
      <c r="O105" s="597"/>
      <c r="P105" s="187"/>
      <c r="Q105" s="187"/>
      <c r="R105" s="184"/>
      <c r="S105" s="181" t="e">
        <f t="shared" si="23"/>
        <v>#N/A</v>
      </c>
      <c r="T105" s="598"/>
      <c r="U105" s="187"/>
      <c r="V105" s="187"/>
      <c r="W105" s="184"/>
      <c r="X105" s="181" t="e">
        <f t="shared" si="24"/>
        <v>#N/A</v>
      </c>
      <c r="Y105" s="598"/>
      <c r="Z105" s="187"/>
      <c r="AA105" s="187"/>
      <c r="AB105" s="184"/>
      <c r="AC105" s="181" t="e">
        <f t="shared" si="26"/>
        <v>#N/A</v>
      </c>
      <c r="AD105" s="598"/>
      <c r="AE105" s="187"/>
      <c r="AF105" s="187"/>
      <c r="AG105" s="184"/>
      <c r="AH105" s="181" t="e">
        <f t="shared" si="28"/>
        <v>#N/A</v>
      </c>
      <c r="AI105" s="598"/>
      <c r="AJ105" s="187"/>
      <c r="AK105" s="187"/>
      <c r="AL105" s="184"/>
      <c r="AM105" s="181" t="e">
        <f t="shared" si="30"/>
        <v>#N/A</v>
      </c>
      <c r="AN105" s="598"/>
      <c r="AO105" s="187"/>
      <c r="AP105" s="187"/>
      <c r="AQ105" s="184"/>
      <c r="AR105" s="181" t="e">
        <f t="shared" si="32"/>
        <v>#N/A</v>
      </c>
      <c r="AS105" s="598"/>
      <c r="AT105" s="187"/>
      <c r="AU105" s="187"/>
      <c r="AV105" s="184"/>
      <c r="AW105" s="181" t="e">
        <f t="shared" si="34"/>
        <v>#N/A</v>
      </c>
      <c r="AX105" s="598"/>
    </row>
    <row r="106" spans="2:50">
      <c r="M106" s="185" t="e">
        <f>RANK(K106, K$91:$K$127)</f>
        <v>#N/A</v>
      </c>
      <c r="S106" s="181" t="e">
        <f t="shared" si="23"/>
        <v>#N/A</v>
      </c>
      <c r="X106" s="181" t="e">
        <f t="shared" si="24"/>
        <v>#N/A</v>
      </c>
      <c r="AC106" s="181" t="e">
        <f t="shared" si="26"/>
        <v>#N/A</v>
      </c>
      <c r="AH106" s="181" t="e">
        <f t="shared" si="28"/>
        <v>#N/A</v>
      </c>
      <c r="AM106" s="181" t="e">
        <f t="shared" si="30"/>
        <v>#N/A</v>
      </c>
      <c r="AR106" s="181" t="e">
        <f t="shared" si="32"/>
        <v>#N/A</v>
      </c>
      <c r="AW106" s="181" t="e">
        <f t="shared" si="34"/>
        <v>#N/A</v>
      </c>
    </row>
    <row r="107" spans="2:50">
      <c r="M107" s="185" t="e">
        <f>RANK(K107, K$91:$K$127)</f>
        <v>#N/A</v>
      </c>
      <c r="S107" s="181" t="e">
        <f t="shared" si="23"/>
        <v>#N/A</v>
      </c>
      <c r="X107" s="181" t="e">
        <f t="shared" si="24"/>
        <v>#N/A</v>
      </c>
      <c r="AC107" s="181" t="e">
        <f t="shared" si="26"/>
        <v>#N/A</v>
      </c>
      <c r="AH107" s="181" t="e">
        <f t="shared" si="28"/>
        <v>#N/A</v>
      </c>
      <c r="AM107" s="181" t="e">
        <f t="shared" si="30"/>
        <v>#N/A</v>
      </c>
      <c r="AR107" s="181" t="e">
        <f t="shared" si="32"/>
        <v>#N/A</v>
      </c>
      <c r="AW107" s="181" t="e">
        <f t="shared" si="34"/>
        <v>#N/A</v>
      </c>
    </row>
    <row r="108" spans="2:50">
      <c r="M108" s="185" t="e">
        <f>RANK(K108, K$91:$K$127)</f>
        <v>#N/A</v>
      </c>
      <c r="S108" s="181" t="e">
        <f t="shared" si="23"/>
        <v>#N/A</v>
      </c>
      <c r="X108" s="181" t="e">
        <f t="shared" si="24"/>
        <v>#N/A</v>
      </c>
      <c r="AC108" s="181" t="e">
        <f t="shared" si="26"/>
        <v>#N/A</v>
      </c>
      <c r="AH108" s="181" t="e">
        <f t="shared" si="28"/>
        <v>#N/A</v>
      </c>
      <c r="AM108" s="181" t="e">
        <f t="shared" si="30"/>
        <v>#N/A</v>
      </c>
      <c r="AR108" s="181" t="e">
        <f t="shared" si="32"/>
        <v>#N/A</v>
      </c>
      <c r="AW108" s="181" t="e">
        <f t="shared" si="34"/>
        <v>#N/A</v>
      </c>
    </row>
    <row r="109" spans="2:50">
      <c r="M109" s="185" t="e">
        <f>RANK(K109, K$91:$K$127)</f>
        <v>#N/A</v>
      </c>
      <c r="S109" s="181" t="e">
        <f t="shared" si="23"/>
        <v>#N/A</v>
      </c>
      <c r="X109" s="181" t="e">
        <f t="shared" si="24"/>
        <v>#N/A</v>
      </c>
      <c r="AC109" s="181" t="e">
        <f t="shared" si="26"/>
        <v>#N/A</v>
      </c>
      <c r="AH109" s="181" t="e">
        <f t="shared" si="28"/>
        <v>#N/A</v>
      </c>
      <c r="AM109" s="181" t="e">
        <f t="shared" si="30"/>
        <v>#N/A</v>
      </c>
      <c r="AR109" s="181" t="e">
        <f t="shared" si="32"/>
        <v>#N/A</v>
      </c>
      <c r="AW109" s="181" t="e">
        <f t="shared" si="34"/>
        <v>#N/A</v>
      </c>
    </row>
    <row r="110" spans="2:50">
      <c r="M110" s="185" t="e">
        <f>RANK(K110, K$91:$K$127)</f>
        <v>#N/A</v>
      </c>
      <c r="S110" s="181" t="e">
        <f t="shared" si="23"/>
        <v>#N/A</v>
      </c>
      <c r="X110" s="181" t="e">
        <f t="shared" si="24"/>
        <v>#N/A</v>
      </c>
      <c r="AC110" s="181" t="e">
        <f t="shared" si="26"/>
        <v>#N/A</v>
      </c>
      <c r="AH110" s="181" t="e">
        <f t="shared" si="28"/>
        <v>#N/A</v>
      </c>
      <c r="AM110" s="181" t="e">
        <f t="shared" si="30"/>
        <v>#N/A</v>
      </c>
      <c r="AR110" s="181" t="e">
        <f t="shared" si="32"/>
        <v>#N/A</v>
      </c>
      <c r="AW110" s="181" t="e">
        <f t="shared" si="34"/>
        <v>#N/A</v>
      </c>
    </row>
    <row r="111" spans="2:50">
      <c r="M111" s="185" t="e">
        <f>RANK(K111, K$91:$K$127)</f>
        <v>#N/A</v>
      </c>
      <c r="S111" s="181" t="e">
        <f t="shared" si="23"/>
        <v>#N/A</v>
      </c>
      <c r="X111" s="181" t="e">
        <f t="shared" si="24"/>
        <v>#N/A</v>
      </c>
      <c r="AC111" s="181" t="e">
        <f t="shared" si="26"/>
        <v>#N/A</v>
      </c>
      <c r="AH111" s="181" t="e">
        <f t="shared" si="28"/>
        <v>#N/A</v>
      </c>
      <c r="AM111" s="181" t="e">
        <f t="shared" si="30"/>
        <v>#N/A</v>
      </c>
      <c r="AR111" s="181" t="e">
        <f t="shared" si="32"/>
        <v>#N/A</v>
      </c>
      <c r="AW111" s="181" t="e">
        <f t="shared" si="34"/>
        <v>#N/A</v>
      </c>
    </row>
    <row r="112" spans="2:50">
      <c r="M112" s="185" t="e">
        <f>RANK(K112, K$91:$K$127)</f>
        <v>#N/A</v>
      </c>
      <c r="S112" s="181" t="e">
        <f t="shared" si="23"/>
        <v>#N/A</v>
      </c>
      <c r="X112" s="181" t="e">
        <f t="shared" si="24"/>
        <v>#N/A</v>
      </c>
      <c r="AC112" s="181" t="e">
        <f t="shared" si="26"/>
        <v>#N/A</v>
      </c>
      <c r="AH112" s="181" t="e">
        <f t="shared" si="28"/>
        <v>#N/A</v>
      </c>
      <c r="AM112" s="181" t="e">
        <f t="shared" si="30"/>
        <v>#N/A</v>
      </c>
      <c r="AR112" s="181" t="e">
        <f t="shared" si="32"/>
        <v>#N/A</v>
      </c>
      <c r="AW112" s="181" t="e">
        <f t="shared" si="34"/>
        <v>#N/A</v>
      </c>
    </row>
    <row r="113" spans="13:49">
      <c r="M113" s="185" t="e">
        <f>RANK(K113, K$91:$K$127)</f>
        <v>#N/A</v>
      </c>
      <c r="S113" s="181" t="e">
        <f t="shared" si="23"/>
        <v>#N/A</v>
      </c>
      <c r="X113" s="181" t="e">
        <f t="shared" si="24"/>
        <v>#N/A</v>
      </c>
      <c r="AC113" s="181" t="e">
        <f t="shared" si="26"/>
        <v>#N/A</v>
      </c>
      <c r="AH113" s="181" t="e">
        <f t="shared" si="28"/>
        <v>#N/A</v>
      </c>
      <c r="AM113" s="181" t="e">
        <f t="shared" si="30"/>
        <v>#N/A</v>
      </c>
      <c r="AR113" s="181" t="e">
        <f t="shared" si="32"/>
        <v>#N/A</v>
      </c>
      <c r="AW113" s="181" t="e">
        <f t="shared" si="34"/>
        <v>#N/A</v>
      </c>
    </row>
    <row r="114" spans="13:49">
      <c r="M114" s="185" t="e">
        <f>RANK(K114, K$91:$K$127)</f>
        <v>#N/A</v>
      </c>
      <c r="S114" s="181" t="e">
        <f t="shared" si="23"/>
        <v>#N/A</v>
      </c>
      <c r="X114" s="181" t="e">
        <f t="shared" si="24"/>
        <v>#N/A</v>
      </c>
      <c r="AC114" s="181" t="e">
        <f t="shared" si="26"/>
        <v>#N/A</v>
      </c>
      <c r="AH114" s="181" t="e">
        <f t="shared" si="28"/>
        <v>#N/A</v>
      </c>
      <c r="AM114" s="181" t="e">
        <f t="shared" si="30"/>
        <v>#N/A</v>
      </c>
      <c r="AR114" s="181" t="e">
        <f t="shared" si="32"/>
        <v>#N/A</v>
      </c>
      <c r="AW114" s="181" t="e">
        <f t="shared" si="34"/>
        <v>#N/A</v>
      </c>
    </row>
    <row r="115" spans="13:49">
      <c r="M115" s="185" t="e">
        <f>RANK(K115, K$91:$K$127)</f>
        <v>#N/A</v>
      </c>
      <c r="S115" s="181" t="e">
        <f t="shared" si="23"/>
        <v>#N/A</v>
      </c>
      <c r="X115" s="181" t="e">
        <f t="shared" si="24"/>
        <v>#N/A</v>
      </c>
      <c r="AC115" s="181" t="e">
        <f t="shared" si="26"/>
        <v>#N/A</v>
      </c>
      <c r="AH115" s="181" t="e">
        <f t="shared" si="28"/>
        <v>#N/A</v>
      </c>
      <c r="AM115" s="181" t="e">
        <f t="shared" si="30"/>
        <v>#N/A</v>
      </c>
      <c r="AR115" s="181" t="e">
        <f t="shared" si="32"/>
        <v>#N/A</v>
      </c>
      <c r="AW115" s="181" t="e">
        <f t="shared" si="34"/>
        <v>#N/A</v>
      </c>
    </row>
    <row r="116" spans="13:49">
      <c r="M116" s="185" t="e">
        <f>RANK(K116, K$91:$K$127)</f>
        <v>#N/A</v>
      </c>
      <c r="S116" s="181" t="e">
        <f t="shared" si="23"/>
        <v>#N/A</v>
      </c>
      <c r="X116" s="181" t="e">
        <f t="shared" si="24"/>
        <v>#N/A</v>
      </c>
      <c r="AC116" s="181" t="e">
        <f t="shared" si="26"/>
        <v>#N/A</v>
      </c>
      <c r="AH116" s="181" t="e">
        <f t="shared" si="28"/>
        <v>#N/A</v>
      </c>
      <c r="AM116" s="181" t="e">
        <f t="shared" si="30"/>
        <v>#N/A</v>
      </c>
      <c r="AR116" s="181" t="e">
        <f t="shared" si="32"/>
        <v>#N/A</v>
      </c>
      <c r="AW116" s="181" t="e">
        <f t="shared" si="34"/>
        <v>#N/A</v>
      </c>
    </row>
    <row r="117" spans="13:49">
      <c r="M117" s="185" t="e">
        <f>RANK(K117, K$91:$K$127)</f>
        <v>#N/A</v>
      </c>
      <c r="S117" s="181" t="e">
        <f t="shared" si="23"/>
        <v>#N/A</v>
      </c>
      <c r="X117" s="181" t="e">
        <f t="shared" si="24"/>
        <v>#N/A</v>
      </c>
      <c r="AC117" s="181" t="e">
        <f t="shared" si="26"/>
        <v>#N/A</v>
      </c>
      <c r="AH117" s="181" t="e">
        <f t="shared" si="28"/>
        <v>#N/A</v>
      </c>
      <c r="AM117" s="181" t="e">
        <f t="shared" si="30"/>
        <v>#N/A</v>
      </c>
      <c r="AR117" s="181" t="e">
        <f t="shared" si="32"/>
        <v>#N/A</v>
      </c>
      <c r="AW117" s="181" t="e">
        <f t="shared" si="34"/>
        <v>#N/A</v>
      </c>
    </row>
    <row r="118" spans="13:49">
      <c r="M118" s="185" t="e">
        <f>RANK(K118, K$91:$K$127)</f>
        <v>#N/A</v>
      </c>
      <c r="S118" s="181" t="e">
        <f t="shared" si="23"/>
        <v>#N/A</v>
      </c>
      <c r="X118" s="181" t="e">
        <f t="shared" si="24"/>
        <v>#N/A</v>
      </c>
      <c r="AC118" s="181" t="e">
        <f t="shared" si="26"/>
        <v>#N/A</v>
      </c>
      <c r="AH118" s="181" t="e">
        <f t="shared" si="28"/>
        <v>#N/A</v>
      </c>
      <c r="AM118" s="181" t="e">
        <f t="shared" si="30"/>
        <v>#N/A</v>
      </c>
      <c r="AR118" s="181" t="e">
        <f t="shared" si="32"/>
        <v>#N/A</v>
      </c>
      <c r="AW118" s="181" t="e">
        <f t="shared" si="34"/>
        <v>#N/A</v>
      </c>
    </row>
    <row r="119" spans="13:49">
      <c r="M119" s="185" t="e">
        <f>RANK(K119, K$91:$K$127)</f>
        <v>#N/A</v>
      </c>
      <c r="S119" s="181" t="e">
        <f t="shared" si="23"/>
        <v>#N/A</v>
      </c>
      <c r="X119" s="181" t="e">
        <f t="shared" si="24"/>
        <v>#N/A</v>
      </c>
      <c r="AC119" s="181" t="e">
        <f t="shared" si="26"/>
        <v>#N/A</v>
      </c>
      <c r="AH119" s="181" t="e">
        <f t="shared" si="28"/>
        <v>#N/A</v>
      </c>
      <c r="AM119" s="181" t="e">
        <f t="shared" si="30"/>
        <v>#N/A</v>
      </c>
      <c r="AR119" s="181" t="e">
        <f t="shared" si="32"/>
        <v>#N/A</v>
      </c>
      <c r="AW119" s="181" t="e">
        <f t="shared" si="34"/>
        <v>#N/A</v>
      </c>
    </row>
    <row r="120" spans="13:49">
      <c r="M120" s="185" t="e">
        <f>RANK(K120, K$91:$K$127)</f>
        <v>#N/A</v>
      </c>
      <c r="S120" s="181" t="e">
        <f t="shared" si="23"/>
        <v>#N/A</v>
      </c>
      <c r="X120" s="181" t="e">
        <f t="shared" si="24"/>
        <v>#N/A</v>
      </c>
      <c r="AC120" s="181" t="e">
        <f t="shared" si="26"/>
        <v>#N/A</v>
      </c>
      <c r="AH120" s="181" t="e">
        <f t="shared" si="28"/>
        <v>#N/A</v>
      </c>
      <c r="AM120" s="181" t="e">
        <f t="shared" si="30"/>
        <v>#N/A</v>
      </c>
      <c r="AR120" s="181" t="e">
        <f t="shared" si="32"/>
        <v>#N/A</v>
      </c>
      <c r="AW120" s="181" t="e">
        <f t="shared" si="34"/>
        <v>#N/A</v>
      </c>
    </row>
    <row r="121" spans="13:49">
      <c r="M121" s="185" t="e">
        <f>RANK(K121, K$91:$K$127)</f>
        <v>#N/A</v>
      </c>
      <c r="S121" s="181" t="e">
        <f t="shared" si="23"/>
        <v>#N/A</v>
      </c>
      <c r="X121" s="181" t="e">
        <f t="shared" si="24"/>
        <v>#N/A</v>
      </c>
      <c r="AC121" s="181" t="e">
        <f t="shared" si="26"/>
        <v>#N/A</v>
      </c>
      <c r="AH121" s="181" t="e">
        <f t="shared" si="28"/>
        <v>#N/A</v>
      </c>
      <c r="AM121" s="181" t="e">
        <f t="shared" si="30"/>
        <v>#N/A</v>
      </c>
      <c r="AR121" s="181" t="e">
        <f t="shared" si="32"/>
        <v>#N/A</v>
      </c>
      <c r="AW121" s="181" t="e">
        <f t="shared" si="34"/>
        <v>#N/A</v>
      </c>
    </row>
    <row r="122" spans="13:49">
      <c r="M122" s="185" t="e">
        <f>RANK(K122, K$91:$K$127)</f>
        <v>#N/A</v>
      </c>
      <c r="S122" s="181" t="e">
        <f t="shared" si="23"/>
        <v>#N/A</v>
      </c>
      <c r="X122" s="181" t="e">
        <f t="shared" si="24"/>
        <v>#N/A</v>
      </c>
      <c r="AC122" s="181" t="e">
        <f t="shared" si="26"/>
        <v>#N/A</v>
      </c>
      <c r="AH122" s="181" t="e">
        <f t="shared" si="28"/>
        <v>#N/A</v>
      </c>
      <c r="AM122" s="181" t="e">
        <f t="shared" si="30"/>
        <v>#N/A</v>
      </c>
      <c r="AR122" s="181" t="e">
        <f t="shared" si="32"/>
        <v>#N/A</v>
      </c>
      <c r="AW122" s="181" t="e">
        <f t="shared" si="34"/>
        <v>#N/A</v>
      </c>
    </row>
    <row r="123" spans="13:49">
      <c r="M123" s="185" t="e">
        <f>RANK(K123, K$91:$K$127)</f>
        <v>#N/A</v>
      </c>
      <c r="S123" s="181" t="e">
        <f t="shared" si="23"/>
        <v>#N/A</v>
      </c>
      <c r="X123" s="181" t="e">
        <f t="shared" si="24"/>
        <v>#N/A</v>
      </c>
      <c r="AC123" s="181" t="e">
        <f t="shared" si="26"/>
        <v>#N/A</v>
      </c>
      <c r="AH123" s="181" t="e">
        <f t="shared" si="28"/>
        <v>#N/A</v>
      </c>
      <c r="AM123" s="181" t="e">
        <f t="shared" si="30"/>
        <v>#N/A</v>
      </c>
      <c r="AR123" s="181" t="e">
        <f t="shared" si="32"/>
        <v>#N/A</v>
      </c>
      <c r="AW123" s="181" t="e">
        <f t="shared" si="34"/>
        <v>#N/A</v>
      </c>
    </row>
    <row r="124" spans="13:49">
      <c r="M124" s="185" t="e">
        <f>RANK(K124, K$91:$K$127)</f>
        <v>#N/A</v>
      </c>
      <c r="S124" s="181" t="e">
        <f t="shared" si="23"/>
        <v>#N/A</v>
      </c>
      <c r="X124" s="181" t="e">
        <f t="shared" si="24"/>
        <v>#N/A</v>
      </c>
      <c r="AC124" s="181" t="e">
        <f t="shared" si="26"/>
        <v>#N/A</v>
      </c>
      <c r="AH124" s="181" t="e">
        <f t="shared" si="28"/>
        <v>#N/A</v>
      </c>
      <c r="AM124" s="181" t="e">
        <f t="shared" si="30"/>
        <v>#N/A</v>
      </c>
      <c r="AR124" s="181" t="e">
        <f t="shared" si="32"/>
        <v>#N/A</v>
      </c>
      <c r="AW124" s="181" t="e">
        <f t="shared" si="34"/>
        <v>#N/A</v>
      </c>
    </row>
    <row r="125" spans="13:49">
      <c r="M125" s="185" t="e">
        <f>RANK(K125, K$91:$K$127)</f>
        <v>#N/A</v>
      </c>
      <c r="S125" s="181" t="e">
        <f t="shared" si="23"/>
        <v>#N/A</v>
      </c>
      <c r="X125" s="181" t="e">
        <f t="shared" si="24"/>
        <v>#N/A</v>
      </c>
      <c r="AC125" s="181" t="e">
        <f t="shared" si="26"/>
        <v>#N/A</v>
      </c>
      <c r="AH125" s="181" t="e">
        <f t="shared" si="28"/>
        <v>#N/A</v>
      </c>
      <c r="AM125" s="181" t="e">
        <f t="shared" si="30"/>
        <v>#N/A</v>
      </c>
      <c r="AR125" s="181" t="e">
        <f t="shared" si="32"/>
        <v>#N/A</v>
      </c>
      <c r="AW125" s="181" t="e">
        <f t="shared" si="34"/>
        <v>#N/A</v>
      </c>
    </row>
    <row r="126" spans="13:49">
      <c r="M126" s="185" t="e">
        <f>RANK(K126, K$91:$K$127)</f>
        <v>#N/A</v>
      </c>
      <c r="S126" s="181" t="e">
        <f t="shared" si="23"/>
        <v>#N/A</v>
      </c>
      <c r="X126" s="181" t="e">
        <f t="shared" si="24"/>
        <v>#N/A</v>
      </c>
      <c r="AC126" s="181" t="e">
        <f t="shared" si="26"/>
        <v>#N/A</v>
      </c>
      <c r="AH126" s="181" t="e">
        <f t="shared" si="28"/>
        <v>#N/A</v>
      </c>
      <c r="AM126" s="181" t="e">
        <f t="shared" si="30"/>
        <v>#N/A</v>
      </c>
      <c r="AR126" s="181" t="e">
        <f t="shared" si="32"/>
        <v>#N/A</v>
      </c>
      <c r="AW126" s="181" t="e">
        <f t="shared" si="34"/>
        <v>#N/A</v>
      </c>
    </row>
  </sheetData>
  <mergeCells count="235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AJ86:AN86"/>
    <mergeCell ref="AO86:AS8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86:AX86"/>
    <mergeCell ref="P87:T87"/>
    <mergeCell ref="U87:Y87"/>
    <mergeCell ref="Z87:AD87"/>
    <mergeCell ref="AE87:AI87"/>
    <mergeCell ref="AJ87:AN87"/>
    <mergeCell ref="AO87:AS87"/>
    <mergeCell ref="AT87:AX87"/>
    <mergeCell ref="B88:B90"/>
    <mergeCell ref="C88:D90"/>
    <mergeCell ref="E88:G88"/>
    <mergeCell ref="H88:H90"/>
    <mergeCell ref="I88:K88"/>
    <mergeCell ref="L88:L90"/>
    <mergeCell ref="M88:M90"/>
    <mergeCell ref="N88:N105"/>
    <mergeCell ref="O88:O105"/>
    <mergeCell ref="P88:S88"/>
    <mergeCell ref="T88:T90"/>
    <mergeCell ref="U88:X88"/>
    <mergeCell ref="Y88:Y90"/>
    <mergeCell ref="Z88:AC88"/>
    <mergeCell ref="AD88:AD90"/>
    <mergeCell ref="AE88:AH88"/>
    <mergeCell ref="AN91:AN105"/>
    <mergeCell ref="AS91:AS105"/>
    <mergeCell ref="AI88:AI90"/>
    <mergeCell ref="AJ88:AM88"/>
    <mergeCell ref="AN88:AN90"/>
    <mergeCell ref="AO88:AR88"/>
    <mergeCell ref="AS88:AS90"/>
    <mergeCell ref="AT88:AW88"/>
    <mergeCell ref="AX88:AX90"/>
    <mergeCell ref="AJ89:AM89"/>
    <mergeCell ref="AO89:AR89"/>
    <mergeCell ref="AT89:AW89"/>
    <mergeCell ref="I44:K44"/>
    <mergeCell ref="L44:L46"/>
    <mergeCell ref="B91:B105"/>
    <mergeCell ref="H91:H105"/>
    <mergeCell ref="L91:L105"/>
    <mergeCell ref="T91:T105"/>
    <mergeCell ref="Y91:Y105"/>
    <mergeCell ref="AD91:AD105"/>
    <mergeCell ref="AI91:AI105"/>
    <mergeCell ref="E89:G89"/>
    <mergeCell ref="I89:K89"/>
    <mergeCell ref="P89:S89"/>
    <mergeCell ref="U89:X89"/>
    <mergeCell ref="Z89:AC89"/>
    <mergeCell ref="AE89:AH89"/>
    <mergeCell ref="N86:N87"/>
    <mergeCell ref="O86:O87"/>
    <mergeCell ref="P86:T86"/>
    <mergeCell ref="U86:Y86"/>
    <mergeCell ref="Z86:AD86"/>
    <mergeCell ref="AE86:AI86"/>
    <mergeCell ref="Z44:AC44"/>
    <mergeCell ref="AD44:AD46"/>
    <mergeCell ref="AX91:AX105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126"/>
  <sheetViews>
    <sheetView zoomScaleNormal="100" workbookViewId="0">
      <pane xSplit="13" ySplit="1" topLeftCell="N29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S47" sqref="S47:S51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8" t="s">
        <v>744</v>
      </c>
      <c r="C1" s="174">
        <f>AVERAGE(L7,L27,L47)</f>
        <v>432.41162804909641</v>
      </c>
    </row>
    <row r="2" spans="1:50" ht="14.25" customHeight="1" collapsed="1">
      <c r="B2" s="625" t="s">
        <v>709</v>
      </c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2"/>
      <c r="N2" s="629" t="s">
        <v>363</v>
      </c>
      <c r="O2" s="615" t="s">
        <v>105</v>
      </c>
      <c r="P2" s="617">
        <v>46203</v>
      </c>
      <c r="Q2" s="618"/>
      <c r="R2" s="618"/>
      <c r="S2" s="618"/>
      <c r="T2" s="618"/>
      <c r="U2" s="619">
        <v>46204</v>
      </c>
      <c r="V2" s="620"/>
      <c r="W2" s="620"/>
      <c r="X2" s="620"/>
      <c r="Y2" s="620"/>
      <c r="Z2" s="617">
        <v>46205</v>
      </c>
      <c r="AA2" s="618"/>
      <c r="AB2" s="618"/>
      <c r="AC2" s="618"/>
      <c r="AD2" s="618"/>
      <c r="AE2" s="619">
        <v>46206</v>
      </c>
      <c r="AF2" s="620"/>
      <c r="AG2" s="620"/>
      <c r="AH2" s="620"/>
      <c r="AI2" s="620"/>
      <c r="AJ2" s="602">
        <v>46207</v>
      </c>
      <c r="AK2" s="603"/>
      <c r="AL2" s="603"/>
      <c r="AM2" s="603"/>
      <c r="AN2" s="604"/>
      <c r="AO2" s="619">
        <v>46208</v>
      </c>
      <c r="AP2" s="620"/>
      <c r="AQ2" s="620"/>
      <c r="AR2" s="620"/>
      <c r="AS2" s="620"/>
      <c r="AT2" s="602">
        <v>46209</v>
      </c>
      <c r="AU2" s="603"/>
      <c r="AV2" s="603"/>
      <c r="AW2" s="603"/>
      <c r="AX2" s="604"/>
    </row>
    <row r="3" spans="1:50" ht="14.25" customHeight="1"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4"/>
      <c r="N3" s="630"/>
      <c r="O3" s="616"/>
      <c r="P3" s="605">
        <v>46196</v>
      </c>
      <c r="Q3" s="605"/>
      <c r="R3" s="605"/>
      <c r="S3" s="605"/>
      <c r="T3" s="605"/>
      <c r="U3" s="606">
        <v>46197</v>
      </c>
      <c r="V3" s="606"/>
      <c r="W3" s="606"/>
      <c r="X3" s="606"/>
      <c r="Y3" s="606"/>
      <c r="Z3" s="605">
        <v>46198</v>
      </c>
      <c r="AA3" s="605"/>
      <c r="AB3" s="605"/>
      <c r="AC3" s="605"/>
      <c r="AD3" s="605"/>
      <c r="AE3" s="606">
        <v>46199</v>
      </c>
      <c r="AF3" s="606"/>
      <c r="AG3" s="606"/>
      <c r="AH3" s="606"/>
      <c r="AI3" s="606"/>
      <c r="AJ3" s="607">
        <v>46200</v>
      </c>
      <c r="AK3" s="608"/>
      <c r="AL3" s="608"/>
      <c r="AM3" s="608"/>
      <c r="AN3" s="609"/>
      <c r="AO3" s="606">
        <v>46201</v>
      </c>
      <c r="AP3" s="606"/>
      <c r="AQ3" s="606"/>
      <c r="AR3" s="606"/>
      <c r="AS3" s="606"/>
      <c r="AT3" s="607">
        <v>46202</v>
      </c>
      <c r="AU3" s="608"/>
      <c r="AV3" s="608"/>
      <c r="AW3" s="608"/>
      <c r="AX3" s="609"/>
    </row>
    <row r="4" spans="1:50" ht="14.25" customHeight="1">
      <c r="B4" s="597" t="s">
        <v>162</v>
      </c>
      <c r="C4" s="597" t="s">
        <v>157</v>
      </c>
      <c r="D4" s="597"/>
      <c r="E4" s="597" t="s">
        <v>158</v>
      </c>
      <c r="F4" s="597"/>
      <c r="G4" s="597"/>
      <c r="H4" s="597" t="s">
        <v>163</v>
      </c>
      <c r="I4" s="601" t="s">
        <v>364</v>
      </c>
      <c r="J4" s="601"/>
      <c r="K4" s="601"/>
      <c r="L4" s="601" t="s">
        <v>163</v>
      </c>
      <c r="M4" s="601" t="s">
        <v>165</v>
      </c>
      <c r="N4" s="597"/>
      <c r="O4" s="597" t="s">
        <v>164</v>
      </c>
      <c r="P4" s="597" t="s">
        <v>160</v>
      </c>
      <c r="Q4" s="597"/>
      <c r="R4" s="597"/>
      <c r="S4" s="597"/>
      <c r="T4" s="597" t="s">
        <v>163</v>
      </c>
      <c r="U4" s="597" t="s">
        <v>160</v>
      </c>
      <c r="V4" s="597"/>
      <c r="W4" s="597"/>
      <c r="X4" s="597"/>
      <c r="Y4" s="597" t="s">
        <v>163</v>
      </c>
      <c r="Z4" s="597" t="s">
        <v>160</v>
      </c>
      <c r="AA4" s="597"/>
      <c r="AB4" s="597"/>
      <c r="AC4" s="597"/>
      <c r="AD4" s="597" t="s">
        <v>163</v>
      </c>
      <c r="AE4" s="597" t="s">
        <v>160</v>
      </c>
      <c r="AF4" s="597"/>
      <c r="AG4" s="597"/>
      <c r="AH4" s="597"/>
      <c r="AI4" s="597" t="s">
        <v>163</v>
      </c>
      <c r="AJ4" s="597" t="s">
        <v>160</v>
      </c>
      <c r="AK4" s="597"/>
      <c r="AL4" s="597"/>
      <c r="AM4" s="597"/>
      <c r="AN4" s="597" t="s">
        <v>163</v>
      </c>
      <c r="AO4" s="597" t="s">
        <v>160</v>
      </c>
      <c r="AP4" s="597"/>
      <c r="AQ4" s="597"/>
      <c r="AR4" s="597"/>
      <c r="AS4" s="597" t="s">
        <v>163</v>
      </c>
      <c r="AT4" s="597" t="s">
        <v>160</v>
      </c>
      <c r="AU4" s="597"/>
      <c r="AV4" s="597"/>
      <c r="AW4" s="597"/>
      <c r="AX4" s="597" t="s">
        <v>163</v>
      </c>
    </row>
    <row r="5" spans="1:50" ht="14.25" customHeight="1">
      <c r="B5" s="597"/>
      <c r="C5" s="597"/>
      <c r="D5" s="597"/>
      <c r="E5" s="597" t="s">
        <v>365</v>
      </c>
      <c r="F5" s="597"/>
      <c r="G5" s="597"/>
      <c r="H5" s="597"/>
      <c r="I5" s="601" t="s">
        <v>365</v>
      </c>
      <c r="J5" s="601"/>
      <c r="K5" s="601"/>
      <c r="L5" s="601"/>
      <c r="M5" s="601"/>
      <c r="N5" s="597"/>
      <c r="O5" s="597"/>
      <c r="P5" s="597" t="s">
        <v>366</v>
      </c>
      <c r="Q5" s="597"/>
      <c r="R5" s="597"/>
      <c r="S5" s="597"/>
      <c r="T5" s="597"/>
      <c r="U5" s="597" t="s">
        <v>366</v>
      </c>
      <c r="V5" s="597"/>
      <c r="W5" s="597"/>
      <c r="X5" s="597"/>
      <c r="Y5" s="597"/>
      <c r="Z5" s="597" t="s">
        <v>366</v>
      </c>
      <c r="AA5" s="597"/>
      <c r="AB5" s="597"/>
      <c r="AC5" s="597"/>
      <c r="AD5" s="597"/>
      <c r="AE5" s="597" t="s">
        <v>366</v>
      </c>
      <c r="AF5" s="597"/>
      <c r="AG5" s="597"/>
      <c r="AH5" s="597"/>
      <c r="AI5" s="597"/>
      <c r="AJ5" s="597" t="s">
        <v>366</v>
      </c>
      <c r="AK5" s="597"/>
      <c r="AL5" s="597"/>
      <c r="AM5" s="597"/>
      <c r="AN5" s="597"/>
      <c r="AO5" s="597" t="s">
        <v>366</v>
      </c>
      <c r="AP5" s="597"/>
      <c r="AQ5" s="597"/>
      <c r="AR5" s="597"/>
      <c r="AS5" s="597"/>
      <c r="AT5" s="597" t="s">
        <v>366</v>
      </c>
      <c r="AU5" s="597"/>
      <c r="AV5" s="597"/>
      <c r="AW5" s="597"/>
      <c r="AX5" s="597"/>
    </row>
    <row r="6" spans="1:50" ht="14.25" customHeight="1">
      <c r="B6" s="597"/>
      <c r="C6" s="597"/>
      <c r="D6" s="597"/>
      <c r="E6" s="179" t="s">
        <v>159</v>
      </c>
      <c r="F6" s="179" t="s">
        <v>367</v>
      </c>
      <c r="G6" s="179" t="s">
        <v>161</v>
      </c>
      <c r="H6" s="597"/>
      <c r="I6" s="180" t="s">
        <v>159</v>
      </c>
      <c r="J6" s="180" t="s">
        <v>367</v>
      </c>
      <c r="K6" s="180" t="s">
        <v>161</v>
      </c>
      <c r="L6" s="601"/>
      <c r="M6" s="601"/>
      <c r="N6" s="597"/>
      <c r="O6" s="597"/>
      <c r="P6" s="179" t="s">
        <v>159</v>
      </c>
      <c r="Q6" s="179" t="s">
        <v>367</v>
      </c>
      <c r="R6" s="179" t="s">
        <v>161</v>
      </c>
      <c r="S6" s="181" t="s">
        <v>165</v>
      </c>
      <c r="T6" s="597"/>
      <c r="U6" s="179" t="s">
        <v>159</v>
      </c>
      <c r="V6" s="179" t="s">
        <v>367</v>
      </c>
      <c r="W6" s="179" t="s">
        <v>161</v>
      </c>
      <c r="X6" s="181" t="s">
        <v>165</v>
      </c>
      <c r="Y6" s="597"/>
      <c r="Z6" s="179" t="s">
        <v>159</v>
      </c>
      <c r="AA6" s="179" t="s">
        <v>367</v>
      </c>
      <c r="AB6" s="179" t="s">
        <v>161</v>
      </c>
      <c r="AC6" s="181" t="s">
        <v>165</v>
      </c>
      <c r="AD6" s="597"/>
      <c r="AE6" s="179" t="s">
        <v>159</v>
      </c>
      <c r="AF6" s="179" t="s">
        <v>367</v>
      </c>
      <c r="AG6" s="179" t="s">
        <v>161</v>
      </c>
      <c r="AH6" s="181" t="s">
        <v>165</v>
      </c>
      <c r="AI6" s="597"/>
      <c r="AJ6" s="179" t="s">
        <v>159</v>
      </c>
      <c r="AK6" s="179" t="s">
        <v>367</v>
      </c>
      <c r="AL6" s="179" t="s">
        <v>161</v>
      </c>
      <c r="AM6" s="181" t="s">
        <v>165</v>
      </c>
      <c r="AN6" s="597"/>
      <c r="AO6" s="179" t="s">
        <v>159</v>
      </c>
      <c r="AP6" s="179" t="s">
        <v>367</v>
      </c>
      <c r="AQ6" s="179" t="s">
        <v>161</v>
      </c>
      <c r="AR6" s="181" t="s">
        <v>165</v>
      </c>
      <c r="AS6" s="597"/>
      <c r="AT6" s="179" t="s">
        <v>159</v>
      </c>
      <c r="AU6" s="179" t="s">
        <v>367</v>
      </c>
      <c r="AV6" s="179" t="s">
        <v>161</v>
      </c>
      <c r="AW6" s="181" t="s">
        <v>165</v>
      </c>
      <c r="AX6" s="597"/>
    </row>
    <row r="7" spans="1:50" ht="14.25" customHeight="1">
      <c r="B7" s="597" t="s">
        <v>370</v>
      </c>
      <c r="C7" s="179">
        <v>1</v>
      </c>
      <c r="D7" s="182" t="s">
        <v>596</v>
      </c>
      <c r="E7" s="183">
        <v>5</v>
      </c>
      <c r="F7" s="179">
        <v>3273</v>
      </c>
      <c r="G7" s="184">
        <f>IFERROR(F7/E7,"")</f>
        <v>654.6</v>
      </c>
      <c r="H7" s="598">
        <f>AVERAGE(G7:G21)</f>
        <v>456.17333333333335</v>
      </c>
      <c r="I7" s="185">
        <f>AVERAGE(P7,U7,Z7,AE7,AJ7,AO7,AT7)</f>
        <v>6</v>
      </c>
      <c r="J7" s="185">
        <f>AVERAGE(Q7,V7,AA7,AF7,AK7,AP7,AU7)</f>
        <v>2961.6418775921857</v>
      </c>
      <c r="K7" s="186">
        <f>AVERAGE(R7,W7,AB7,AG7,AL7,AQ7,AV7)</f>
        <v>493.60697959869776</v>
      </c>
      <c r="L7" s="599">
        <f>IFERROR(AVERAGE(K7:K21),"-")</f>
        <v>393.22072339151038</v>
      </c>
      <c r="M7" s="185">
        <f>RANK(K7, K$7:$K$21)</f>
        <v>2</v>
      </c>
      <c r="N7" s="597"/>
      <c r="O7" s="597"/>
      <c r="P7" s="187">
        <v>6</v>
      </c>
      <c r="Q7" s="187">
        <v>2961.6418775921861</v>
      </c>
      <c r="R7" s="184">
        <f>IFERROR(Q7/P7,"")</f>
        <v>493.60697959869771</v>
      </c>
      <c r="S7" s="181">
        <f>RANK(R7, R$7:R$21)</f>
        <v>2</v>
      </c>
      <c r="T7" s="598">
        <f>AVERAGE(R7:R21)</f>
        <v>393.15172008544533</v>
      </c>
      <c r="U7" s="187">
        <v>6</v>
      </c>
      <c r="V7" s="187">
        <v>2961.6418775921866</v>
      </c>
      <c r="W7" s="184">
        <f t="shared" ref="W7:W11" si="0">IFERROR(V7/U7,"")</f>
        <v>493.60697959869776</v>
      </c>
      <c r="X7" s="181">
        <f>RANK(W7, W$7:W$21)</f>
        <v>2</v>
      </c>
      <c r="Y7" s="598">
        <f>AVERAGE(W7:W21)</f>
        <v>393.199294752112</v>
      </c>
      <c r="Z7" s="187">
        <v>6</v>
      </c>
      <c r="AA7" s="187">
        <v>2961.6418775921861</v>
      </c>
      <c r="AB7" s="184">
        <f>IFERROR(AA7/Z7,"")</f>
        <v>493.60697959869771</v>
      </c>
      <c r="AC7" s="181">
        <f>RANK(AB7, AB$7:AB$21)</f>
        <v>2</v>
      </c>
      <c r="AD7" s="598">
        <f>AVERAGE(AB7:AB21)</f>
        <v>393.14737741877866</v>
      </c>
      <c r="AE7" s="187">
        <v>6</v>
      </c>
      <c r="AF7" s="187">
        <v>2961.6418775921866</v>
      </c>
      <c r="AG7" s="184">
        <f>IFERROR(AF7/AE7,"")</f>
        <v>493.60697959869776</v>
      </c>
      <c r="AH7" s="181">
        <f>RANK(AG7, AG$7:AG$21)</f>
        <v>2</v>
      </c>
      <c r="AI7" s="598">
        <f>AVERAGE(AG7:AG21)</f>
        <v>393.20610853772581</v>
      </c>
      <c r="AJ7" s="187">
        <v>6</v>
      </c>
      <c r="AK7" s="187">
        <v>2961.6418775921857</v>
      </c>
      <c r="AL7" s="184">
        <f>IFERROR(AK7/AJ7,"")</f>
        <v>493.60697959869759</v>
      </c>
      <c r="AM7" s="181">
        <f>RANK(AL7, AL$7:AL$21)</f>
        <v>2</v>
      </c>
      <c r="AN7" s="598">
        <f>AVERAGE(AL7:AL21)</f>
        <v>393.26714320439248</v>
      </c>
      <c r="AO7" s="187">
        <v>6</v>
      </c>
      <c r="AP7" s="187">
        <v>2961.6418775921861</v>
      </c>
      <c r="AQ7" s="184">
        <f>IFERROR(AP7/AO7,"")</f>
        <v>493.60697959869771</v>
      </c>
      <c r="AR7" s="181">
        <f>RANK(AQ7, AQ$7:AQ$21)</f>
        <v>2</v>
      </c>
      <c r="AS7" s="598">
        <f>AVERAGE(AQ7:AQ21)</f>
        <v>393.30409387105914</v>
      </c>
      <c r="AT7" s="187">
        <v>6</v>
      </c>
      <c r="AU7" s="187">
        <v>2961.6418775921861</v>
      </c>
      <c r="AV7" s="184">
        <f>IFERROR(AU7/AT7,"")</f>
        <v>493.60697959869771</v>
      </c>
      <c r="AW7" s="181">
        <f>RANK(AV7, AV$7:AV$21)</f>
        <v>2</v>
      </c>
      <c r="AX7" s="598">
        <f>AVERAGE(AV7:AV21)</f>
        <v>393.26932587105915</v>
      </c>
    </row>
    <row r="8" spans="1:50" ht="14.25" customHeight="1">
      <c r="B8" s="597"/>
      <c r="C8" s="179">
        <v>2</v>
      </c>
      <c r="D8" s="182" t="s">
        <v>578</v>
      </c>
      <c r="E8" s="179">
        <v>6</v>
      </c>
      <c r="F8" s="179">
        <v>2600</v>
      </c>
      <c r="G8" s="184">
        <f t="shared" ref="G8:G11" si="1">IFERROR(F8/E8,"")</f>
        <v>433.33333333333331</v>
      </c>
      <c r="H8" s="598"/>
      <c r="I8" s="185">
        <f>AVERAGE(P8,U8,Z8,AE8,AJ8,AO8,AT8)</f>
        <v>6</v>
      </c>
      <c r="J8" s="185">
        <f t="shared" ref="J8:K11" si="2">AVERAGE(Q8,V8,AA8,AF8,AK8,AP8,AU8)</f>
        <v>2354.7348409049814</v>
      </c>
      <c r="K8" s="186">
        <f t="shared" si="2"/>
        <v>392.45580681749692</v>
      </c>
      <c r="L8" s="599"/>
      <c r="M8" s="185">
        <f>RANK(K8, K$7:$K$21)</f>
        <v>3</v>
      </c>
      <c r="N8" s="597"/>
      <c r="O8" s="597"/>
      <c r="P8" s="187">
        <v>6</v>
      </c>
      <c r="Q8" s="187">
        <v>2353.211983762124</v>
      </c>
      <c r="R8" s="184">
        <f t="shared" ref="R8:R11" si="3">IFERROR(Q8/P8,"")</f>
        <v>392.20199729368733</v>
      </c>
      <c r="S8" s="181">
        <f t="shared" ref="S8:S11" si="4">RANK(R8, R$7:R$21)</f>
        <v>3</v>
      </c>
      <c r="T8" s="598"/>
      <c r="U8" s="187">
        <v>6</v>
      </c>
      <c r="V8" s="187">
        <v>2353.7319837621239</v>
      </c>
      <c r="W8" s="184">
        <f t="shared" si="0"/>
        <v>392.28866396035397</v>
      </c>
      <c r="X8" s="181">
        <f t="shared" ref="X8:X11" si="5">RANK(W8, W$7:W$21)</f>
        <v>3</v>
      </c>
      <c r="Y8" s="598"/>
      <c r="Z8" s="187">
        <v>6</v>
      </c>
      <c r="AA8" s="187">
        <v>2354.2519837621239</v>
      </c>
      <c r="AB8" s="184">
        <f t="shared" ref="AB8:AB11" si="6">IFERROR(AA8/Z8,"")</f>
        <v>392.37533062702067</v>
      </c>
      <c r="AC8" s="181">
        <f t="shared" ref="AC8:AC11" si="7">RANK(AB8, AB$7:AB$21)</f>
        <v>3</v>
      </c>
      <c r="AD8" s="598"/>
      <c r="AE8" s="187">
        <v>6</v>
      </c>
      <c r="AF8" s="187">
        <v>2355.5519837621241</v>
      </c>
      <c r="AG8" s="184">
        <f t="shared" ref="AG8:AG11" si="8">IFERROR(AF8/AE8,"")</f>
        <v>392.59199729368737</v>
      </c>
      <c r="AH8" s="181">
        <f t="shared" ref="AH8:AH11" si="9">RANK(AG8, AG$7:AG$21)</f>
        <v>3</v>
      </c>
      <c r="AI8" s="598"/>
      <c r="AJ8" s="187">
        <v>6</v>
      </c>
      <c r="AK8" s="187">
        <v>2355.0319837621246</v>
      </c>
      <c r="AL8" s="184">
        <f t="shared" ref="AL8:AL11" si="10">IFERROR(AK8/AJ8,"")</f>
        <v>392.50533062702078</v>
      </c>
      <c r="AM8" s="181">
        <f t="shared" ref="AM8:AM11" si="11">RANK(AL8, AL$7:AL$21)</f>
        <v>3</v>
      </c>
      <c r="AN8" s="598"/>
      <c r="AO8" s="187">
        <v>6</v>
      </c>
      <c r="AP8" s="187">
        <v>2355.8119837621243</v>
      </c>
      <c r="AQ8" s="184">
        <f t="shared" ref="AQ8:AQ11" si="12">IFERROR(AP8/AO8,"")</f>
        <v>392.63533062702072</v>
      </c>
      <c r="AR8" s="181">
        <f t="shared" ref="AR8:AR11" si="13">RANK(AQ8, AQ$7:AQ$21)</f>
        <v>3</v>
      </c>
      <c r="AS8" s="598"/>
      <c r="AT8" s="187">
        <v>6</v>
      </c>
      <c r="AU8" s="187">
        <v>2355.5519837621241</v>
      </c>
      <c r="AV8" s="184">
        <f t="shared" ref="AV8:AV11" si="14">IFERROR(AU8/AT8,"")</f>
        <v>392.59199729368737</v>
      </c>
      <c r="AW8" s="181">
        <f t="shared" ref="AW8:AW11" si="15">RANK(AV8, AV$7:AV$21)</f>
        <v>3</v>
      </c>
      <c r="AX8" s="598"/>
    </row>
    <row r="9" spans="1:50" ht="14.25" customHeight="1">
      <c r="B9" s="597"/>
      <c r="C9" s="179">
        <v>3</v>
      </c>
      <c r="D9" s="182" t="s">
        <v>579</v>
      </c>
      <c r="E9" s="179">
        <v>6</v>
      </c>
      <c r="F9" s="179">
        <v>2600</v>
      </c>
      <c r="G9" s="184">
        <f t="shared" si="1"/>
        <v>433.33333333333331</v>
      </c>
      <c r="H9" s="598"/>
      <c r="I9" s="185">
        <f>AVERAGE(P9,U9,Z9,AE9,AJ9,AO9,AT9)</f>
        <v>6</v>
      </c>
      <c r="J9" s="185">
        <f t="shared" si="2"/>
        <v>2351.5642285625245</v>
      </c>
      <c r="K9" s="186">
        <f t="shared" si="2"/>
        <v>391.92737142708739</v>
      </c>
      <c r="L9" s="599"/>
      <c r="M9" s="185">
        <f>RANK(K9, K$7:$K$21)</f>
        <v>4</v>
      </c>
      <c r="N9" s="597"/>
      <c r="O9" s="597"/>
      <c r="P9" s="187">
        <v>6</v>
      </c>
      <c r="Q9" s="187">
        <v>2349.7772493805733</v>
      </c>
      <c r="R9" s="184">
        <f t="shared" si="3"/>
        <v>391.62954156342886</v>
      </c>
      <c r="S9" s="181">
        <f t="shared" si="4"/>
        <v>4</v>
      </c>
      <c r="T9" s="598"/>
      <c r="U9" s="187">
        <v>6</v>
      </c>
      <c r="V9" s="187">
        <v>2351.077249380573</v>
      </c>
      <c r="W9" s="184">
        <f t="shared" si="0"/>
        <v>391.8462082300955</v>
      </c>
      <c r="X9" s="181">
        <f t="shared" si="5"/>
        <v>4</v>
      </c>
      <c r="Y9" s="598"/>
      <c r="Z9" s="187">
        <v>6</v>
      </c>
      <c r="AA9" s="187">
        <v>2350.037249380573</v>
      </c>
      <c r="AB9" s="184">
        <f t="shared" si="6"/>
        <v>391.67287489676215</v>
      </c>
      <c r="AC9" s="181">
        <f t="shared" si="7"/>
        <v>4</v>
      </c>
      <c r="AD9" s="598"/>
      <c r="AE9" s="187">
        <v>6</v>
      </c>
      <c r="AF9" s="187">
        <v>2351.9294629489873</v>
      </c>
      <c r="AG9" s="184">
        <f t="shared" si="8"/>
        <v>391.98824382483122</v>
      </c>
      <c r="AH9" s="181">
        <f t="shared" si="9"/>
        <v>4</v>
      </c>
      <c r="AI9" s="598"/>
      <c r="AJ9" s="187">
        <v>6</v>
      </c>
      <c r="AK9" s="187">
        <v>2352.7094629489879</v>
      </c>
      <c r="AL9" s="184">
        <f t="shared" si="10"/>
        <v>392.11824382483132</v>
      </c>
      <c r="AM9" s="181">
        <f t="shared" si="11"/>
        <v>4</v>
      </c>
      <c r="AN9" s="598"/>
      <c r="AO9" s="187">
        <v>6</v>
      </c>
      <c r="AP9" s="187">
        <v>2352.1894629489884</v>
      </c>
      <c r="AQ9" s="184">
        <f t="shared" si="12"/>
        <v>392.03157715816474</v>
      </c>
      <c r="AR9" s="181">
        <f t="shared" si="13"/>
        <v>4</v>
      </c>
      <c r="AS9" s="598"/>
      <c r="AT9" s="187">
        <v>6</v>
      </c>
      <c r="AU9" s="187">
        <v>2353.2294629489884</v>
      </c>
      <c r="AV9" s="184">
        <f t="shared" si="14"/>
        <v>392.20491049149808</v>
      </c>
      <c r="AW9" s="181">
        <f t="shared" si="15"/>
        <v>4</v>
      </c>
      <c r="AX9" s="598"/>
    </row>
    <row r="10" spans="1:50" ht="14.25" customHeight="1">
      <c r="B10" s="597"/>
      <c r="C10" s="179">
        <v>4</v>
      </c>
      <c r="D10" s="182" t="s">
        <v>613</v>
      </c>
      <c r="E10" s="179">
        <v>20</v>
      </c>
      <c r="F10" s="179">
        <v>2100</v>
      </c>
      <c r="G10" s="184">
        <f t="shared" si="1"/>
        <v>105</v>
      </c>
      <c r="H10" s="598"/>
      <c r="I10" s="185">
        <f t="shared" ref="I10:I11" si="16">AVERAGE(P10,U10,Z10,AE10,AJ10,AO10,AT10)</f>
        <v>20</v>
      </c>
      <c r="J10" s="185">
        <f t="shared" si="2"/>
        <v>1897.3883422374979</v>
      </c>
      <c r="K10" s="186">
        <f t="shared" si="2"/>
        <v>94.869417111874881</v>
      </c>
      <c r="L10" s="599"/>
      <c r="M10" s="185">
        <f>RANK(K10, K$7:$K$21)</f>
        <v>5</v>
      </c>
      <c r="N10" s="597"/>
      <c r="O10" s="597"/>
      <c r="P10" s="187">
        <v>20</v>
      </c>
      <c r="Q10" s="187">
        <v>1898.528342237498</v>
      </c>
      <c r="R10" s="184">
        <f t="shared" si="3"/>
        <v>94.926417111874898</v>
      </c>
      <c r="S10" s="181">
        <f t="shared" si="4"/>
        <v>5</v>
      </c>
      <c r="T10" s="598"/>
      <c r="U10" s="187">
        <v>20</v>
      </c>
      <c r="V10" s="187">
        <v>1898.5283422374978</v>
      </c>
      <c r="W10" s="184">
        <f t="shared" si="0"/>
        <v>94.926417111874883</v>
      </c>
      <c r="X10" s="181">
        <f t="shared" si="5"/>
        <v>5</v>
      </c>
      <c r="Y10" s="598"/>
      <c r="Z10" s="187">
        <v>20</v>
      </c>
      <c r="AA10" s="187">
        <v>1897.6883422374976</v>
      </c>
      <c r="AB10" s="184">
        <f t="shared" si="6"/>
        <v>94.884417111874882</v>
      </c>
      <c r="AC10" s="181">
        <f t="shared" si="7"/>
        <v>5</v>
      </c>
      <c r="AD10" s="598"/>
      <c r="AE10" s="187">
        <v>20</v>
      </c>
      <c r="AF10" s="187">
        <v>1896.8483422374975</v>
      </c>
      <c r="AG10" s="184">
        <f t="shared" si="8"/>
        <v>94.84241711187488</v>
      </c>
      <c r="AH10" s="181">
        <f t="shared" si="9"/>
        <v>5</v>
      </c>
      <c r="AI10" s="598"/>
      <c r="AJ10" s="187">
        <v>20</v>
      </c>
      <c r="AK10" s="187">
        <v>1896.8483422374977</v>
      </c>
      <c r="AL10" s="184">
        <f t="shared" si="10"/>
        <v>94.84241711187488</v>
      </c>
      <c r="AM10" s="181">
        <f t="shared" si="11"/>
        <v>5</v>
      </c>
      <c r="AN10" s="598"/>
      <c r="AO10" s="187">
        <v>20</v>
      </c>
      <c r="AP10" s="187">
        <v>1897.0583422374978</v>
      </c>
      <c r="AQ10" s="184">
        <f t="shared" si="12"/>
        <v>94.852917111874888</v>
      </c>
      <c r="AR10" s="181">
        <f t="shared" si="13"/>
        <v>5</v>
      </c>
      <c r="AS10" s="598"/>
      <c r="AT10" s="187">
        <v>20</v>
      </c>
      <c r="AU10" s="187">
        <v>1896.2183422374978</v>
      </c>
      <c r="AV10" s="184">
        <f t="shared" si="14"/>
        <v>94.810917111874886</v>
      </c>
      <c r="AW10" s="181">
        <f t="shared" si="15"/>
        <v>5</v>
      </c>
      <c r="AX10" s="598"/>
    </row>
    <row r="11" spans="1:50" ht="14.25" customHeight="1">
      <c r="B11" s="597"/>
      <c r="C11" s="179">
        <v>5</v>
      </c>
      <c r="D11" s="182" t="s">
        <v>629</v>
      </c>
      <c r="E11" s="179">
        <v>5</v>
      </c>
      <c r="F11" s="179">
        <v>3273</v>
      </c>
      <c r="G11" s="184">
        <f t="shared" si="1"/>
        <v>654.6</v>
      </c>
      <c r="H11" s="598"/>
      <c r="I11" s="185">
        <f t="shared" si="16"/>
        <v>5</v>
      </c>
      <c r="J11" s="185">
        <f t="shared" si="2"/>
        <v>2966.2202100119753</v>
      </c>
      <c r="K11" s="186">
        <f t="shared" si="2"/>
        <v>593.24404200239496</v>
      </c>
      <c r="L11" s="599"/>
      <c r="M11" s="185">
        <f>RANK(K11, K$7:$K$21)</f>
        <v>1</v>
      </c>
      <c r="N11" s="597"/>
      <c r="O11" s="597"/>
      <c r="P11" s="187">
        <v>5</v>
      </c>
      <c r="Q11" s="187">
        <v>2966.9683242976903</v>
      </c>
      <c r="R11" s="184">
        <f t="shared" si="3"/>
        <v>593.39366485953803</v>
      </c>
      <c r="S11" s="181">
        <f t="shared" si="4"/>
        <v>1</v>
      </c>
      <c r="T11" s="598"/>
      <c r="U11" s="187">
        <v>5</v>
      </c>
      <c r="V11" s="187">
        <v>2966.6410242976895</v>
      </c>
      <c r="W11" s="184">
        <f t="shared" si="0"/>
        <v>593.32820485953789</v>
      </c>
      <c r="X11" s="181">
        <f t="shared" si="5"/>
        <v>1</v>
      </c>
      <c r="Y11" s="598"/>
      <c r="Z11" s="187">
        <v>5</v>
      </c>
      <c r="AA11" s="187">
        <v>2965.9864242976892</v>
      </c>
      <c r="AB11" s="184">
        <f t="shared" si="6"/>
        <v>593.19728485953783</v>
      </c>
      <c r="AC11" s="181">
        <f t="shared" si="7"/>
        <v>1</v>
      </c>
      <c r="AD11" s="598"/>
      <c r="AE11" s="187">
        <v>5</v>
      </c>
      <c r="AF11" s="187">
        <v>2965.0045242976885</v>
      </c>
      <c r="AG11" s="184">
        <f t="shared" si="8"/>
        <v>593.00090485953774</v>
      </c>
      <c r="AH11" s="181">
        <f t="shared" si="9"/>
        <v>1</v>
      </c>
      <c r="AI11" s="598"/>
      <c r="AJ11" s="187">
        <v>5</v>
      </c>
      <c r="AK11" s="187">
        <v>2966.3137242976886</v>
      </c>
      <c r="AL11" s="184">
        <f t="shared" si="10"/>
        <v>593.26274485953775</v>
      </c>
      <c r="AM11" s="181">
        <f t="shared" si="11"/>
        <v>1</v>
      </c>
      <c r="AN11" s="598"/>
      <c r="AO11" s="187">
        <v>5</v>
      </c>
      <c r="AP11" s="187">
        <v>2966.9683242976885</v>
      </c>
      <c r="AQ11" s="184">
        <f t="shared" si="12"/>
        <v>593.39366485953769</v>
      </c>
      <c r="AR11" s="181">
        <f t="shared" si="13"/>
        <v>1</v>
      </c>
      <c r="AS11" s="598"/>
      <c r="AT11" s="187">
        <v>5</v>
      </c>
      <c r="AU11" s="187">
        <v>2965.6591242976892</v>
      </c>
      <c r="AV11" s="184">
        <f t="shared" si="14"/>
        <v>593.1318248595378</v>
      </c>
      <c r="AW11" s="181">
        <f t="shared" si="15"/>
        <v>1</v>
      </c>
      <c r="AX11" s="598"/>
    </row>
    <row r="12" spans="1:50" ht="14.25" customHeight="1">
      <c r="B12" s="597"/>
      <c r="C12" s="179">
        <v>6</v>
      </c>
      <c r="D12" s="182"/>
      <c r="E12" s="179"/>
      <c r="F12" s="179"/>
      <c r="G12" s="184"/>
      <c r="H12" s="598"/>
      <c r="I12" s="185"/>
      <c r="J12" s="185"/>
      <c r="K12" s="186"/>
      <c r="L12" s="599"/>
      <c r="M12" s="185"/>
      <c r="N12" s="597"/>
      <c r="O12" s="597"/>
      <c r="P12" s="187"/>
      <c r="Q12" s="187"/>
      <c r="R12" s="184"/>
      <c r="S12" s="181"/>
      <c r="T12" s="598"/>
      <c r="U12" s="187"/>
      <c r="V12" s="187"/>
      <c r="W12" s="184"/>
      <c r="X12" s="181"/>
      <c r="Y12" s="598"/>
      <c r="Z12" s="187"/>
      <c r="AA12" s="187"/>
      <c r="AB12" s="184"/>
      <c r="AC12" s="181"/>
      <c r="AD12" s="598"/>
      <c r="AE12" s="187"/>
      <c r="AF12" s="187"/>
      <c r="AG12" s="184"/>
      <c r="AH12" s="181"/>
      <c r="AI12" s="598"/>
      <c r="AJ12" s="187"/>
      <c r="AK12" s="187"/>
      <c r="AL12" s="184"/>
      <c r="AM12" s="181"/>
      <c r="AN12" s="598"/>
      <c r="AO12" s="187"/>
      <c r="AP12" s="187"/>
      <c r="AQ12" s="184"/>
      <c r="AR12" s="181"/>
      <c r="AS12" s="598"/>
      <c r="AT12" s="187"/>
      <c r="AU12" s="187"/>
      <c r="AV12" s="184"/>
      <c r="AW12" s="181"/>
      <c r="AX12" s="598"/>
    </row>
    <row r="13" spans="1:50" ht="14.25" customHeight="1">
      <c r="B13" s="597"/>
      <c r="C13" s="179">
        <v>7</v>
      </c>
      <c r="D13" s="182"/>
      <c r="E13" s="179"/>
      <c r="F13" s="179"/>
      <c r="G13" s="184"/>
      <c r="H13" s="598"/>
      <c r="I13" s="185"/>
      <c r="J13" s="185"/>
      <c r="K13" s="186"/>
      <c r="L13" s="599"/>
      <c r="M13" s="185"/>
      <c r="N13" s="597"/>
      <c r="O13" s="597"/>
      <c r="P13" s="187"/>
      <c r="Q13" s="187"/>
      <c r="R13" s="184"/>
      <c r="S13" s="181"/>
      <c r="T13" s="598"/>
      <c r="U13" s="187"/>
      <c r="V13" s="187"/>
      <c r="W13" s="184"/>
      <c r="X13" s="181"/>
      <c r="Y13" s="598"/>
      <c r="Z13" s="187"/>
      <c r="AA13" s="187"/>
      <c r="AB13" s="184"/>
      <c r="AC13" s="181"/>
      <c r="AD13" s="598"/>
      <c r="AE13" s="187"/>
      <c r="AF13" s="187"/>
      <c r="AG13" s="184"/>
      <c r="AH13" s="181"/>
      <c r="AI13" s="598"/>
      <c r="AJ13" s="187"/>
      <c r="AK13" s="187"/>
      <c r="AL13" s="184"/>
      <c r="AM13" s="181"/>
      <c r="AN13" s="598"/>
      <c r="AO13" s="187"/>
      <c r="AP13" s="187"/>
      <c r="AQ13" s="184"/>
      <c r="AR13" s="181"/>
      <c r="AS13" s="598"/>
      <c r="AT13" s="187"/>
      <c r="AU13" s="187"/>
      <c r="AV13" s="184"/>
      <c r="AW13" s="181"/>
      <c r="AX13" s="598"/>
    </row>
    <row r="14" spans="1:50" ht="14.25" customHeight="1">
      <c r="B14" s="597"/>
      <c r="C14" s="179">
        <v>8</v>
      </c>
      <c r="D14" s="182"/>
      <c r="E14" s="179"/>
      <c r="F14" s="179"/>
      <c r="G14" s="184"/>
      <c r="H14" s="598"/>
      <c r="I14" s="185"/>
      <c r="J14" s="185"/>
      <c r="K14" s="186"/>
      <c r="L14" s="599"/>
      <c r="M14" s="185"/>
      <c r="N14" s="597"/>
      <c r="O14" s="597"/>
      <c r="P14" s="187"/>
      <c r="Q14" s="187"/>
      <c r="R14" s="184"/>
      <c r="S14" s="181"/>
      <c r="T14" s="598"/>
      <c r="U14" s="187"/>
      <c r="V14" s="187"/>
      <c r="W14" s="184"/>
      <c r="X14" s="181"/>
      <c r="Y14" s="598"/>
      <c r="Z14" s="187"/>
      <c r="AA14" s="187"/>
      <c r="AB14" s="184"/>
      <c r="AC14" s="181"/>
      <c r="AD14" s="598"/>
      <c r="AE14" s="187"/>
      <c r="AF14" s="187"/>
      <c r="AG14" s="184"/>
      <c r="AH14" s="181"/>
      <c r="AI14" s="598"/>
      <c r="AJ14" s="187"/>
      <c r="AK14" s="187"/>
      <c r="AL14" s="184"/>
      <c r="AM14" s="181"/>
      <c r="AN14" s="598"/>
      <c r="AO14" s="187"/>
      <c r="AP14" s="187"/>
      <c r="AQ14" s="184"/>
      <c r="AR14" s="181"/>
      <c r="AS14" s="598"/>
      <c r="AT14" s="187"/>
      <c r="AU14" s="187"/>
      <c r="AV14" s="184"/>
      <c r="AW14" s="181"/>
      <c r="AX14" s="598"/>
    </row>
    <row r="15" spans="1:50" ht="14.25" customHeight="1">
      <c r="B15" s="597"/>
      <c r="C15" s="179">
        <v>9</v>
      </c>
      <c r="D15" s="182"/>
      <c r="E15" s="179"/>
      <c r="F15" s="179"/>
      <c r="G15" s="184"/>
      <c r="H15" s="598"/>
      <c r="I15" s="185"/>
      <c r="J15" s="185"/>
      <c r="K15" s="186"/>
      <c r="L15" s="599"/>
      <c r="M15" s="185"/>
      <c r="N15" s="597"/>
      <c r="O15" s="597"/>
      <c r="P15" s="187"/>
      <c r="Q15" s="187"/>
      <c r="R15" s="184"/>
      <c r="S15" s="181"/>
      <c r="T15" s="598"/>
      <c r="U15" s="187"/>
      <c r="V15" s="187"/>
      <c r="W15" s="184"/>
      <c r="X15" s="181"/>
      <c r="Y15" s="598"/>
      <c r="Z15" s="187"/>
      <c r="AA15" s="187"/>
      <c r="AB15" s="184"/>
      <c r="AC15" s="181"/>
      <c r="AD15" s="598"/>
      <c r="AE15" s="187"/>
      <c r="AF15" s="187"/>
      <c r="AG15" s="184"/>
      <c r="AH15" s="181"/>
      <c r="AI15" s="598"/>
      <c r="AJ15" s="187"/>
      <c r="AK15" s="187"/>
      <c r="AL15" s="184"/>
      <c r="AM15" s="181"/>
      <c r="AN15" s="598"/>
      <c r="AO15" s="187"/>
      <c r="AP15" s="187"/>
      <c r="AQ15" s="184"/>
      <c r="AR15" s="181"/>
      <c r="AS15" s="598"/>
      <c r="AT15" s="187"/>
      <c r="AU15" s="187"/>
      <c r="AV15" s="184"/>
      <c r="AW15" s="181"/>
      <c r="AX15" s="598"/>
    </row>
    <row r="16" spans="1:50" ht="14.25" customHeight="1">
      <c r="B16" s="597"/>
      <c r="C16" s="179">
        <v>10</v>
      </c>
      <c r="D16" s="182"/>
      <c r="E16" s="179"/>
      <c r="F16" s="179"/>
      <c r="G16" s="184"/>
      <c r="H16" s="598"/>
      <c r="I16" s="185"/>
      <c r="J16" s="185"/>
      <c r="K16" s="186"/>
      <c r="L16" s="599"/>
      <c r="M16" s="185"/>
      <c r="N16" s="597"/>
      <c r="O16" s="597"/>
      <c r="P16" s="187"/>
      <c r="Q16" s="187"/>
      <c r="R16" s="184"/>
      <c r="S16" s="181"/>
      <c r="T16" s="598"/>
      <c r="U16" s="187"/>
      <c r="V16" s="187"/>
      <c r="W16" s="184"/>
      <c r="X16" s="181"/>
      <c r="Y16" s="598"/>
      <c r="Z16" s="187"/>
      <c r="AA16" s="187"/>
      <c r="AB16" s="184"/>
      <c r="AC16" s="181"/>
      <c r="AD16" s="598"/>
      <c r="AE16" s="187"/>
      <c r="AF16" s="187"/>
      <c r="AG16" s="184"/>
      <c r="AH16" s="181"/>
      <c r="AI16" s="598"/>
      <c r="AJ16" s="187"/>
      <c r="AK16" s="187"/>
      <c r="AL16" s="184"/>
      <c r="AM16" s="181"/>
      <c r="AN16" s="598"/>
      <c r="AO16" s="187"/>
      <c r="AP16" s="187"/>
      <c r="AQ16" s="184"/>
      <c r="AR16" s="181"/>
      <c r="AS16" s="598"/>
      <c r="AT16" s="187"/>
      <c r="AU16" s="187"/>
      <c r="AV16" s="184"/>
      <c r="AW16" s="181"/>
      <c r="AX16" s="598"/>
    </row>
    <row r="17" spans="2:50" ht="14.25" customHeight="1">
      <c r="B17" s="597"/>
      <c r="C17" s="179">
        <v>11</v>
      </c>
      <c r="D17" s="182"/>
      <c r="E17" s="179"/>
      <c r="F17" s="179"/>
      <c r="G17" s="184"/>
      <c r="H17" s="598"/>
      <c r="I17" s="185"/>
      <c r="J17" s="185"/>
      <c r="K17" s="186"/>
      <c r="L17" s="599"/>
      <c r="M17" s="185"/>
      <c r="N17" s="597"/>
      <c r="O17" s="597"/>
      <c r="P17" s="187"/>
      <c r="Q17" s="187"/>
      <c r="R17" s="184"/>
      <c r="S17" s="181"/>
      <c r="T17" s="598"/>
      <c r="U17" s="187"/>
      <c r="V17" s="187"/>
      <c r="W17" s="184"/>
      <c r="X17" s="181"/>
      <c r="Y17" s="598"/>
      <c r="Z17" s="187"/>
      <c r="AA17" s="187"/>
      <c r="AB17" s="184"/>
      <c r="AC17" s="181"/>
      <c r="AD17" s="598"/>
      <c r="AE17" s="187"/>
      <c r="AF17" s="187"/>
      <c r="AG17" s="184"/>
      <c r="AH17" s="181"/>
      <c r="AI17" s="598"/>
      <c r="AJ17" s="187"/>
      <c r="AK17" s="187"/>
      <c r="AL17" s="184"/>
      <c r="AM17" s="181"/>
      <c r="AN17" s="598"/>
      <c r="AO17" s="187"/>
      <c r="AP17" s="187"/>
      <c r="AQ17" s="184"/>
      <c r="AR17" s="181"/>
      <c r="AS17" s="598"/>
      <c r="AT17" s="187"/>
      <c r="AU17" s="187"/>
      <c r="AV17" s="184"/>
      <c r="AW17" s="181"/>
      <c r="AX17" s="598"/>
    </row>
    <row r="18" spans="2:50" ht="14.25" customHeight="1">
      <c r="B18" s="597"/>
      <c r="C18" s="179">
        <v>12</v>
      </c>
      <c r="D18" s="182"/>
      <c r="E18" s="179"/>
      <c r="F18" s="179"/>
      <c r="G18" s="184"/>
      <c r="H18" s="598"/>
      <c r="I18" s="185"/>
      <c r="J18" s="185"/>
      <c r="K18" s="186"/>
      <c r="L18" s="599"/>
      <c r="M18" s="185"/>
      <c r="N18" s="597"/>
      <c r="O18" s="597"/>
      <c r="P18" s="187"/>
      <c r="Q18" s="187"/>
      <c r="R18" s="184"/>
      <c r="S18" s="181"/>
      <c r="T18" s="598"/>
      <c r="U18" s="187"/>
      <c r="V18" s="187"/>
      <c r="W18" s="184"/>
      <c r="X18" s="181"/>
      <c r="Y18" s="598"/>
      <c r="Z18" s="187"/>
      <c r="AA18" s="187"/>
      <c r="AB18" s="184"/>
      <c r="AC18" s="181"/>
      <c r="AD18" s="598"/>
      <c r="AE18" s="187"/>
      <c r="AF18" s="187"/>
      <c r="AG18" s="184"/>
      <c r="AH18" s="181"/>
      <c r="AI18" s="598"/>
      <c r="AJ18" s="187"/>
      <c r="AK18" s="187"/>
      <c r="AL18" s="184"/>
      <c r="AM18" s="181"/>
      <c r="AN18" s="598"/>
      <c r="AO18" s="187"/>
      <c r="AP18" s="187"/>
      <c r="AQ18" s="184"/>
      <c r="AR18" s="181"/>
      <c r="AS18" s="598"/>
      <c r="AT18" s="187"/>
      <c r="AU18" s="187"/>
      <c r="AV18" s="184"/>
      <c r="AW18" s="181"/>
      <c r="AX18" s="598"/>
    </row>
    <row r="19" spans="2:50" ht="14.25" customHeight="1">
      <c r="B19" s="597"/>
      <c r="C19" s="179">
        <v>13</v>
      </c>
      <c r="D19" s="182"/>
      <c r="E19" s="179"/>
      <c r="F19" s="179"/>
      <c r="G19" s="184"/>
      <c r="H19" s="598"/>
      <c r="I19" s="185"/>
      <c r="J19" s="185"/>
      <c r="K19" s="186"/>
      <c r="L19" s="599"/>
      <c r="M19" s="185"/>
      <c r="N19" s="597"/>
      <c r="O19" s="597"/>
      <c r="P19" s="187"/>
      <c r="Q19" s="187"/>
      <c r="R19" s="184"/>
      <c r="S19" s="181"/>
      <c r="T19" s="598"/>
      <c r="U19" s="187"/>
      <c r="V19" s="187"/>
      <c r="W19" s="184"/>
      <c r="X19" s="181"/>
      <c r="Y19" s="598"/>
      <c r="Z19" s="187"/>
      <c r="AA19" s="187"/>
      <c r="AB19" s="184"/>
      <c r="AC19" s="181"/>
      <c r="AD19" s="598"/>
      <c r="AE19" s="187"/>
      <c r="AF19" s="187"/>
      <c r="AG19" s="184"/>
      <c r="AH19" s="181"/>
      <c r="AI19" s="598"/>
      <c r="AJ19" s="187"/>
      <c r="AK19" s="187"/>
      <c r="AL19" s="184"/>
      <c r="AM19" s="181"/>
      <c r="AN19" s="598"/>
      <c r="AO19" s="187"/>
      <c r="AP19" s="187"/>
      <c r="AQ19" s="184"/>
      <c r="AR19" s="181"/>
      <c r="AS19" s="598"/>
      <c r="AT19" s="187"/>
      <c r="AU19" s="187"/>
      <c r="AV19" s="184"/>
      <c r="AW19" s="181"/>
      <c r="AX19" s="598"/>
    </row>
    <row r="20" spans="2:50" ht="14.25" customHeight="1">
      <c r="B20" s="597"/>
      <c r="C20" s="179">
        <v>14</v>
      </c>
      <c r="D20" s="182"/>
      <c r="E20" s="179"/>
      <c r="F20" s="179"/>
      <c r="G20" s="184"/>
      <c r="H20" s="598"/>
      <c r="I20" s="185"/>
      <c r="J20" s="185"/>
      <c r="K20" s="186"/>
      <c r="L20" s="599"/>
      <c r="M20" s="185"/>
      <c r="N20" s="597"/>
      <c r="O20" s="597"/>
      <c r="P20" s="187"/>
      <c r="Q20" s="187"/>
      <c r="R20" s="184"/>
      <c r="S20" s="181"/>
      <c r="T20" s="598"/>
      <c r="U20" s="187"/>
      <c r="V20" s="187"/>
      <c r="W20" s="184"/>
      <c r="X20" s="181"/>
      <c r="Y20" s="598"/>
      <c r="Z20" s="187"/>
      <c r="AA20" s="187"/>
      <c r="AB20" s="184"/>
      <c r="AC20" s="181"/>
      <c r="AD20" s="598"/>
      <c r="AE20" s="187"/>
      <c r="AF20" s="187"/>
      <c r="AG20" s="184"/>
      <c r="AH20" s="181"/>
      <c r="AI20" s="598"/>
      <c r="AJ20" s="187"/>
      <c r="AK20" s="187"/>
      <c r="AL20" s="184"/>
      <c r="AM20" s="181"/>
      <c r="AN20" s="598"/>
      <c r="AO20" s="187"/>
      <c r="AP20" s="187"/>
      <c r="AQ20" s="184"/>
      <c r="AR20" s="181"/>
      <c r="AS20" s="598"/>
      <c r="AT20" s="187"/>
      <c r="AU20" s="187"/>
      <c r="AV20" s="184"/>
      <c r="AW20" s="181"/>
      <c r="AX20" s="598"/>
    </row>
    <row r="21" spans="2:50" ht="14.25" customHeight="1">
      <c r="B21" s="597"/>
      <c r="C21" s="179">
        <v>15</v>
      </c>
      <c r="D21" s="182"/>
      <c r="E21" s="179"/>
      <c r="F21" s="179"/>
      <c r="G21" s="184"/>
      <c r="H21" s="598"/>
      <c r="I21" s="185"/>
      <c r="J21" s="185"/>
      <c r="K21" s="186"/>
      <c r="L21" s="599"/>
      <c r="M21" s="185"/>
      <c r="N21" s="597"/>
      <c r="O21" s="597"/>
      <c r="P21" s="187"/>
      <c r="Q21" s="187"/>
      <c r="R21" s="184"/>
      <c r="S21" s="181"/>
      <c r="T21" s="598"/>
      <c r="U21" s="187"/>
      <c r="V21" s="187"/>
      <c r="W21" s="184"/>
      <c r="X21" s="181"/>
      <c r="Y21" s="598"/>
      <c r="Z21" s="187"/>
      <c r="AA21" s="187"/>
      <c r="AB21" s="184"/>
      <c r="AC21" s="181"/>
      <c r="AD21" s="598"/>
      <c r="AE21" s="187"/>
      <c r="AF21" s="187"/>
      <c r="AG21" s="184"/>
      <c r="AH21" s="181"/>
      <c r="AI21" s="598"/>
      <c r="AJ21" s="187"/>
      <c r="AK21" s="187"/>
      <c r="AL21" s="184"/>
      <c r="AM21" s="181"/>
      <c r="AN21" s="598"/>
      <c r="AO21" s="187"/>
      <c r="AP21" s="187"/>
      <c r="AQ21" s="184"/>
      <c r="AR21" s="181"/>
      <c r="AS21" s="598"/>
      <c r="AT21" s="187"/>
      <c r="AU21" s="187"/>
      <c r="AV21" s="184"/>
      <c r="AW21" s="181"/>
      <c r="AX21" s="598"/>
    </row>
    <row r="22" spans="2:50" ht="14.25" customHeight="1" collapsed="1">
      <c r="B22" s="625" t="s">
        <v>773</v>
      </c>
      <c r="C22" s="631"/>
      <c r="D22" s="631"/>
      <c r="E22" s="631"/>
      <c r="F22" s="631"/>
      <c r="G22" s="631"/>
      <c r="H22" s="631"/>
      <c r="I22" s="631"/>
      <c r="J22" s="631"/>
      <c r="K22" s="631"/>
      <c r="L22" s="631"/>
      <c r="M22" s="632"/>
      <c r="N22" s="629" t="s">
        <v>363</v>
      </c>
      <c r="O22" s="629" t="s">
        <v>105</v>
      </c>
      <c r="P22" s="617">
        <v>46210</v>
      </c>
      <c r="Q22" s="618"/>
      <c r="R22" s="618"/>
      <c r="S22" s="618"/>
      <c r="T22" s="618"/>
      <c r="U22" s="619">
        <v>46211</v>
      </c>
      <c r="V22" s="620"/>
      <c r="W22" s="620"/>
      <c r="X22" s="620"/>
      <c r="Y22" s="620"/>
      <c r="Z22" s="617">
        <v>46212</v>
      </c>
      <c r="AA22" s="618"/>
      <c r="AB22" s="618"/>
      <c r="AC22" s="618"/>
      <c r="AD22" s="618"/>
      <c r="AE22" s="619">
        <v>46213</v>
      </c>
      <c r="AF22" s="620"/>
      <c r="AG22" s="620"/>
      <c r="AH22" s="620"/>
      <c r="AI22" s="620"/>
      <c r="AJ22" s="602">
        <v>46214</v>
      </c>
      <c r="AK22" s="603"/>
      <c r="AL22" s="603"/>
      <c r="AM22" s="603"/>
      <c r="AN22" s="604"/>
      <c r="AO22" s="619">
        <v>46215</v>
      </c>
      <c r="AP22" s="620"/>
      <c r="AQ22" s="620"/>
      <c r="AR22" s="620"/>
      <c r="AS22" s="620"/>
      <c r="AT22" s="602">
        <v>46216</v>
      </c>
      <c r="AU22" s="603"/>
      <c r="AV22" s="603"/>
      <c r="AW22" s="603"/>
      <c r="AX22" s="604"/>
    </row>
    <row r="23" spans="2:50" ht="14.25" customHeight="1"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4"/>
      <c r="N23" s="630"/>
      <c r="O23" s="630"/>
      <c r="P23" s="605">
        <v>46196</v>
      </c>
      <c r="Q23" s="605"/>
      <c r="R23" s="605"/>
      <c r="S23" s="605"/>
      <c r="T23" s="605"/>
      <c r="U23" s="606">
        <v>46197</v>
      </c>
      <c r="V23" s="606"/>
      <c r="W23" s="606"/>
      <c r="X23" s="606"/>
      <c r="Y23" s="606"/>
      <c r="Z23" s="605">
        <v>46198</v>
      </c>
      <c r="AA23" s="605"/>
      <c r="AB23" s="605"/>
      <c r="AC23" s="605"/>
      <c r="AD23" s="605"/>
      <c r="AE23" s="606">
        <v>46199</v>
      </c>
      <c r="AF23" s="606"/>
      <c r="AG23" s="606"/>
      <c r="AH23" s="606"/>
      <c r="AI23" s="606"/>
      <c r="AJ23" s="607">
        <v>46200</v>
      </c>
      <c r="AK23" s="608"/>
      <c r="AL23" s="608"/>
      <c r="AM23" s="608"/>
      <c r="AN23" s="609"/>
      <c r="AO23" s="606">
        <v>46201</v>
      </c>
      <c r="AP23" s="606"/>
      <c r="AQ23" s="606"/>
      <c r="AR23" s="606"/>
      <c r="AS23" s="606"/>
      <c r="AT23" s="607">
        <v>46202</v>
      </c>
      <c r="AU23" s="608"/>
      <c r="AV23" s="608"/>
      <c r="AW23" s="608"/>
      <c r="AX23" s="609"/>
    </row>
    <row r="24" spans="2:50" ht="14.25" customHeight="1">
      <c r="B24" s="597" t="s">
        <v>162</v>
      </c>
      <c r="C24" s="597" t="s">
        <v>157</v>
      </c>
      <c r="D24" s="597"/>
      <c r="E24" s="597" t="s">
        <v>158</v>
      </c>
      <c r="F24" s="597"/>
      <c r="G24" s="597"/>
      <c r="H24" s="597" t="s">
        <v>163</v>
      </c>
      <c r="I24" s="601" t="s">
        <v>364</v>
      </c>
      <c r="J24" s="601"/>
      <c r="K24" s="601"/>
      <c r="L24" s="601" t="s">
        <v>163</v>
      </c>
      <c r="M24" s="601" t="s">
        <v>165</v>
      </c>
      <c r="N24" s="597"/>
      <c r="O24" s="597" t="s">
        <v>164</v>
      </c>
      <c r="P24" s="597" t="s">
        <v>160</v>
      </c>
      <c r="Q24" s="597"/>
      <c r="R24" s="597"/>
      <c r="S24" s="597"/>
      <c r="T24" s="597" t="s">
        <v>163</v>
      </c>
      <c r="U24" s="597" t="s">
        <v>160</v>
      </c>
      <c r="V24" s="597"/>
      <c r="W24" s="597"/>
      <c r="X24" s="597"/>
      <c r="Y24" s="597" t="s">
        <v>163</v>
      </c>
      <c r="Z24" s="597" t="s">
        <v>160</v>
      </c>
      <c r="AA24" s="597"/>
      <c r="AB24" s="597"/>
      <c r="AC24" s="597"/>
      <c r="AD24" s="597" t="s">
        <v>163</v>
      </c>
      <c r="AE24" s="597" t="s">
        <v>160</v>
      </c>
      <c r="AF24" s="597"/>
      <c r="AG24" s="597"/>
      <c r="AH24" s="597"/>
      <c r="AI24" s="597" t="s">
        <v>163</v>
      </c>
      <c r="AJ24" s="597" t="s">
        <v>160</v>
      </c>
      <c r="AK24" s="597"/>
      <c r="AL24" s="597"/>
      <c r="AM24" s="597"/>
      <c r="AN24" s="597" t="s">
        <v>163</v>
      </c>
      <c r="AO24" s="597" t="s">
        <v>160</v>
      </c>
      <c r="AP24" s="597"/>
      <c r="AQ24" s="597"/>
      <c r="AR24" s="597"/>
      <c r="AS24" s="597" t="s">
        <v>163</v>
      </c>
      <c r="AT24" s="597" t="s">
        <v>160</v>
      </c>
      <c r="AU24" s="597"/>
      <c r="AV24" s="597"/>
      <c r="AW24" s="597"/>
      <c r="AX24" s="597" t="s">
        <v>163</v>
      </c>
    </row>
    <row r="25" spans="2:50" ht="14.25" customHeight="1">
      <c r="B25" s="597"/>
      <c r="C25" s="597"/>
      <c r="D25" s="597"/>
      <c r="E25" s="597" t="s">
        <v>365</v>
      </c>
      <c r="F25" s="597"/>
      <c r="G25" s="597"/>
      <c r="H25" s="597"/>
      <c r="I25" s="601" t="s">
        <v>365</v>
      </c>
      <c r="J25" s="601"/>
      <c r="K25" s="601"/>
      <c r="L25" s="601"/>
      <c r="M25" s="601"/>
      <c r="N25" s="597"/>
      <c r="O25" s="597"/>
      <c r="P25" s="597" t="s">
        <v>366</v>
      </c>
      <c r="Q25" s="597"/>
      <c r="R25" s="597"/>
      <c r="S25" s="597"/>
      <c r="T25" s="597"/>
      <c r="U25" s="597" t="s">
        <v>366</v>
      </c>
      <c r="V25" s="597"/>
      <c r="W25" s="597"/>
      <c r="X25" s="597"/>
      <c r="Y25" s="597"/>
      <c r="Z25" s="597" t="s">
        <v>366</v>
      </c>
      <c r="AA25" s="597"/>
      <c r="AB25" s="597"/>
      <c r="AC25" s="597"/>
      <c r="AD25" s="597"/>
      <c r="AE25" s="597" t="s">
        <v>366</v>
      </c>
      <c r="AF25" s="597"/>
      <c r="AG25" s="597"/>
      <c r="AH25" s="597"/>
      <c r="AI25" s="597"/>
      <c r="AJ25" s="597" t="s">
        <v>366</v>
      </c>
      <c r="AK25" s="597"/>
      <c r="AL25" s="597"/>
      <c r="AM25" s="597"/>
      <c r="AN25" s="597"/>
      <c r="AO25" s="597" t="s">
        <v>366</v>
      </c>
      <c r="AP25" s="597"/>
      <c r="AQ25" s="597"/>
      <c r="AR25" s="597"/>
      <c r="AS25" s="597"/>
      <c r="AT25" s="597" t="s">
        <v>366</v>
      </c>
      <c r="AU25" s="597"/>
      <c r="AV25" s="597"/>
      <c r="AW25" s="597"/>
      <c r="AX25" s="597"/>
    </row>
    <row r="26" spans="2:50" ht="14.25" customHeight="1">
      <c r="B26" s="597"/>
      <c r="C26" s="597"/>
      <c r="D26" s="597"/>
      <c r="E26" s="179" t="s">
        <v>159</v>
      </c>
      <c r="F26" s="179" t="s">
        <v>367</v>
      </c>
      <c r="G26" s="179" t="s">
        <v>161</v>
      </c>
      <c r="H26" s="597"/>
      <c r="I26" s="180" t="s">
        <v>159</v>
      </c>
      <c r="J26" s="180" t="s">
        <v>367</v>
      </c>
      <c r="K26" s="180" t="s">
        <v>161</v>
      </c>
      <c r="L26" s="601"/>
      <c r="M26" s="601"/>
      <c r="N26" s="597"/>
      <c r="O26" s="597"/>
      <c r="P26" s="179" t="s">
        <v>159</v>
      </c>
      <c r="Q26" s="179" t="s">
        <v>367</v>
      </c>
      <c r="R26" s="179" t="s">
        <v>161</v>
      </c>
      <c r="S26" s="181" t="s">
        <v>165</v>
      </c>
      <c r="T26" s="597"/>
      <c r="U26" s="179" t="s">
        <v>159</v>
      </c>
      <c r="V26" s="179" t="s">
        <v>367</v>
      </c>
      <c r="W26" s="179" t="s">
        <v>161</v>
      </c>
      <c r="X26" s="181" t="s">
        <v>165</v>
      </c>
      <c r="Y26" s="597"/>
      <c r="Z26" s="179" t="s">
        <v>159</v>
      </c>
      <c r="AA26" s="179" t="s">
        <v>367</v>
      </c>
      <c r="AB26" s="179" t="s">
        <v>161</v>
      </c>
      <c r="AC26" s="181" t="s">
        <v>165</v>
      </c>
      <c r="AD26" s="597"/>
      <c r="AE26" s="179" t="s">
        <v>159</v>
      </c>
      <c r="AF26" s="179" t="s">
        <v>367</v>
      </c>
      <c r="AG26" s="179" t="s">
        <v>161</v>
      </c>
      <c r="AH26" s="181" t="s">
        <v>165</v>
      </c>
      <c r="AI26" s="597"/>
      <c r="AJ26" s="179" t="s">
        <v>159</v>
      </c>
      <c r="AK26" s="179" t="s">
        <v>367</v>
      </c>
      <c r="AL26" s="179" t="s">
        <v>161</v>
      </c>
      <c r="AM26" s="181" t="s">
        <v>165</v>
      </c>
      <c r="AN26" s="597"/>
      <c r="AO26" s="179" t="s">
        <v>159</v>
      </c>
      <c r="AP26" s="179" t="s">
        <v>367</v>
      </c>
      <c r="AQ26" s="179" t="s">
        <v>161</v>
      </c>
      <c r="AR26" s="181" t="s">
        <v>165</v>
      </c>
      <c r="AS26" s="597"/>
      <c r="AT26" s="179" t="s">
        <v>159</v>
      </c>
      <c r="AU26" s="179" t="s">
        <v>367</v>
      </c>
      <c r="AV26" s="179" t="s">
        <v>161</v>
      </c>
      <c r="AW26" s="181" t="s">
        <v>165</v>
      </c>
      <c r="AX26" s="597"/>
    </row>
    <row r="27" spans="2:50" ht="14.25" customHeight="1">
      <c r="B27" s="597" t="s">
        <v>370</v>
      </c>
      <c r="C27" s="179">
        <v>1</v>
      </c>
      <c r="D27" s="182" t="s">
        <v>596</v>
      </c>
      <c r="E27" s="183">
        <v>5</v>
      </c>
      <c r="F27" s="179">
        <v>3273</v>
      </c>
      <c r="G27" s="184">
        <f t="shared" ref="G27:G31" si="17">IFERROR(F27/E27,"")</f>
        <v>654.6</v>
      </c>
      <c r="H27" s="598">
        <f>AVERAGE(G27:G41)</f>
        <v>522.83999999999992</v>
      </c>
      <c r="I27" s="185">
        <f>AVERAGE(P27,U27,Z27,AE27,AJ27,AO27,AT27)</f>
        <v>6</v>
      </c>
      <c r="J27" s="185">
        <f>AVERAGE(Q27,V27,AA27,AF27,AK27,AP27,AU27)</f>
        <v>2961.6418775921857</v>
      </c>
      <c r="K27" s="186">
        <f>AVERAGE(R27,W27,AB27,AG27,AL27,AQ27,AV27)</f>
        <v>493.60697959869776</v>
      </c>
      <c r="L27" s="599">
        <f>IFERROR(AVERAGE(K27:K41),"-")</f>
        <v>451.13496901318541</v>
      </c>
      <c r="M27" s="185">
        <f>RANK(K27, K$27:$K$41)</f>
        <v>4</v>
      </c>
      <c r="N27" s="597"/>
      <c r="O27" s="597"/>
      <c r="P27" s="187">
        <v>6</v>
      </c>
      <c r="Q27" s="187">
        <v>2961.6418775921861</v>
      </c>
      <c r="R27" s="184">
        <f>IFERROR(Q27/P27,"")</f>
        <v>493.60697959869771</v>
      </c>
      <c r="S27" s="181">
        <f>RANK(R27, R$27:R$41)</f>
        <v>4</v>
      </c>
      <c r="T27" s="598">
        <f>AVERAGE(R27:R41)</f>
        <v>445.69810536420044</v>
      </c>
      <c r="U27" s="187">
        <v>6</v>
      </c>
      <c r="V27" s="187">
        <v>2961.6418775921861</v>
      </c>
      <c r="W27" s="184">
        <f t="shared" ref="W27:W31" si="18">IFERROR(V27/U27,"")</f>
        <v>493.60697959869771</v>
      </c>
      <c r="X27" s="181">
        <f>RANK(W27, W$27:W$41)</f>
        <v>4</v>
      </c>
      <c r="Y27" s="598">
        <f>AVERAGE(W27:W41)</f>
        <v>448.46105231402208</v>
      </c>
      <c r="Z27" s="187">
        <v>6</v>
      </c>
      <c r="AA27" s="187">
        <v>2961.6418775921861</v>
      </c>
      <c r="AB27" s="184">
        <f>IFERROR(AA27/Z27,"")</f>
        <v>493.60697959869771</v>
      </c>
      <c r="AC27" s="181">
        <f>RANK(AB27, AB$27:AB$41)</f>
        <v>4</v>
      </c>
      <c r="AD27" s="598">
        <f>AVERAGE(AB27:AB41)</f>
        <v>451.1707123140219</v>
      </c>
      <c r="AE27" s="187">
        <v>6</v>
      </c>
      <c r="AF27" s="187">
        <v>2961.6418775921861</v>
      </c>
      <c r="AG27" s="184">
        <f>IFERROR(AF27/AE27,"")</f>
        <v>493.60697959869771</v>
      </c>
      <c r="AH27" s="181">
        <f>RANK(AG27, AG$27:AG$41)</f>
        <v>4</v>
      </c>
      <c r="AI27" s="598">
        <f>AVERAGE(AG27:AG41)</f>
        <v>453.27564815798689</v>
      </c>
      <c r="AJ27" s="187">
        <v>6</v>
      </c>
      <c r="AK27" s="187">
        <v>2961.6418775921866</v>
      </c>
      <c r="AL27" s="184">
        <f>IFERROR(AK27/AJ27,"")</f>
        <v>493.60697959869776</v>
      </c>
      <c r="AM27" s="181">
        <f>RANK(AL27, AL$27:AL$41)</f>
        <v>4</v>
      </c>
      <c r="AN27" s="598">
        <f>AVERAGE(AL27:AL41)</f>
        <v>453.10590431402215</v>
      </c>
      <c r="AO27" s="187">
        <v>6</v>
      </c>
      <c r="AP27" s="187">
        <v>2961.6418775921861</v>
      </c>
      <c r="AQ27" s="184">
        <f>IFERROR(AP27/AO27,"")</f>
        <v>493.60697959869771</v>
      </c>
      <c r="AR27" s="181">
        <f>RANK(AQ27, AQ$27:AQ$41)</f>
        <v>4</v>
      </c>
      <c r="AS27" s="598">
        <f>AVERAGE(AQ27:AQ41)</f>
        <v>453.14106431402206</v>
      </c>
      <c r="AT27" s="187">
        <v>6</v>
      </c>
      <c r="AU27" s="187">
        <v>2961.6418775921861</v>
      </c>
      <c r="AV27" s="184">
        <f>IFERROR(AU27/AT27,"")</f>
        <v>493.60697959869771</v>
      </c>
      <c r="AW27" s="181">
        <f>RANK(AV27, AV$27:AV$41)</f>
        <v>4</v>
      </c>
      <c r="AX27" s="598">
        <f>AVERAGE(AV27:AV41)</f>
        <v>453.09229631402212</v>
      </c>
    </row>
    <row r="28" spans="2:50" ht="14.25" customHeight="1">
      <c r="B28" s="597"/>
      <c r="C28" s="179">
        <v>2</v>
      </c>
      <c r="D28" s="182" t="s">
        <v>578</v>
      </c>
      <c r="E28" s="179">
        <v>6</v>
      </c>
      <c r="F28" s="179">
        <v>3600</v>
      </c>
      <c r="G28" s="184">
        <f t="shared" si="17"/>
        <v>600</v>
      </c>
      <c r="H28" s="598"/>
      <c r="I28" s="185">
        <f t="shared" ref="I28:K31" si="19">AVERAGE(P28,U28,Z28,AE28,AJ28,AO28,AT28)</f>
        <v>6</v>
      </c>
      <c r="J28" s="185">
        <f t="shared" si="19"/>
        <v>3221.004969973023</v>
      </c>
      <c r="K28" s="186">
        <f t="shared" si="19"/>
        <v>536.83416166217046</v>
      </c>
      <c r="L28" s="599"/>
      <c r="M28" s="185">
        <f>RANK(K28, K$27:$K$41)</f>
        <v>3</v>
      </c>
      <c r="N28" s="597"/>
      <c r="O28" s="597"/>
      <c r="P28" s="187">
        <v>6</v>
      </c>
      <c r="Q28" s="187">
        <v>3139.2</v>
      </c>
      <c r="R28" s="184">
        <f t="shared" ref="R28:R31" si="20">IFERROR(Q28/P28,"")</f>
        <v>523.19999999999993</v>
      </c>
      <c r="S28" s="181">
        <f t="shared" ref="S28:S31" si="21">RANK(R28, R$27:R$41)</f>
        <v>3</v>
      </c>
      <c r="T28" s="598"/>
      <c r="U28" s="187">
        <v>6</v>
      </c>
      <c r="V28" s="187">
        <v>3182.4000000000005</v>
      </c>
      <c r="W28" s="184">
        <f t="shared" si="18"/>
        <v>530.40000000000009</v>
      </c>
      <c r="X28" s="181">
        <f t="shared" ref="X28:X31" si="22">RANK(W28, W$27:W$41)</f>
        <v>2</v>
      </c>
      <c r="Y28" s="598"/>
      <c r="Z28" s="187">
        <v>6</v>
      </c>
      <c r="AA28" s="187">
        <v>3221.9999999999995</v>
      </c>
      <c r="AB28" s="184">
        <f t="shared" ref="AB28:AB31" si="23">IFERROR(AA28/Z28,"")</f>
        <v>536.99999999999989</v>
      </c>
      <c r="AC28" s="181">
        <f t="shared" ref="AC28:AC31" si="24">RANK(AB28, AB$27:AB$41)</f>
        <v>2</v>
      </c>
      <c r="AD28" s="598"/>
      <c r="AE28" s="187">
        <v>6</v>
      </c>
      <c r="AF28" s="187">
        <v>3253.914789811161</v>
      </c>
      <c r="AG28" s="184">
        <f t="shared" ref="AG28:AG31" si="25">IFERROR(AF28/AE28,"")</f>
        <v>542.31913163519346</v>
      </c>
      <c r="AH28" s="181">
        <f t="shared" ref="AH28:AH31" si="26">RANK(AG28, AG$27:AG$41)</f>
        <v>2</v>
      </c>
      <c r="AI28" s="598"/>
      <c r="AJ28" s="187">
        <v>6</v>
      </c>
      <c r="AK28" s="187">
        <v>3250.8</v>
      </c>
      <c r="AL28" s="184">
        <f t="shared" ref="AL28:AL31" si="27">IFERROR(AK28/AJ28,"")</f>
        <v>541.80000000000007</v>
      </c>
      <c r="AM28" s="181">
        <f t="shared" ref="AM28:AM31" si="28">RANK(AL28, AL$27:AL$41)</f>
        <v>2</v>
      </c>
      <c r="AN28" s="598"/>
      <c r="AO28" s="187">
        <v>6</v>
      </c>
      <c r="AP28" s="187">
        <v>3249.7200000000007</v>
      </c>
      <c r="AQ28" s="184">
        <f t="shared" ref="AQ28:AQ31" si="29">IFERROR(AP28/AO28,"")</f>
        <v>541.62000000000012</v>
      </c>
      <c r="AR28" s="181">
        <f t="shared" ref="AR28:AR31" si="30">RANK(AQ28, AQ$27:AQ$41)</f>
        <v>3</v>
      </c>
      <c r="AS28" s="598"/>
      <c r="AT28" s="187">
        <v>6</v>
      </c>
      <c r="AU28" s="187">
        <v>3249.0000000000014</v>
      </c>
      <c r="AV28" s="184">
        <f t="shared" ref="AV28:AV31" si="31">IFERROR(AU28/AT28,"")</f>
        <v>541.50000000000023</v>
      </c>
      <c r="AW28" s="181">
        <f t="shared" ref="AW28:AW31" si="32">RANK(AV28, AV$27:AV$41)</f>
        <v>3</v>
      </c>
      <c r="AX28" s="598"/>
    </row>
    <row r="29" spans="2:50" ht="14.25" customHeight="1">
      <c r="B29" s="597"/>
      <c r="C29" s="179">
        <v>3</v>
      </c>
      <c r="D29" s="182" t="s">
        <v>579</v>
      </c>
      <c r="E29" s="179">
        <v>6</v>
      </c>
      <c r="F29" s="179">
        <v>3600</v>
      </c>
      <c r="G29" s="184">
        <f t="shared" si="17"/>
        <v>600</v>
      </c>
      <c r="H29" s="598"/>
      <c r="I29" s="185">
        <f t="shared" si="19"/>
        <v>6</v>
      </c>
      <c r="J29" s="185">
        <f t="shared" si="19"/>
        <v>3221.7612967161626</v>
      </c>
      <c r="K29" s="186">
        <f t="shared" si="19"/>
        <v>536.96021611936044</v>
      </c>
      <c r="L29" s="599"/>
      <c r="M29" s="185">
        <f>RANK(K29, K$27:$K$41)</f>
        <v>2</v>
      </c>
      <c r="N29" s="597"/>
      <c r="O29" s="597"/>
      <c r="P29" s="187">
        <v>6</v>
      </c>
      <c r="Q29" s="187">
        <v>3141.0145515053509</v>
      </c>
      <c r="R29" s="184">
        <f t="shared" si="20"/>
        <v>523.50242525089186</v>
      </c>
      <c r="S29" s="181">
        <f t="shared" si="21"/>
        <v>2</v>
      </c>
      <c r="T29" s="598"/>
      <c r="U29" s="187">
        <v>6</v>
      </c>
      <c r="V29" s="187">
        <v>3182.4</v>
      </c>
      <c r="W29" s="184">
        <f t="shared" si="18"/>
        <v>530.4</v>
      </c>
      <c r="X29" s="181">
        <f t="shared" si="22"/>
        <v>3</v>
      </c>
      <c r="Y29" s="598"/>
      <c r="Z29" s="187">
        <v>6</v>
      </c>
      <c r="AA29" s="187">
        <v>3221.9999999999995</v>
      </c>
      <c r="AB29" s="184">
        <f t="shared" si="23"/>
        <v>536.99999999999989</v>
      </c>
      <c r="AC29" s="181">
        <f t="shared" si="24"/>
        <v>2</v>
      </c>
      <c r="AD29" s="598"/>
      <c r="AE29" s="187">
        <v>6</v>
      </c>
      <c r="AF29" s="187">
        <v>3252.7145255077871</v>
      </c>
      <c r="AG29" s="184">
        <f t="shared" si="25"/>
        <v>542.11908758463119</v>
      </c>
      <c r="AH29" s="181">
        <f t="shared" si="26"/>
        <v>3</v>
      </c>
      <c r="AI29" s="598"/>
      <c r="AJ29" s="187">
        <v>6</v>
      </c>
      <c r="AK29" s="187">
        <v>3250.8</v>
      </c>
      <c r="AL29" s="184">
        <f t="shared" si="27"/>
        <v>541.80000000000007</v>
      </c>
      <c r="AM29" s="181">
        <f t="shared" si="28"/>
        <v>2</v>
      </c>
      <c r="AN29" s="598"/>
      <c r="AO29" s="187">
        <v>6</v>
      </c>
      <c r="AP29" s="187">
        <v>3251.1600000000003</v>
      </c>
      <c r="AQ29" s="184">
        <f t="shared" si="29"/>
        <v>541.86</v>
      </c>
      <c r="AR29" s="181">
        <f t="shared" si="30"/>
        <v>2</v>
      </c>
      <c r="AS29" s="598"/>
      <c r="AT29" s="187">
        <v>6</v>
      </c>
      <c r="AU29" s="187">
        <v>3252.2400000000002</v>
      </c>
      <c r="AV29" s="184">
        <f t="shared" si="31"/>
        <v>542.04000000000008</v>
      </c>
      <c r="AW29" s="181">
        <f t="shared" si="32"/>
        <v>2</v>
      </c>
      <c r="AX29" s="598"/>
    </row>
    <row r="30" spans="2:50" ht="14.25" customHeight="1">
      <c r="B30" s="597"/>
      <c r="C30" s="179">
        <v>4</v>
      </c>
      <c r="D30" s="182" t="s">
        <v>613</v>
      </c>
      <c r="E30" s="179">
        <v>20</v>
      </c>
      <c r="F30" s="179">
        <v>2100</v>
      </c>
      <c r="G30" s="184">
        <f t="shared" si="17"/>
        <v>105</v>
      </c>
      <c r="H30" s="598"/>
      <c r="I30" s="185">
        <f t="shared" si="19"/>
        <v>20</v>
      </c>
      <c r="J30" s="185">
        <f t="shared" si="19"/>
        <v>1896.8483422374977</v>
      </c>
      <c r="K30" s="186">
        <f t="shared" si="19"/>
        <v>94.84241711187488</v>
      </c>
      <c r="L30" s="599"/>
      <c r="M30" s="185">
        <f>RANK(K30, K$27:$K$41)</f>
        <v>5</v>
      </c>
      <c r="N30" s="597"/>
      <c r="O30" s="597"/>
      <c r="P30" s="187">
        <v>20</v>
      </c>
      <c r="Q30" s="187">
        <v>1897.0583422374978</v>
      </c>
      <c r="R30" s="184">
        <f t="shared" si="20"/>
        <v>94.852917111874888</v>
      </c>
      <c r="S30" s="181">
        <f t="shared" si="21"/>
        <v>5</v>
      </c>
      <c r="T30" s="598"/>
      <c r="U30" s="187">
        <v>20</v>
      </c>
      <c r="V30" s="187">
        <v>1896.6383422374979</v>
      </c>
      <c r="W30" s="184">
        <f t="shared" si="18"/>
        <v>94.831917111874901</v>
      </c>
      <c r="X30" s="181">
        <f t="shared" si="22"/>
        <v>5</v>
      </c>
      <c r="Y30" s="598"/>
      <c r="Z30" s="187">
        <v>20</v>
      </c>
      <c r="AA30" s="187">
        <v>1897.0583422374978</v>
      </c>
      <c r="AB30" s="184">
        <f t="shared" si="23"/>
        <v>94.852917111874888</v>
      </c>
      <c r="AC30" s="181">
        <f t="shared" si="24"/>
        <v>5</v>
      </c>
      <c r="AD30" s="598"/>
      <c r="AE30" s="187">
        <v>20</v>
      </c>
      <c r="AF30" s="187">
        <v>1897.4783422374978</v>
      </c>
      <c r="AG30" s="184">
        <f t="shared" si="25"/>
        <v>94.873917111874889</v>
      </c>
      <c r="AH30" s="181">
        <f t="shared" si="26"/>
        <v>5</v>
      </c>
      <c r="AI30" s="598"/>
      <c r="AJ30" s="187">
        <v>20</v>
      </c>
      <c r="AK30" s="187">
        <v>1897.2683422374976</v>
      </c>
      <c r="AL30" s="184">
        <f t="shared" si="27"/>
        <v>94.863417111874881</v>
      </c>
      <c r="AM30" s="181">
        <f t="shared" si="28"/>
        <v>5</v>
      </c>
      <c r="AN30" s="598"/>
      <c r="AO30" s="187">
        <v>20</v>
      </c>
      <c r="AP30" s="187">
        <v>1896.6383422374977</v>
      </c>
      <c r="AQ30" s="184">
        <f t="shared" si="29"/>
        <v>94.831917111874887</v>
      </c>
      <c r="AR30" s="181">
        <f t="shared" si="30"/>
        <v>5</v>
      </c>
      <c r="AS30" s="598"/>
      <c r="AT30" s="187">
        <v>20</v>
      </c>
      <c r="AU30" s="187">
        <v>1895.7983422374978</v>
      </c>
      <c r="AV30" s="184">
        <f t="shared" si="31"/>
        <v>94.789917111874885</v>
      </c>
      <c r="AW30" s="181">
        <f t="shared" si="32"/>
        <v>5</v>
      </c>
      <c r="AX30" s="598"/>
    </row>
    <row r="31" spans="2:50" ht="14.25" customHeight="1">
      <c r="B31" s="597"/>
      <c r="C31" s="179">
        <v>5</v>
      </c>
      <c r="D31" s="182" t="s">
        <v>629</v>
      </c>
      <c r="E31" s="179">
        <v>5</v>
      </c>
      <c r="F31" s="179">
        <v>3273</v>
      </c>
      <c r="G31" s="184">
        <f t="shared" si="17"/>
        <v>654.6</v>
      </c>
      <c r="H31" s="598"/>
      <c r="I31" s="185">
        <f t="shared" si="19"/>
        <v>5</v>
      </c>
      <c r="J31" s="185">
        <f t="shared" si="19"/>
        <v>2967.1553528691161</v>
      </c>
      <c r="K31" s="186">
        <f t="shared" si="19"/>
        <v>593.43107057382326</v>
      </c>
      <c r="L31" s="599"/>
      <c r="M31" s="185">
        <f>RANK(K31, K$27:$K$41)</f>
        <v>1</v>
      </c>
      <c r="N31" s="597"/>
      <c r="O31" s="597"/>
      <c r="P31" s="187">
        <v>5</v>
      </c>
      <c r="Q31" s="187">
        <v>2966.6410242976885</v>
      </c>
      <c r="R31" s="184">
        <f t="shared" si="20"/>
        <v>593.32820485953766</v>
      </c>
      <c r="S31" s="181">
        <f t="shared" si="21"/>
        <v>1</v>
      </c>
      <c r="T31" s="598"/>
      <c r="U31" s="187">
        <v>5</v>
      </c>
      <c r="V31" s="187">
        <v>2965.3318242976879</v>
      </c>
      <c r="W31" s="184">
        <f t="shared" si="18"/>
        <v>593.06636485953754</v>
      </c>
      <c r="X31" s="181">
        <f t="shared" si="22"/>
        <v>1</v>
      </c>
      <c r="Y31" s="598"/>
      <c r="Z31" s="187">
        <v>5</v>
      </c>
      <c r="AA31" s="187">
        <v>2966.9683242976876</v>
      </c>
      <c r="AB31" s="184">
        <f t="shared" si="23"/>
        <v>593.39366485953747</v>
      </c>
      <c r="AC31" s="181">
        <f t="shared" si="24"/>
        <v>1</v>
      </c>
      <c r="AD31" s="598"/>
      <c r="AE31" s="187">
        <v>5</v>
      </c>
      <c r="AF31" s="187">
        <v>2967.2956242976875</v>
      </c>
      <c r="AG31" s="184">
        <f t="shared" si="25"/>
        <v>593.4591248595375</v>
      </c>
      <c r="AH31" s="181">
        <f t="shared" si="26"/>
        <v>1</v>
      </c>
      <c r="AI31" s="598"/>
      <c r="AJ31" s="187">
        <v>5</v>
      </c>
      <c r="AK31" s="187">
        <v>2967.2956242976875</v>
      </c>
      <c r="AL31" s="184">
        <f t="shared" si="27"/>
        <v>593.4591248595375</v>
      </c>
      <c r="AM31" s="181">
        <f t="shared" si="28"/>
        <v>1</v>
      </c>
      <c r="AN31" s="598"/>
      <c r="AO31" s="187">
        <v>5</v>
      </c>
      <c r="AP31" s="187">
        <v>2968.9321242976876</v>
      </c>
      <c r="AQ31" s="184">
        <f t="shared" si="29"/>
        <v>593.78642485953753</v>
      </c>
      <c r="AR31" s="181">
        <f t="shared" si="30"/>
        <v>1</v>
      </c>
      <c r="AS31" s="598"/>
      <c r="AT31" s="187">
        <v>5</v>
      </c>
      <c r="AU31" s="187">
        <v>2967.6229242976879</v>
      </c>
      <c r="AV31" s="184">
        <f t="shared" si="31"/>
        <v>593.52458485953753</v>
      </c>
      <c r="AW31" s="181">
        <f t="shared" si="32"/>
        <v>1</v>
      </c>
      <c r="AX31" s="598"/>
    </row>
    <row r="32" spans="2:50" ht="14.25" customHeight="1">
      <c r="B32" s="597"/>
      <c r="C32" s="179">
        <v>6</v>
      </c>
      <c r="D32" s="182"/>
      <c r="E32" s="179"/>
      <c r="F32" s="179"/>
      <c r="G32" s="184"/>
      <c r="H32" s="598"/>
      <c r="I32" s="185"/>
      <c r="J32" s="185"/>
      <c r="K32" s="186"/>
      <c r="L32" s="599"/>
      <c r="M32" s="185"/>
      <c r="N32" s="597"/>
      <c r="O32" s="597"/>
      <c r="P32" s="187"/>
      <c r="Q32" s="187"/>
      <c r="R32" s="184"/>
      <c r="S32" s="181"/>
      <c r="T32" s="598"/>
      <c r="U32" s="187"/>
      <c r="V32" s="187"/>
      <c r="W32" s="184"/>
      <c r="X32" s="181"/>
      <c r="Y32" s="598"/>
      <c r="Z32" s="187"/>
      <c r="AA32" s="187"/>
      <c r="AB32" s="184"/>
      <c r="AC32" s="181"/>
      <c r="AD32" s="598"/>
      <c r="AE32" s="187"/>
      <c r="AF32" s="187"/>
      <c r="AG32" s="184"/>
      <c r="AH32" s="181"/>
      <c r="AI32" s="598"/>
      <c r="AJ32" s="187"/>
      <c r="AK32" s="187"/>
      <c r="AL32" s="184"/>
      <c r="AM32" s="181"/>
      <c r="AN32" s="598"/>
      <c r="AO32" s="187"/>
      <c r="AP32" s="187"/>
      <c r="AQ32" s="184"/>
      <c r="AR32" s="181"/>
      <c r="AS32" s="598"/>
      <c r="AT32" s="187"/>
      <c r="AU32" s="187"/>
      <c r="AV32" s="184"/>
      <c r="AW32" s="181"/>
      <c r="AX32" s="598"/>
    </row>
    <row r="33" spans="2:50" ht="14.25" customHeight="1">
      <c r="B33" s="597"/>
      <c r="C33" s="179">
        <v>7</v>
      </c>
      <c r="D33" s="182"/>
      <c r="E33" s="179"/>
      <c r="F33" s="179"/>
      <c r="G33" s="184"/>
      <c r="H33" s="598"/>
      <c r="I33" s="185"/>
      <c r="J33" s="185"/>
      <c r="K33" s="186"/>
      <c r="L33" s="599"/>
      <c r="M33" s="185"/>
      <c r="N33" s="597"/>
      <c r="O33" s="597"/>
      <c r="P33" s="187"/>
      <c r="Q33" s="187"/>
      <c r="R33" s="184"/>
      <c r="S33" s="181"/>
      <c r="T33" s="598"/>
      <c r="U33" s="187"/>
      <c r="V33" s="187"/>
      <c r="W33" s="184"/>
      <c r="X33" s="181"/>
      <c r="Y33" s="598"/>
      <c r="Z33" s="187"/>
      <c r="AA33" s="187"/>
      <c r="AB33" s="184"/>
      <c r="AC33" s="181"/>
      <c r="AD33" s="598"/>
      <c r="AE33" s="187"/>
      <c r="AF33" s="187"/>
      <c r="AG33" s="184"/>
      <c r="AH33" s="181"/>
      <c r="AI33" s="598"/>
      <c r="AJ33" s="187"/>
      <c r="AK33" s="187"/>
      <c r="AL33" s="184"/>
      <c r="AM33" s="181"/>
      <c r="AN33" s="598"/>
      <c r="AO33" s="187"/>
      <c r="AP33" s="187"/>
      <c r="AQ33" s="184"/>
      <c r="AR33" s="181"/>
      <c r="AS33" s="598"/>
      <c r="AT33" s="187"/>
      <c r="AU33" s="187"/>
      <c r="AV33" s="184"/>
      <c r="AW33" s="181"/>
      <c r="AX33" s="598"/>
    </row>
    <row r="34" spans="2:50" ht="14.25" customHeight="1">
      <c r="B34" s="597"/>
      <c r="C34" s="179">
        <v>8</v>
      </c>
      <c r="D34" s="182"/>
      <c r="E34" s="179"/>
      <c r="F34" s="179"/>
      <c r="G34" s="184"/>
      <c r="H34" s="598"/>
      <c r="I34" s="185"/>
      <c r="J34" s="185"/>
      <c r="K34" s="186"/>
      <c r="L34" s="599"/>
      <c r="M34" s="185"/>
      <c r="N34" s="597"/>
      <c r="O34" s="597"/>
      <c r="P34" s="187"/>
      <c r="Q34" s="187"/>
      <c r="R34" s="184"/>
      <c r="S34" s="181"/>
      <c r="T34" s="598"/>
      <c r="U34" s="187"/>
      <c r="V34" s="187"/>
      <c r="W34" s="184"/>
      <c r="X34" s="181"/>
      <c r="Y34" s="598"/>
      <c r="Z34" s="187"/>
      <c r="AA34" s="187"/>
      <c r="AB34" s="184"/>
      <c r="AC34" s="181"/>
      <c r="AD34" s="598"/>
      <c r="AE34" s="187"/>
      <c r="AF34" s="187"/>
      <c r="AG34" s="184"/>
      <c r="AH34" s="181"/>
      <c r="AI34" s="598"/>
      <c r="AJ34" s="187"/>
      <c r="AK34" s="187"/>
      <c r="AL34" s="184"/>
      <c r="AM34" s="181"/>
      <c r="AN34" s="598"/>
      <c r="AO34" s="187"/>
      <c r="AP34" s="187"/>
      <c r="AQ34" s="184"/>
      <c r="AR34" s="181"/>
      <c r="AS34" s="598"/>
      <c r="AT34" s="187"/>
      <c r="AU34" s="187"/>
      <c r="AV34" s="184"/>
      <c r="AW34" s="181"/>
      <c r="AX34" s="598"/>
    </row>
    <row r="35" spans="2:50" ht="14.25" customHeight="1">
      <c r="B35" s="597"/>
      <c r="C35" s="179">
        <v>9</v>
      </c>
      <c r="D35" s="182"/>
      <c r="E35" s="179"/>
      <c r="F35" s="179"/>
      <c r="G35" s="184"/>
      <c r="H35" s="598"/>
      <c r="I35" s="185"/>
      <c r="J35" s="185"/>
      <c r="K35" s="186"/>
      <c r="L35" s="599"/>
      <c r="M35" s="185"/>
      <c r="N35" s="597"/>
      <c r="O35" s="597"/>
      <c r="P35" s="187"/>
      <c r="Q35" s="187"/>
      <c r="R35" s="184"/>
      <c r="S35" s="181"/>
      <c r="T35" s="598"/>
      <c r="U35" s="187"/>
      <c r="V35" s="187"/>
      <c r="W35" s="184"/>
      <c r="X35" s="181"/>
      <c r="Y35" s="598"/>
      <c r="Z35" s="187"/>
      <c r="AA35" s="187"/>
      <c r="AB35" s="184"/>
      <c r="AC35" s="181"/>
      <c r="AD35" s="598"/>
      <c r="AE35" s="187"/>
      <c r="AF35" s="187"/>
      <c r="AG35" s="184"/>
      <c r="AH35" s="181"/>
      <c r="AI35" s="598"/>
      <c r="AJ35" s="187"/>
      <c r="AK35" s="187"/>
      <c r="AL35" s="184"/>
      <c r="AM35" s="181"/>
      <c r="AN35" s="598"/>
      <c r="AO35" s="187"/>
      <c r="AP35" s="187"/>
      <c r="AQ35" s="184"/>
      <c r="AR35" s="181"/>
      <c r="AS35" s="598"/>
      <c r="AT35" s="187"/>
      <c r="AU35" s="187"/>
      <c r="AV35" s="184"/>
      <c r="AW35" s="181"/>
      <c r="AX35" s="598"/>
    </row>
    <row r="36" spans="2:50" ht="14.25" customHeight="1">
      <c r="B36" s="597"/>
      <c r="C36" s="179">
        <v>10</v>
      </c>
      <c r="D36" s="182"/>
      <c r="E36" s="179"/>
      <c r="F36" s="179"/>
      <c r="G36" s="184"/>
      <c r="H36" s="598"/>
      <c r="I36" s="185"/>
      <c r="J36" s="185"/>
      <c r="K36" s="186"/>
      <c r="L36" s="599"/>
      <c r="M36" s="185"/>
      <c r="N36" s="597"/>
      <c r="O36" s="597"/>
      <c r="P36" s="187"/>
      <c r="Q36" s="187"/>
      <c r="R36" s="184"/>
      <c r="S36" s="181"/>
      <c r="T36" s="598"/>
      <c r="U36" s="187"/>
      <c r="V36" s="187"/>
      <c r="W36" s="184"/>
      <c r="X36" s="181"/>
      <c r="Y36" s="598"/>
      <c r="Z36" s="187"/>
      <c r="AA36" s="187"/>
      <c r="AB36" s="184"/>
      <c r="AC36" s="181"/>
      <c r="AD36" s="598"/>
      <c r="AE36" s="187"/>
      <c r="AF36" s="187"/>
      <c r="AG36" s="184"/>
      <c r="AH36" s="181"/>
      <c r="AI36" s="598"/>
      <c r="AJ36" s="187"/>
      <c r="AK36" s="187"/>
      <c r="AL36" s="184"/>
      <c r="AM36" s="181"/>
      <c r="AN36" s="598"/>
      <c r="AO36" s="187"/>
      <c r="AP36" s="187"/>
      <c r="AQ36" s="184"/>
      <c r="AR36" s="181"/>
      <c r="AS36" s="598"/>
      <c r="AT36" s="187"/>
      <c r="AU36" s="187"/>
      <c r="AV36" s="184"/>
      <c r="AW36" s="181"/>
      <c r="AX36" s="598"/>
    </row>
    <row r="37" spans="2:50" ht="14.25" customHeight="1">
      <c r="B37" s="597"/>
      <c r="C37" s="179">
        <v>11</v>
      </c>
      <c r="D37" s="182"/>
      <c r="E37" s="179"/>
      <c r="F37" s="179"/>
      <c r="G37" s="184"/>
      <c r="H37" s="598"/>
      <c r="I37" s="185"/>
      <c r="J37" s="185"/>
      <c r="K37" s="186"/>
      <c r="L37" s="599"/>
      <c r="M37" s="185"/>
      <c r="N37" s="597"/>
      <c r="O37" s="597"/>
      <c r="P37" s="187"/>
      <c r="Q37" s="187"/>
      <c r="R37" s="184"/>
      <c r="S37" s="181"/>
      <c r="T37" s="598"/>
      <c r="U37" s="187"/>
      <c r="V37" s="187"/>
      <c r="W37" s="184"/>
      <c r="X37" s="181"/>
      <c r="Y37" s="598"/>
      <c r="Z37" s="187"/>
      <c r="AA37" s="187"/>
      <c r="AB37" s="184"/>
      <c r="AC37" s="181"/>
      <c r="AD37" s="598"/>
      <c r="AE37" s="187"/>
      <c r="AF37" s="187"/>
      <c r="AG37" s="184"/>
      <c r="AH37" s="181"/>
      <c r="AI37" s="598"/>
      <c r="AJ37" s="187"/>
      <c r="AK37" s="187"/>
      <c r="AL37" s="184"/>
      <c r="AM37" s="181"/>
      <c r="AN37" s="598"/>
      <c r="AO37" s="187"/>
      <c r="AP37" s="187"/>
      <c r="AQ37" s="184"/>
      <c r="AR37" s="181"/>
      <c r="AS37" s="598"/>
      <c r="AT37" s="187"/>
      <c r="AU37" s="187"/>
      <c r="AV37" s="184"/>
      <c r="AW37" s="181"/>
      <c r="AX37" s="598"/>
    </row>
    <row r="38" spans="2:50" ht="14.25" customHeight="1">
      <c r="B38" s="597"/>
      <c r="C38" s="179">
        <v>12</v>
      </c>
      <c r="D38" s="182"/>
      <c r="E38" s="179"/>
      <c r="F38" s="179"/>
      <c r="G38" s="184"/>
      <c r="H38" s="598"/>
      <c r="I38" s="185"/>
      <c r="J38" s="185"/>
      <c r="K38" s="186"/>
      <c r="L38" s="599"/>
      <c r="M38" s="185"/>
      <c r="N38" s="597"/>
      <c r="O38" s="597"/>
      <c r="P38" s="187"/>
      <c r="Q38" s="187"/>
      <c r="R38" s="184"/>
      <c r="S38" s="181"/>
      <c r="T38" s="598"/>
      <c r="U38" s="187"/>
      <c r="V38" s="187"/>
      <c r="W38" s="184"/>
      <c r="X38" s="181"/>
      <c r="Y38" s="598"/>
      <c r="Z38" s="187"/>
      <c r="AA38" s="187"/>
      <c r="AB38" s="184"/>
      <c r="AC38" s="181"/>
      <c r="AD38" s="598"/>
      <c r="AE38" s="187"/>
      <c r="AF38" s="187"/>
      <c r="AG38" s="184"/>
      <c r="AH38" s="181"/>
      <c r="AI38" s="598"/>
      <c r="AJ38" s="187"/>
      <c r="AK38" s="187"/>
      <c r="AL38" s="184"/>
      <c r="AM38" s="181"/>
      <c r="AN38" s="598"/>
      <c r="AO38" s="187"/>
      <c r="AP38" s="187"/>
      <c r="AQ38" s="184"/>
      <c r="AR38" s="181"/>
      <c r="AS38" s="598"/>
      <c r="AT38" s="187"/>
      <c r="AU38" s="187"/>
      <c r="AV38" s="184"/>
      <c r="AW38" s="181"/>
      <c r="AX38" s="598"/>
    </row>
    <row r="39" spans="2:50" ht="14.25" customHeight="1">
      <c r="B39" s="597"/>
      <c r="C39" s="179">
        <v>13</v>
      </c>
      <c r="D39" s="182"/>
      <c r="E39" s="179"/>
      <c r="F39" s="179"/>
      <c r="G39" s="184"/>
      <c r="H39" s="598"/>
      <c r="I39" s="185"/>
      <c r="J39" s="185"/>
      <c r="K39" s="186"/>
      <c r="L39" s="599"/>
      <c r="M39" s="185"/>
      <c r="N39" s="597"/>
      <c r="O39" s="597"/>
      <c r="P39" s="187"/>
      <c r="Q39" s="187"/>
      <c r="R39" s="184"/>
      <c r="S39" s="181"/>
      <c r="T39" s="598"/>
      <c r="U39" s="187"/>
      <c r="V39" s="187"/>
      <c r="W39" s="184"/>
      <c r="X39" s="181"/>
      <c r="Y39" s="598"/>
      <c r="Z39" s="187"/>
      <c r="AA39" s="187"/>
      <c r="AB39" s="184"/>
      <c r="AC39" s="181"/>
      <c r="AD39" s="598"/>
      <c r="AE39" s="187"/>
      <c r="AF39" s="187"/>
      <c r="AG39" s="184"/>
      <c r="AH39" s="181"/>
      <c r="AI39" s="598"/>
      <c r="AJ39" s="187"/>
      <c r="AK39" s="187"/>
      <c r="AL39" s="184"/>
      <c r="AM39" s="181"/>
      <c r="AN39" s="598"/>
      <c r="AO39" s="187"/>
      <c r="AP39" s="187"/>
      <c r="AQ39" s="184"/>
      <c r="AR39" s="181"/>
      <c r="AS39" s="598"/>
      <c r="AT39" s="187"/>
      <c r="AU39" s="187"/>
      <c r="AV39" s="184"/>
      <c r="AW39" s="181"/>
      <c r="AX39" s="598"/>
    </row>
    <row r="40" spans="2:50" ht="14.25" customHeight="1">
      <c r="B40" s="597"/>
      <c r="C40" s="179">
        <v>14</v>
      </c>
      <c r="D40" s="182"/>
      <c r="E40" s="179"/>
      <c r="F40" s="179"/>
      <c r="G40" s="184"/>
      <c r="H40" s="598"/>
      <c r="I40" s="185"/>
      <c r="J40" s="185"/>
      <c r="K40" s="186"/>
      <c r="L40" s="599"/>
      <c r="M40" s="185"/>
      <c r="N40" s="597"/>
      <c r="O40" s="597"/>
      <c r="P40" s="187"/>
      <c r="Q40" s="187"/>
      <c r="R40" s="184"/>
      <c r="S40" s="181"/>
      <c r="T40" s="598"/>
      <c r="U40" s="187"/>
      <c r="V40" s="187"/>
      <c r="W40" s="184"/>
      <c r="X40" s="181"/>
      <c r="Y40" s="598"/>
      <c r="Z40" s="187"/>
      <c r="AA40" s="187"/>
      <c r="AB40" s="184"/>
      <c r="AC40" s="181"/>
      <c r="AD40" s="598"/>
      <c r="AE40" s="187"/>
      <c r="AF40" s="187"/>
      <c r="AG40" s="184"/>
      <c r="AH40" s="181"/>
      <c r="AI40" s="598"/>
      <c r="AJ40" s="187"/>
      <c r="AK40" s="187"/>
      <c r="AL40" s="184"/>
      <c r="AM40" s="181"/>
      <c r="AN40" s="598"/>
      <c r="AO40" s="187"/>
      <c r="AP40" s="187"/>
      <c r="AQ40" s="184"/>
      <c r="AR40" s="181"/>
      <c r="AS40" s="598"/>
      <c r="AT40" s="187"/>
      <c r="AU40" s="187"/>
      <c r="AV40" s="184"/>
      <c r="AW40" s="181"/>
      <c r="AX40" s="598"/>
    </row>
    <row r="41" spans="2:50" ht="14.25" customHeight="1">
      <c r="B41" s="597"/>
      <c r="C41" s="179">
        <v>15</v>
      </c>
      <c r="D41" s="182"/>
      <c r="E41" s="179"/>
      <c r="F41" s="179"/>
      <c r="G41" s="184"/>
      <c r="H41" s="598"/>
      <c r="I41" s="185"/>
      <c r="J41" s="185"/>
      <c r="K41" s="186"/>
      <c r="L41" s="599"/>
      <c r="M41" s="185"/>
      <c r="N41" s="597"/>
      <c r="O41" s="597"/>
      <c r="P41" s="187"/>
      <c r="Q41" s="187"/>
      <c r="R41" s="184"/>
      <c r="S41" s="181"/>
      <c r="T41" s="598"/>
      <c r="U41" s="187"/>
      <c r="V41" s="187"/>
      <c r="W41" s="184"/>
      <c r="X41" s="181"/>
      <c r="Y41" s="598"/>
      <c r="Z41" s="187"/>
      <c r="AA41" s="187"/>
      <c r="AB41" s="184"/>
      <c r="AC41" s="181"/>
      <c r="AD41" s="598"/>
      <c r="AE41" s="187"/>
      <c r="AF41" s="187"/>
      <c r="AG41" s="184"/>
      <c r="AH41" s="181"/>
      <c r="AI41" s="598"/>
      <c r="AJ41" s="187"/>
      <c r="AK41" s="187"/>
      <c r="AL41" s="184"/>
      <c r="AM41" s="181"/>
      <c r="AN41" s="598"/>
      <c r="AO41" s="187"/>
      <c r="AP41" s="187"/>
      <c r="AQ41" s="184"/>
      <c r="AR41" s="181"/>
      <c r="AS41" s="598"/>
      <c r="AT41" s="187"/>
      <c r="AU41" s="187"/>
      <c r="AV41" s="184"/>
      <c r="AW41" s="181"/>
      <c r="AX41" s="598"/>
    </row>
    <row r="42" spans="2:50" ht="14.25" customHeight="1" collapsed="1">
      <c r="B42" s="625" t="s">
        <v>825</v>
      </c>
      <c r="C42" s="631"/>
      <c r="D42" s="631"/>
      <c r="E42" s="631"/>
      <c r="F42" s="631"/>
      <c r="G42" s="631"/>
      <c r="H42" s="631"/>
      <c r="I42" s="631"/>
      <c r="J42" s="631"/>
      <c r="K42" s="631"/>
      <c r="L42" s="631"/>
      <c r="M42" s="632"/>
      <c r="N42" s="629" t="s">
        <v>363</v>
      </c>
      <c r="O42" s="629" t="s">
        <v>105</v>
      </c>
      <c r="P42" s="617">
        <v>46217</v>
      </c>
      <c r="Q42" s="618"/>
      <c r="R42" s="618"/>
      <c r="S42" s="618"/>
      <c r="T42" s="618"/>
      <c r="U42" s="619">
        <v>46218</v>
      </c>
      <c r="V42" s="620"/>
      <c r="W42" s="620"/>
      <c r="X42" s="620"/>
      <c r="Y42" s="620"/>
      <c r="Z42" s="617">
        <v>46219</v>
      </c>
      <c r="AA42" s="618"/>
      <c r="AB42" s="618"/>
      <c r="AC42" s="618"/>
      <c r="AD42" s="618"/>
      <c r="AE42" s="619">
        <v>46220</v>
      </c>
      <c r="AF42" s="620"/>
      <c r="AG42" s="620"/>
      <c r="AH42" s="620"/>
      <c r="AI42" s="620"/>
      <c r="AJ42" s="602">
        <v>46221</v>
      </c>
      <c r="AK42" s="603"/>
      <c r="AL42" s="603"/>
      <c r="AM42" s="603"/>
      <c r="AN42" s="604"/>
      <c r="AO42" s="619">
        <v>46222</v>
      </c>
      <c r="AP42" s="620"/>
      <c r="AQ42" s="620"/>
      <c r="AR42" s="620"/>
      <c r="AS42" s="620"/>
      <c r="AT42" s="602">
        <v>46223</v>
      </c>
      <c r="AU42" s="603"/>
      <c r="AV42" s="603"/>
      <c r="AW42" s="603"/>
      <c r="AX42" s="604"/>
    </row>
    <row r="43" spans="2:50" ht="14.25" customHeight="1">
      <c r="B43" s="633"/>
      <c r="C43" s="633"/>
      <c r="D43" s="633"/>
      <c r="E43" s="633"/>
      <c r="F43" s="633"/>
      <c r="G43" s="633"/>
      <c r="H43" s="633"/>
      <c r="I43" s="633"/>
      <c r="J43" s="633"/>
      <c r="K43" s="633"/>
      <c r="L43" s="633"/>
      <c r="M43" s="634"/>
      <c r="N43" s="630"/>
      <c r="O43" s="630"/>
      <c r="P43" s="605">
        <v>46196</v>
      </c>
      <c r="Q43" s="605"/>
      <c r="R43" s="605"/>
      <c r="S43" s="605"/>
      <c r="T43" s="605"/>
      <c r="U43" s="606">
        <v>46197</v>
      </c>
      <c r="V43" s="606"/>
      <c r="W43" s="606"/>
      <c r="X43" s="606"/>
      <c r="Y43" s="606"/>
      <c r="Z43" s="605">
        <v>46198</v>
      </c>
      <c r="AA43" s="605"/>
      <c r="AB43" s="605"/>
      <c r="AC43" s="605"/>
      <c r="AD43" s="605"/>
      <c r="AE43" s="606">
        <v>46199</v>
      </c>
      <c r="AF43" s="606"/>
      <c r="AG43" s="606"/>
      <c r="AH43" s="606"/>
      <c r="AI43" s="606"/>
      <c r="AJ43" s="607">
        <v>46200</v>
      </c>
      <c r="AK43" s="608"/>
      <c r="AL43" s="608"/>
      <c r="AM43" s="608"/>
      <c r="AN43" s="609"/>
      <c r="AO43" s="606">
        <v>46201</v>
      </c>
      <c r="AP43" s="606"/>
      <c r="AQ43" s="606"/>
      <c r="AR43" s="606"/>
      <c r="AS43" s="606"/>
      <c r="AT43" s="607">
        <v>46202</v>
      </c>
      <c r="AU43" s="608"/>
      <c r="AV43" s="608"/>
      <c r="AW43" s="608"/>
      <c r="AX43" s="609"/>
    </row>
    <row r="44" spans="2:50" ht="14.25" customHeight="1">
      <c r="B44" s="597" t="s">
        <v>162</v>
      </c>
      <c r="C44" s="597" t="s">
        <v>157</v>
      </c>
      <c r="D44" s="597"/>
      <c r="E44" s="597" t="s">
        <v>158</v>
      </c>
      <c r="F44" s="597"/>
      <c r="G44" s="597"/>
      <c r="H44" s="597" t="s">
        <v>163</v>
      </c>
      <c r="I44" s="601" t="s">
        <v>364</v>
      </c>
      <c r="J44" s="601"/>
      <c r="K44" s="601"/>
      <c r="L44" s="601" t="s">
        <v>163</v>
      </c>
      <c r="M44" s="601" t="s">
        <v>165</v>
      </c>
      <c r="N44" s="597"/>
      <c r="O44" s="597" t="s">
        <v>164</v>
      </c>
      <c r="P44" s="597" t="s">
        <v>160</v>
      </c>
      <c r="Q44" s="597"/>
      <c r="R44" s="597"/>
      <c r="S44" s="597"/>
      <c r="T44" s="597" t="s">
        <v>163</v>
      </c>
      <c r="U44" s="597" t="s">
        <v>160</v>
      </c>
      <c r="V44" s="597"/>
      <c r="W44" s="597"/>
      <c r="X44" s="597"/>
      <c r="Y44" s="597" t="s">
        <v>163</v>
      </c>
      <c r="Z44" s="597" t="s">
        <v>160</v>
      </c>
      <c r="AA44" s="597"/>
      <c r="AB44" s="597"/>
      <c r="AC44" s="597"/>
      <c r="AD44" s="597" t="s">
        <v>163</v>
      </c>
      <c r="AE44" s="597" t="s">
        <v>160</v>
      </c>
      <c r="AF44" s="597"/>
      <c r="AG44" s="597"/>
      <c r="AH44" s="597"/>
      <c r="AI44" s="597" t="s">
        <v>163</v>
      </c>
      <c r="AJ44" s="597" t="s">
        <v>160</v>
      </c>
      <c r="AK44" s="597"/>
      <c r="AL44" s="597"/>
      <c r="AM44" s="597"/>
      <c r="AN44" s="597" t="s">
        <v>163</v>
      </c>
      <c r="AO44" s="597" t="s">
        <v>160</v>
      </c>
      <c r="AP44" s="597"/>
      <c r="AQ44" s="597"/>
      <c r="AR44" s="597"/>
      <c r="AS44" s="597" t="s">
        <v>163</v>
      </c>
      <c r="AT44" s="597" t="s">
        <v>160</v>
      </c>
      <c r="AU44" s="597"/>
      <c r="AV44" s="597"/>
      <c r="AW44" s="597"/>
      <c r="AX44" s="597" t="s">
        <v>163</v>
      </c>
    </row>
    <row r="45" spans="2:50" ht="14.25" customHeight="1">
      <c r="B45" s="597"/>
      <c r="C45" s="597"/>
      <c r="D45" s="597"/>
      <c r="E45" s="597" t="s">
        <v>365</v>
      </c>
      <c r="F45" s="597"/>
      <c r="G45" s="597"/>
      <c r="H45" s="597"/>
      <c r="I45" s="601" t="s">
        <v>365</v>
      </c>
      <c r="J45" s="601"/>
      <c r="K45" s="601"/>
      <c r="L45" s="601"/>
      <c r="M45" s="601"/>
      <c r="N45" s="597"/>
      <c r="O45" s="597"/>
      <c r="P45" s="597" t="s">
        <v>366</v>
      </c>
      <c r="Q45" s="597"/>
      <c r="R45" s="597"/>
      <c r="S45" s="597"/>
      <c r="T45" s="597"/>
      <c r="U45" s="597" t="s">
        <v>366</v>
      </c>
      <c r="V45" s="597"/>
      <c r="W45" s="597"/>
      <c r="X45" s="597"/>
      <c r="Y45" s="597"/>
      <c r="Z45" s="597" t="s">
        <v>366</v>
      </c>
      <c r="AA45" s="597"/>
      <c r="AB45" s="597"/>
      <c r="AC45" s="597"/>
      <c r="AD45" s="597"/>
      <c r="AE45" s="597" t="s">
        <v>366</v>
      </c>
      <c r="AF45" s="597"/>
      <c r="AG45" s="597"/>
      <c r="AH45" s="597"/>
      <c r="AI45" s="597"/>
      <c r="AJ45" s="597" t="s">
        <v>366</v>
      </c>
      <c r="AK45" s="597"/>
      <c r="AL45" s="597"/>
      <c r="AM45" s="597"/>
      <c r="AN45" s="597"/>
      <c r="AO45" s="597" t="s">
        <v>366</v>
      </c>
      <c r="AP45" s="597"/>
      <c r="AQ45" s="597"/>
      <c r="AR45" s="597"/>
      <c r="AS45" s="597"/>
      <c r="AT45" s="597" t="s">
        <v>366</v>
      </c>
      <c r="AU45" s="597"/>
      <c r="AV45" s="597"/>
      <c r="AW45" s="597"/>
      <c r="AX45" s="597"/>
    </row>
    <row r="46" spans="2:50" ht="14.25" customHeight="1">
      <c r="B46" s="597"/>
      <c r="C46" s="597"/>
      <c r="D46" s="597"/>
      <c r="E46" s="179" t="s">
        <v>159</v>
      </c>
      <c r="F46" s="179" t="s">
        <v>367</v>
      </c>
      <c r="G46" s="179" t="s">
        <v>161</v>
      </c>
      <c r="H46" s="597"/>
      <c r="I46" s="180" t="s">
        <v>159</v>
      </c>
      <c r="J46" s="180" t="s">
        <v>367</v>
      </c>
      <c r="K46" s="180" t="s">
        <v>161</v>
      </c>
      <c r="L46" s="601"/>
      <c r="M46" s="601"/>
      <c r="N46" s="597"/>
      <c r="O46" s="597"/>
      <c r="P46" s="179" t="s">
        <v>159</v>
      </c>
      <c r="Q46" s="179" t="s">
        <v>367</v>
      </c>
      <c r="R46" s="179" t="s">
        <v>161</v>
      </c>
      <c r="S46" s="181" t="s">
        <v>165</v>
      </c>
      <c r="T46" s="597"/>
      <c r="U46" s="179" t="s">
        <v>159</v>
      </c>
      <c r="V46" s="179" t="s">
        <v>367</v>
      </c>
      <c r="W46" s="179" t="s">
        <v>161</v>
      </c>
      <c r="X46" s="181" t="s">
        <v>165</v>
      </c>
      <c r="Y46" s="597"/>
      <c r="Z46" s="179" t="s">
        <v>159</v>
      </c>
      <c r="AA46" s="179" t="s">
        <v>367</v>
      </c>
      <c r="AB46" s="179" t="s">
        <v>161</v>
      </c>
      <c r="AC46" s="181" t="s">
        <v>165</v>
      </c>
      <c r="AD46" s="597"/>
      <c r="AE46" s="179" t="s">
        <v>159</v>
      </c>
      <c r="AF46" s="179" t="s">
        <v>367</v>
      </c>
      <c r="AG46" s="179" t="s">
        <v>161</v>
      </c>
      <c r="AH46" s="181" t="s">
        <v>165</v>
      </c>
      <c r="AI46" s="597"/>
      <c r="AJ46" s="179" t="s">
        <v>159</v>
      </c>
      <c r="AK46" s="179" t="s">
        <v>367</v>
      </c>
      <c r="AL46" s="179" t="s">
        <v>161</v>
      </c>
      <c r="AM46" s="181" t="s">
        <v>165</v>
      </c>
      <c r="AN46" s="597"/>
      <c r="AO46" s="179" t="s">
        <v>159</v>
      </c>
      <c r="AP46" s="179" t="s">
        <v>367</v>
      </c>
      <c r="AQ46" s="179" t="s">
        <v>161</v>
      </c>
      <c r="AR46" s="181" t="s">
        <v>165</v>
      </c>
      <c r="AS46" s="597"/>
      <c r="AT46" s="179" t="s">
        <v>159</v>
      </c>
      <c r="AU46" s="179" t="s">
        <v>367</v>
      </c>
      <c r="AV46" s="179" t="s">
        <v>161</v>
      </c>
      <c r="AW46" s="181" t="s">
        <v>165</v>
      </c>
      <c r="AX46" s="597"/>
    </row>
    <row r="47" spans="2:50" ht="14.25" customHeight="1">
      <c r="B47" s="597" t="s">
        <v>370</v>
      </c>
      <c r="C47" s="179">
        <v>1</v>
      </c>
      <c r="D47" s="182" t="s">
        <v>596</v>
      </c>
      <c r="E47" s="183">
        <v>5</v>
      </c>
      <c r="F47" s="179">
        <v>3273</v>
      </c>
      <c r="G47" s="184">
        <f t="shared" ref="G47:G51" si="33">IFERROR(F47/E47,"")</f>
        <v>654.6</v>
      </c>
      <c r="H47" s="598">
        <f>AVERAGE(G47:G61)</f>
        <v>522.83999999999992</v>
      </c>
      <c r="I47" s="185">
        <f>AVERAGE(P47,U47,Z47,AE47,AJ47,AO47,AT47)</f>
        <v>6</v>
      </c>
      <c r="J47" s="185">
        <f>AVERAGE(Q47,V47,AA47,AF47,AK47,AP47,AU47)</f>
        <v>2961.6418775921857</v>
      </c>
      <c r="K47" s="186">
        <f>AVERAGE(R47,W47,AB47,AG47,AL47,AQ47,AV47)</f>
        <v>493.60697959869771</v>
      </c>
      <c r="L47" s="599">
        <f>IFERROR(AVERAGE(K47:K61),"-")</f>
        <v>452.87919174259349</v>
      </c>
      <c r="M47" s="185">
        <f>RANK(K47, K$47:$K$61)</f>
        <v>4</v>
      </c>
      <c r="N47" s="597"/>
      <c r="O47" s="597"/>
      <c r="P47" s="187">
        <v>6</v>
      </c>
      <c r="Q47" s="187">
        <v>2961.6418775921861</v>
      </c>
      <c r="R47" s="184">
        <f>IFERROR(Q47/P47,"")</f>
        <v>493.60697959869771</v>
      </c>
      <c r="S47" s="181">
        <f>RANK(R47, R$47:R$61)</f>
        <v>4</v>
      </c>
      <c r="T47" s="598">
        <f>AVERAGE(R47:R61)</f>
        <v>452.98999631402205</v>
      </c>
      <c r="U47" s="187">
        <v>6</v>
      </c>
      <c r="V47" s="187">
        <v>2961.6418775921861</v>
      </c>
      <c r="W47" s="184">
        <f t="shared" ref="W47:W51" si="34">IFERROR(V47/U47,"")</f>
        <v>493.60697959869771</v>
      </c>
      <c r="X47" s="181">
        <f>RANK(W47, W$47:W$61)</f>
        <v>4</v>
      </c>
      <c r="Y47" s="598">
        <f>AVERAGE(W47:W61)</f>
        <v>453.02196431402206</v>
      </c>
      <c r="Z47" s="187">
        <v>6</v>
      </c>
      <c r="AA47" s="187">
        <v>2961.6418775921861</v>
      </c>
      <c r="AB47" s="184">
        <f>IFERROR(AA47/Z47,"")</f>
        <v>493.60697959869771</v>
      </c>
      <c r="AC47" s="181">
        <f>RANK(AB47, AB$47:AB$61)</f>
        <v>4</v>
      </c>
      <c r="AD47" s="598">
        <f>AVERAGE(AB47:AB61)</f>
        <v>452.95356431402217</v>
      </c>
      <c r="AE47" s="187">
        <v>6</v>
      </c>
      <c r="AF47" s="187">
        <v>2961.6418775921857</v>
      </c>
      <c r="AG47" s="184">
        <f>IFERROR(AF47/AE47,"")</f>
        <v>493.60697959869759</v>
      </c>
      <c r="AH47" s="181">
        <f>RANK(AG47, AG$47:AG$61)</f>
        <v>4</v>
      </c>
      <c r="AI47" s="636">
        <f>AVERAGE(AG47:AG61)</f>
        <v>452.86418831402204</v>
      </c>
      <c r="AJ47" s="187">
        <v>6</v>
      </c>
      <c r="AK47" s="187">
        <v>2961.6418775921861</v>
      </c>
      <c r="AL47" s="184">
        <f>IFERROR(AK47/AJ47,"")</f>
        <v>493.60697959869771</v>
      </c>
      <c r="AM47" s="181">
        <f>RANK(AL47, AL$47:AL$61)</f>
        <v>4</v>
      </c>
      <c r="AN47" s="598">
        <f>AVERAGE(AL47:AL61)</f>
        <v>452.72672831402213</v>
      </c>
      <c r="AO47" s="187">
        <v>6</v>
      </c>
      <c r="AP47" s="187">
        <v>2961.6418775921866</v>
      </c>
      <c r="AQ47" s="184">
        <f>IFERROR(AP47/AO47,"")</f>
        <v>493.60697959869776</v>
      </c>
      <c r="AR47" s="181">
        <f>RANK(AQ47, AQ$47:AQ$61)</f>
        <v>4</v>
      </c>
      <c r="AS47" s="598">
        <f>AVERAGE(AQ47:AQ61)</f>
        <v>452.79949631402212</v>
      </c>
      <c r="AT47" s="187">
        <v>6</v>
      </c>
      <c r="AU47" s="187">
        <v>2961.6418775921866</v>
      </c>
      <c r="AV47" s="184">
        <f>IFERROR(AU47/AT47,"")</f>
        <v>493.60697959869776</v>
      </c>
      <c r="AW47" s="181">
        <f>RANK(AV47, AV$47:AV$61)</f>
        <v>4</v>
      </c>
      <c r="AX47" s="598">
        <f>AVERAGE(AV47:AV61)</f>
        <v>452.79840431402209</v>
      </c>
    </row>
    <row r="48" spans="2:50" ht="14.25" customHeight="1">
      <c r="B48" s="597"/>
      <c r="C48" s="179">
        <v>2</v>
      </c>
      <c r="D48" s="182" t="s">
        <v>578</v>
      </c>
      <c r="E48" s="179">
        <v>6</v>
      </c>
      <c r="F48" s="179">
        <v>3600</v>
      </c>
      <c r="G48" s="184">
        <f t="shared" si="33"/>
        <v>600</v>
      </c>
      <c r="H48" s="598"/>
      <c r="I48" s="185">
        <f t="shared" ref="I48:K51" si="35">AVERAGE(P48,U48,Z48,AE48,AJ48,AO48,AT48)</f>
        <v>6</v>
      </c>
      <c r="J48" s="185">
        <f t="shared" si="35"/>
        <v>3247.1485714285727</v>
      </c>
      <c r="K48" s="186">
        <f t="shared" si="35"/>
        <v>541.19142857142867</v>
      </c>
      <c r="L48" s="599"/>
      <c r="M48" s="185">
        <f>RANK(K48, K$47:$K$61)</f>
        <v>3</v>
      </c>
      <c r="N48" s="597"/>
      <c r="O48" s="597"/>
      <c r="P48" s="187">
        <v>6</v>
      </c>
      <c r="Q48" s="187">
        <v>3247.2000000000012</v>
      </c>
      <c r="R48" s="184">
        <f t="shared" ref="R48:R51" si="36">IFERROR(Q48/P48,"")</f>
        <v>541.20000000000016</v>
      </c>
      <c r="S48" s="181">
        <f>RANK(R48, R$47:R$61)</f>
        <v>3</v>
      </c>
      <c r="T48" s="598"/>
      <c r="U48" s="187">
        <v>6</v>
      </c>
      <c r="V48" s="187">
        <v>3248.2800000000007</v>
      </c>
      <c r="W48" s="184">
        <f t="shared" si="34"/>
        <v>541.38000000000011</v>
      </c>
      <c r="X48" s="181">
        <f>RANK(W48, W$47:W$61)</f>
        <v>3</v>
      </c>
      <c r="Y48" s="598"/>
      <c r="Z48" s="187">
        <v>6</v>
      </c>
      <c r="AA48" s="187">
        <v>3247.920000000001</v>
      </c>
      <c r="AB48" s="184">
        <f t="shared" ref="AB48:AB51" si="37">IFERROR(AA48/Z48,"")</f>
        <v>541.32000000000016</v>
      </c>
      <c r="AC48" s="181">
        <f>RANK(AB48, AB$47:AB$61)</f>
        <v>3</v>
      </c>
      <c r="AD48" s="598"/>
      <c r="AE48" s="187">
        <v>6</v>
      </c>
      <c r="AF48" s="187">
        <v>3246.4800000000009</v>
      </c>
      <c r="AG48" s="184">
        <f t="shared" ref="AG48:AG51" si="38">IFERROR(AF48/AE48,"")</f>
        <v>541.08000000000015</v>
      </c>
      <c r="AH48" s="181">
        <f>RANK(AG48, AG$47:AG$61)</f>
        <v>3</v>
      </c>
      <c r="AI48" s="637"/>
      <c r="AJ48" s="187">
        <v>6</v>
      </c>
      <c r="AK48" s="187">
        <v>3245.7600000000016</v>
      </c>
      <c r="AL48" s="184">
        <f t="shared" ref="AL48:AL51" si="39">IFERROR(AK48/AJ48,"")</f>
        <v>540.96000000000026</v>
      </c>
      <c r="AM48" s="181">
        <f>RANK(AL48, AL$47:AL$61)</f>
        <v>3</v>
      </c>
      <c r="AN48" s="598"/>
      <c r="AO48" s="187">
        <v>6</v>
      </c>
      <c r="AP48" s="187">
        <v>3246.4800000000014</v>
      </c>
      <c r="AQ48" s="184">
        <f t="shared" ref="AQ48:AQ51" si="40">IFERROR(AP48/AO48,"")</f>
        <v>541.08000000000027</v>
      </c>
      <c r="AR48" s="181">
        <f>RANK(AQ48, AQ$47:AQ$61)</f>
        <v>2</v>
      </c>
      <c r="AS48" s="598"/>
      <c r="AT48" s="187">
        <v>6</v>
      </c>
      <c r="AU48" s="187">
        <v>3247.920000000001</v>
      </c>
      <c r="AV48" s="184">
        <f t="shared" ref="AV48:AV51" si="41">IFERROR(AU48/AT48,"")</f>
        <v>541.32000000000016</v>
      </c>
      <c r="AW48" s="181">
        <f>RANK(AV48, AV$47:AV$61)</f>
        <v>2</v>
      </c>
      <c r="AX48" s="598"/>
    </row>
    <row r="49" spans="2:50" ht="14.25" customHeight="1">
      <c r="B49" s="597"/>
      <c r="C49" s="179">
        <v>3</v>
      </c>
      <c r="D49" s="182" t="s">
        <v>579</v>
      </c>
      <c r="E49" s="179">
        <v>6</v>
      </c>
      <c r="F49" s="179">
        <v>3600</v>
      </c>
      <c r="G49" s="184">
        <f t="shared" si="33"/>
        <v>600</v>
      </c>
      <c r="H49" s="598"/>
      <c r="I49" s="185">
        <f t="shared" si="35"/>
        <v>6</v>
      </c>
      <c r="J49" s="185">
        <f t="shared" si="35"/>
        <v>3248.0228571428565</v>
      </c>
      <c r="K49" s="186">
        <f t="shared" si="35"/>
        <v>541.33714285714279</v>
      </c>
      <c r="L49" s="599"/>
      <c r="M49" s="185">
        <f>RANK(K49, K$47:$K$61)</f>
        <v>2</v>
      </c>
      <c r="N49" s="597"/>
      <c r="O49" s="597"/>
      <c r="P49" s="187">
        <v>6</v>
      </c>
      <c r="Q49" s="187">
        <v>3251.1600000000003</v>
      </c>
      <c r="R49" s="184">
        <f t="shared" si="36"/>
        <v>541.86</v>
      </c>
      <c r="S49" s="181">
        <f t="shared" ref="S49:S51" si="42">RANK(R49, R$47:R$61)</f>
        <v>2</v>
      </c>
      <c r="T49" s="598"/>
      <c r="U49" s="187">
        <v>6</v>
      </c>
      <c r="V49" s="187">
        <v>3249.72</v>
      </c>
      <c r="W49" s="184">
        <f t="shared" si="34"/>
        <v>541.62</v>
      </c>
      <c r="X49" s="181">
        <f t="shared" ref="X49:X51" si="43">RANK(W49, W$47:W$61)</f>
        <v>2</v>
      </c>
      <c r="Y49" s="598"/>
      <c r="Z49" s="187">
        <v>6</v>
      </c>
      <c r="AA49" s="187">
        <v>3248.28</v>
      </c>
      <c r="AB49" s="184">
        <f t="shared" si="37"/>
        <v>541.38</v>
      </c>
      <c r="AC49" s="181">
        <f t="shared" ref="AC49:AC51" si="44">RANK(AB49, AB$47:AB$61)</f>
        <v>2</v>
      </c>
      <c r="AD49" s="598"/>
      <c r="AE49" s="187">
        <v>6</v>
      </c>
      <c r="AF49" s="187">
        <v>3248.2799999999997</v>
      </c>
      <c r="AG49" s="184">
        <f t="shared" si="38"/>
        <v>541.38</v>
      </c>
      <c r="AH49" s="181">
        <f t="shared" ref="AH49:AH51" si="45">RANK(AG49, AG$47:AG$61)</f>
        <v>2</v>
      </c>
      <c r="AI49" s="637"/>
      <c r="AJ49" s="187">
        <v>6</v>
      </c>
      <c r="AK49" s="187">
        <v>3246.8399999999997</v>
      </c>
      <c r="AL49" s="184">
        <f t="shared" si="39"/>
        <v>541.14</v>
      </c>
      <c r="AM49" s="181">
        <f t="shared" ref="AM49:AM51" si="46">RANK(AL49, AL$47:AL$61)</f>
        <v>2</v>
      </c>
      <c r="AN49" s="598"/>
      <c r="AO49" s="187">
        <v>6</v>
      </c>
      <c r="AP49" s="187">
        <v>3246.4799999999996</v>
      </c>
      <c r="AQ49" s="184">
        <f t="shared" si="40"/>
        <v>541.07999999999993</v>
      </c>
      <c r="AR49" s="181">
        <f t="shared" ref="AR49:AR51" si="47">RANK(AQ49, AQ$47:AQ$61)</f>
        <v>3</v>
      </c>
      <c r="AS49" s="598"/>
      <c r="AT49" s="187">
        <v>6</v>
      </c>
      <c r="AU49" s="187">
        <v>3245.3999999999992</v>
      </c>
      <c r="AV49" s="184">
        <f t="shared" si="41"/>
        <v>540.89999999999986</v>
      </c>
      <c r="AW49" s="181">
        <f t="shared" ref="AW49:AW51" si="48">RANK(AV49, AV$47:AV$61)</f>
        <v>3</v>
      </c>
      <c r="AX49" s="598"/>
    </row>
    <row r="50" spans="2:50" ht="14.25" customHeight="1">
      <c r="B50" s="597"/>
      <c r="C50" s="179">
        <v>4</v>
      </c>
      <c r="D50" s="182" t="s">
        <v>613</v>
      </c>
      <c r="E50" s="179">
        <v>20</v>
      </c>
      <c r="F50" s="179">
        <v>2100</v>
      </c>
      <c r="G50" s="184">
        <f t="shared" si="33"/>
        <v>105</v>
      </c>
      <c r="H50" s="598"/>
      <c r="I50" s="185">
        <f t="shared" si="35"/>
        <v>20</v>
      </c>
      <c r="J50" s="185">
        <f t="shared" si="35"/>
        <v>1893.9683422374978</v>
      </c>
      <c r="K50" s="186">
        <f t="shared" si="35"/>
        <v>94.698417111874875</v>
      </c>
      <c r="L50" s="599"/>
      <c r="M50" s="185">
        <f>RANK(K50, K$47:$K$61)</f>
        <v>5</v>
      </c>
      <c r="N50" s="597"/>
      <c r="O50" s="597"/>
      <c r="P50" s="187">
        <v>20</v>
      </c>
      <c r="Q50" s="187">
        <v>1895.1683422374977</v>
      </c>
      <c r="R50" s="184">
        <f t="shared" si="36"/>
        <v>94.758417111874877</v>
      </c>
      <c r="S50" s="181">
        <f t="shared" si="42"/>
        <v>5</v>
      </c>
      <c r="T50" s="598"/>
      <c r="U50" s="187">
        <v>20</v>
      </c>
      <c r="V50" s="187">
        <v>1894.3283422374975</v>
      </c>
      <c r="W50" s="184">
        <f t="shared" si="34"/>
        <v>94.716417111874875</v>
      </c>
      <c r="X50" s="181">
        <f t="shared" si="43"/>
        <v>5</v>
      </c>
      <c r="Y50" s="598"/>
      <c r="Z50" s="187">
        <v>20</v>
      </c>
      <c r="AA50" s="187">
        <v>1893.4883422374974</v>
      </c>
      <c r="AB50" s="184">
        <f t="shared" si="37"/>
        <v>94.674417111874874</v>
      </c>
      <c r="AC50" s="181">
        <f t="shared" si="44"/>
        <v>5</v>
      </c>
      <c r="AD50" s="598"/>
      <c r="AE50" s="187">
        <v>20</v>
      </c>
      <c r="AF50" s="187">
        <v>1893.2783422374976</v>
      </c>
      <c r="AG50" s="184">
        <f t="shared" si="38"/>
        <v>94.663917111874881</v>
      </c>
      <c r="AH50" s="181">
        <f t="shared" si="45"/>
        <v>5</v>
      </c>
      <c r="AI50" s="637"/>
      <c r="AJ50" s="187">
        <v>20</v>
      </c>
      <c r="AK50" s="187">
        <v>1893.2783422374978</v>
      </c>
      <c r="AL50" s="184">
        <f t="shared" si="39"/>
        <v>94.663917111874895</v>
      </c>
      <c r="AM50" s="181">
        <f t="shared" si="46"/>
        <v>5</v>
      </c>
      <c r="AN50" s="598"/>
      <c r="AO50" s="187">
        <v>20</v>
      </c>
      <c r="AP50" s="187">
        <v>1894.1183422374975</v>
      </c>
      <c r="AQ50" s="184">
        <f t="shared" si="40"/>
        <v>94.705917111874868</v>
      </c>
      <c r="AR50" s="181">
        <f t="shared" si="47"/>
        <v>5</v>
      </c>
      <c r="AS50" s="598"/>
      <c r="AT50" s="187">
        <v>20</v>
      </c>
      <c r="AU50" s="187">
        <v>1894.118342237497</v>
      </c>
      <c r="AV50" s="184">
        <f t="shared" si="41"/>
        <v>94.705917111874854</v>
      </c>
      <c r="AW50" s="181">
        <f t="shared" si="48"/>
        <v>5</v>
      </c>
      <c r="AX50" s="598"/>
    </row>
    <row r="51" spans="2:50" ht="14.25" customHeight="1">
      <c r="B51" s="597"/>
      <c r="C51" s="179">
        <v>5</v>
      </c>
      <c r="D51" s="182" t="s">
        <v>629</v>
      </c>
      <c r="E51" s="179">
        <v>5</v>
      </c>
      <c r="F51" s="179">
        <v>3273</v>
      </c>
      <c r="G51" s="184">
        <f t="shared" si="33"/>
        <v>654.6</v>
      </c>
      <c r="H51" s="598"/>
      <c r="I51" s="185">
        <f t="shared" si="35"/>
        <v>5</v>
      </c>
      <c r="J51" s="185">
        <f t="shared" si="35"/>
        <v>2967.8099528691168</v>
      </c>
      <c r="K51" s="186">
        <f t="shared" si="35"/>
        <v>593.56199057382344</v>
      </c>
      <c r="L51" s="599"/>
      <c r="M51" s="185">
        <f>RANK(K51, K$47:$K$61)</f>
        <v>1</v>
      </c>
      <c r="N51" s="597"/>
      <c r="O51" s="597"/>
      <c r="P51" s="187">
        <v>5</v>
      </c>
      <c r="Q51" s="187">
        <v>2967.6229242976879</v>
      </c>
      <c r="R51" s="184">
        <f t="shared" si="36"/>
        <v>593.52458485953753</v>
      </c>
      <c r="S51" s="181">
        <f t="shared" si="42"/>
        <v>1</v>
      </c>
      <c r="T51" s="598"/>
      <c r="U51" s="187">
        <v>5</v>
      </c>
      <c r="V51" s="187">
        <v>2968.932124297688</v>
      </c>
      <c r="W51" s="184">
        <f t="shared" si="34"/>
        <v>593.78642485953765</v>
      </c>
      <c r="X51" s="181">
        <f t="shared" si="43"/>
        <v>1</v>
      </c>
      <c r="Y51" s="598"/>
      <c r="Z51" s="187">
        <v>5</v>
      </c>
      <c r="AA51" s="187">
        <v>2968.9321242976885</v>
      </c>
      <c r="AB51" s="184">
        <f t="shared" si="37"/>
        <v>593.78642485953765</v>
      </c>
      <c r="AC51" s="181">
        <f t="shared" si="44"/>
        <v>1</v>
      </c>
      <c r="AD51" s="598"/>
      <c r="AE51" s="187">
        <v>5</v>
      </c>
      <c r="AF51" s="187">
        <v>2967.9502242976882</v>
      </c>
      <c r="AG51" s="184">
        <f t="shared" si="38"/>
        <v>593.59004485953767</v>
      </c>
      <c r="AH51" s="181">
        <f t="shared" si="45"/>
        <v>1</v>
      </c>
      <c r="AI51" s="637"/>
      <c r="AJ51" s="187">
        <v>5</v>
      </c>
      <c r="AK51" s="187">
        <v>2966.3137242976891</v>
      </c>
      <c r="AL51" s="184">
        <f t="shared" si="39"/>
        <v>593.26274485953786</v>
      </c>
      <c r="AM51" s="181">
        <f t="shared" si="46"/>
        <v>1</v>
      </c>
      <c r="AN51" s="598"/>
      <c r="AO51" s="187">
        <v>5</v>
      </c>
      <c r="AP51" s="187">
        <v>2967.6229242976892</v>
      </c>
      <c r="AQ51" s="184">
        <f t="shared" si="40"/>
        <v>593.52458485953787</v>
      </c>
      <c r="AR51" s="181">
        <f t="shared" si="47"/>
        <v>1</v>
      </c>
      <c r="AS51" s="598"/>
      <c r="AT51" s="187">
        <v>5</v>
      </c>
      <c r="AU51" s="187">
        <v>2967.2956242976893</v>
      </c>
      <c r="AV51" s="184">
        <f t="shared" si="41"/>
        <v>593.45912485953784</v>
      </c>
      <c r="AW51" s="181">
        <f t="shared" si="48"/>
        <v>1</v>
      </c>
      <c r="AX51" s="598"/>
    </row>
    <row r="52" spans="2:50" ht="14.25" customHeight="1">
      <c r="B52" s="597"/>
      <c r="C52" s="179">
        <v>6</v>
      </c>
      <c r="D52" s="182"/>
      <c r="E52" s="179"/>
      <c r="F52" s="179"/>
      <c r="G52" s="184"/>
      <c r="H52" s="598"/>
      <c r="I52" s="185"/>
      <c r="J52" s="185"/>
      <c r="K52" s="186"/>
      <c r="L52" s="599"/>
      <c r="M52" s="185"/>
      <c r="N52" s="597"/>
      <c r="O52" s="597"/>
      <c r="P52" s="187"/>
      <c r="Q52" s="187"/>
      <c r="R52" s="184"/>
      <c r="S52" s="181"/>
      <c r="T52" s="598"/>
      <c r="U52" s="187"/>
      <c r="V52" s="187"/>
      <c r="W52" s="184"/>
      <c r="X52" s="181"/>
      <c r="Y52" s="598"/>
      <c r="Z52" s="187"/>
      <c r="AA52" s="187"/>
      <c r="AB52" s="184"/>
      <c r="AC52" s="181"/>
      <c r="AD52" s="598"/>
      <c r="AE52" s="187"/>
      <c r="AF52" s="187"/>
      <c r="AG52" s="184"/>
      <c r="AH52" s="181"/>
      <c r="AI52" s="637"/>
      <c r="AJ52" s="187"/>
      <c r="AK52" s="187"/>
      <c r="AL52" s="184"/>
      <c r="AM52" s="181"/>
      <c r="AN52" s="598"/>
      <c r="AO52" s="187"/>
      <c r="AP52" s="187"/>
      <c r="AQ52" s="184"/>
      <c r="AR52" s="181"/>
      <c r="AS52" s="598"/>
      <c r="AT52" s="187"/>
      <c r="AU52" s="187"/>
      <c r="AV52" s="184"/>
      <c r="AW52" s="181"/>
      <c r="AX52" s="598"/>
    </row>
    <row r="53" spans="2:50" ht="14.25" customHeight="1">
      <c r="B53" s="597"/>
      <c r="C53" s="179">
        <v>7</v>
      </c>
      <c r="D53" s="182"/>
      <c r="E53" s="179"/>
      <c r="F53" s="179"/>
      <c r="G53" s="184"/>
      <c r="H53" s="598"/>
      <c r="I53" s="185"/>
      <c r="J53" s="185"/>
      <c r="K53" s="186"/>
      <c r="L53" s="599"/>
      <c r="M53" s="185"/>
      <c r="N53" s="597"/>
      <c r="O53" s="597"/>
      <c r="P53" s="187"/>
      <c r="Q53" s="187"/>
      <c r="R53" s="184"/>
      <c r="S53" s="181"/>
      <c r="T53" s="598"/>
      <c r="U53" s="187"/>
      <c r="V53" s="187"/>
      <c r="W53" s="184"/>
      <c r="X53" s="181"/>
      <c r="Y53" s="598"/>
      <c r="Z53" s="187"/>
      <c r="AA53" s="187"/>
      <c r="AB53" s="184"/>
      <c r="AC53" s="181"/>
      <c r="AD53" s="598"/>
      <c r="AE53" s="187"/>
      <c r="AF53" s="187"/>
      <c r="AG53" s="184"/>
      <c r="AH53" s="181"/>
      <c r="AI53" s="637"/>
      <c r="AJ53" s="187"/>
      <c r="AK53" s="187"/>
      <c r="AL53" s="184"/>
      <c r="AM53" s="181"/>
      <c r="AN53" s="598"/>
      <c r="AO53" s="187"/>
      <c r="AP53" s="187"/>
      <c r="AQ53" s="184"/>
      <c r="AR53" s="181"/>
      <c r="AS53" s="598"/>
      <c r="AT53" s="187"/>
      <c r="AU53" s="187"/>
      <c r="AV53" s="184"/>
      <c r="AW53" s="181"/>
      <c r="AX53" s="598"/>
    </row>
    <row r="54" spans="2:50" ht="14.25" customHeight="1">
      <c r="B54" s="597"/>
      <c r="C54" s="179">
        <v>8</v>
      </c>
      <c r="D54" s="182"/>
      <c r="E54" s="179"/>
      <c r="F54" s="179"/>
      <c r="G54" s="184"/>
      <c r="H54" s="598"/>
      <c r="I54" s="185"/>
      <c r="J54" s="185"/>
      <c r="K54" s="186"/>
      <c r="L54" s="599"/>
      <c r="M54" s="185"/>
      <c r="N54" s="597"/>
      <c r="O54" s="597"/>
      <c r="P54" s="187"/>
      <c r="Q54" s="187"/>
      <c r="R54" s="184"/>
      <c r="S54" s="181"/>
      <c r="T54" s="598"/>
      <c r="U54" s="187"/>
      <c r="V54" s="187"/>
      <c r="W54" s="184"/>
      <c r="X54" s="181"/>
      <c r="Y54" s="598"/>
      <c r="Z54" s="187"/>
      <c r="AA54" s="187"/>
      <c r="AB54" s="184"/>
      <c r="AC54" s="181"/>
      <c r="AD54" s="598"/>
      <c r="AE54" s="187"/>
      <c r="AF54" s="187"/>
      <c r="AG54" s="184"/>
      <c r="AH54" s="181"/>
      <c r="AI54" s="637"/>
      <c r="AJ54" s="187"/>
      <c r="AK54" s="187"/>
      <c r="AL54" s="184"/>
      <c r="AM54" s="181"/>
      <c r="AN54" s="598"/>
      <c r="AO54" s="187"/>
      <c r="AP54" s="187"/>
      <c r="AQ54" s="184"/>
      <c r="AR54" s="181"/>
      <c r="AS54" s="598"/>
      <c r="AT54" s="187"/>
      <c r="AU54" s="187"/>
      <c r="AV54" s="184"/>
      <c r="AW54" s="181"/>
      <c r="AX54" s="598"/>
    </row>
    <row r="55" spans="2:50" ht="14.25" customHeight="1">
      <c r="B55" s="597"/>
      <c r="C55" s="179">
        <v>9</v>
      </c>
      <c r="D55" s="182"/>
      <c r="E55" s="179"/>
      <c r="F55" s="179"/>
      <c r="G55" s="184"/>
      <c r="H55" s="598"/>
      <c r="I55" s="185"/>
      <c r="J55" s="185"/>
      <c r="K55" s="186"/>
      <c r="L55" s="599"/>
      <c r="M55" s="185"/>
      <c r="N55" s="597"/>
      <c r="O55" s="597"/>
      <c r="P55" s="187"/>
      <c r="Q55" s="187"/>
      <c r="R55" s="184"/>
      <c r="S55" s="181"/>
      <c r="T55" s="598"/>
      <c r="U55" s="187"/>
      <c r="V55" s="187"/>
      <c r="W55" s="184"/>
      <c r="X55" s="181"/>
      <c r="Y55" s="598"/>
      <c r="Z55" s="187"/>
      <c r="AA55" s="187"/>
      <c r="AB55" s="184"/>
      <c r="AC55" s="181"/>
      <c r="AD55" s="598"/>
      <c r="AE55" s="187"/>
      <c r="AF55" s="187"/>
      <c r="AG55" s="184"/>
      <c r="AH55" s="181"/>
      <c r="AI55" s="637"/>
      <c r="AJ55" s="187"/>
      <c r="AK55" s="187"/>
      <c r="AL55" s="184"/>
      <c r="AM55" s="181"/>
      <c r="AN55" s="598"/>
      <c r="AO55" s="187"/>
      <c r="AP55" s="187"/>
      <c r="AQ55" s="184"/>
      <c r="AR55" s="181"/>
      <c r="AS55" s="598"/>
      <c r="AT55" s="187"/>
      <c r="AU55" s="187"/>
      <c r="AV55" s="184"/>
      <c r="AW55" s="181"/>
      <c r="AX55" s="598"/>
    </row>
    <row r="56" spans="2:50" ht="14.25" customHeight="1">
      <c r="B56" s="597"/>
      <c r="C56" s="179">
        <v>10</v>
      </c>
      <c r="D56" s="182"/>
      <c r="E56" s="179"/>
      <c r="F56" s="179"/>
      <c r="G56" s="184"/>
      <c r="H56" s="598"/>
      <c r="I56" s="185"/>
      <c r="J56" s="185"/>
      <c r="K56" s="186"/>
      <c r="L56" s="599"/>
      <c r="M56" s="185"/>
      <c r="N56" s="597"/>
      <c r="O56" s="597"/>
      <c r="P56" s="187"/>
      <c r="Q56" s="187"/>
      <c r="R56" s="184"/>
      <c r="S56" s="181"/>
      <c r="T56" s="598"/>
      <c r="U56" s="187"/>
      <c r="V56" s="187"/>
      <c r="W56" s="184"/>
      <c r="X56" s="181"/>
      <c r="Y56" s="598"/>
      <c r="Z56" s="187"/>
      <c r="AA56" s="187"/>
      <c r="AB56" s="184"/>
      <c r="AC56" s="181"/>
      <c r="AD56" s="598"/>
      <c r="AE56" s="187"/>
      <c r="AF56" s="187"/>
      <c r="AG56" s="184"/>
      <c r="AH56" s="181"/>
      <c r="AI56" s="637"/>
      <c r="AJ56" s="187"/>
      <c r="AK56" s="187"/>
      <c r="AL56" s="184"/>
      <c r="AM56" s="181"/>
      <c r="AN56" s="598"/>
      <c r="AO56" s="187"/>
      <c r="AP56" s="187"/>
      <c r="AQ56" s="184"/>
      <c r="AR56" s="181"/>
      <c r="AS56" s="598"/>
      <c r="AT56" s="187"/>
      <c r="AU56" s="187"/>
      <c r="AV56" s="184"/>
      <c r="AW56" s="181"/>
      <c r="AX56" s="598"/>
    </row>
    <row r="57" spans="2:50" ht="14.25" customHeight="1">
      <c r="B57" s="597"/>
      <c r="C57" s="179">
        <v>11</v>
      </c>
      <c r="D57" s="182"/>
      <c r="E57" s="179"/>
      <c r="F57" s="179"/>
      <c r="G57" s="184"/>
      <c r="H57" s="598"/>
      <c r="I57" s="185"/>
      <c r="J57" s="185"/>
      <c r="K57" s="186"/>
      <c r="L57" s="599"/>
      <c r="M57" s="185"/>
      <c r="N57" s="597"/>
      <c r="O57" s="597"/>
      <c r="P57" s="187"/>
      <c r="Q57" s="187"/>
      <c r="R57" s="184"/>
      <c r="S57" s="181"/>
      <c r="T57" s="598"/>
      <c r="U57" s="187"/>
      <c r="V57" s="187"/>
      <c r="W57" s="184"/>
      <c r="X57" s="181"/>
      <c r="Y57" s="598"/>
      <c r="Z57" s="187"/>
      <c r="AA57" s="187"/>
      <c r="AB57" s="184"/>
      <c r="AC57" s="181"/>
      <c r="AD57" s="598"/>
      <c r="AE57" s="187"/>
      <c r="AF57" s="187"/>
      <c r="AG57" s="184"/>
      <c r="AH57" s="181"/>
      <c r="AI57" s="637"/>
      <c r="AJ57" s="187"/>
      <c r="AK57" s="187"/>
      <c r="AL57" s="184"/>
      <c r="AM57" s="181"/>
      <c r="AN57" s="598"/>
      <c r="AO57" s="187"/>
      <c r="AP57" s="187"/>
      <c r="AQ57" s="184"/>
      <c r="AR57" s="181"/>
      <c r="AS57" s="598"/>
      <c r="AT57" s="187"/>
      <c r="AU57" s="187"/>
      <c r="AV57" s="184"/>
      <c r="AW57" s="181"/>
      <c r="AX57" s="598"/>
    </row>
    <row r="58" spans="2:50" ht="14.25" customHeight="1">
      <c r="B58" s="597"/>
      <c r="C58" s="179">
        <v>12</v>
      </c>
      <c r="D58" s="182"/>
      <c r="E58" s="179"/>
      <c r="F58" s="179"/>
      <c r="G58" s="184"/>
      <c r="H58" s="598"/>
      <c r="I58" s="185"/>
      <c r="J58" s="185"/>
      <c r="K58" s="186"/>
      <c r="L58" s="599"/>
      <c r="M58" s="185"/>
      <c r="N58" s="597"/>
      <c r="O58" s="597"/>
      <c r="P58" s="187"/>
      <c r="Q58" s="187"/>
      <c r="R58" s="184"/>
      <c r="S58" s="181"/>
      <c r="T58" s="598"/>
      <c r="U58" s="187"/>
      <c r="V58" s="187"/>
      <c r="W58" s="184"/>
      <c r="X58" s="181"/>
      <c r="Y58" s="598"/>
      <c r="Z58" s="187"/>
      <c r="AA58" s="187"/>
      <c r="AB58" s="184"/>
      <c r="AC58" s="181"/>
      <c r="AD58" s="598"/>
      <c r="AE58" s="187"/>
      <c r="AF58" s="187"/>
      <c r="AG58" s="184"/>
      <c r="AH58" s="181"/>
      <c r="AI58" s="637"/>
      <c r="AJ58" s="187"/>
      <c r="AK58" s="187"/>
      <c r="AL58" s="184"/>
      <c r="AM58" s="181"/>
      <c r="AN58" s="598"/>
      <c r="AO58" s="187"/>
      <c r="AP58" s="187"/>
      <c r="AQ58" s="184"/>
      <c r="AR58" s="181"/>
      <c r="AS58" s="598"/>
      <c r="AT58" s="187"/>
      <c r="AU58" s="187"/>
      <c r="AV58" s="184"/>
      <c r="AW58" s="181"/>
      <c r="AX58" s="598"/>
    </row>
    <row r="59" spans="2:50" ht="14.25" customHeight="1">
      <c r="B59" s="597"/>
      <c r="C59" s="179">
        <v>13</v>
      </c>
      <c r="D59" s="182"/>
      <c r="E59" s="179"/>
      <c r="F59" s="179"/>
      <c r="G59" s="184"/>
      <c r="H59" s="598"/>
      <c r="I59" s="185"/>
      <c r="J59" s="185"/>
      <c r="K59" s="186"/>
      <c r="L59" s="599"/>
      <c r="M59" s="185"/>
      <c r="N59" s="597"/>
      <c r="O59" s="597"/>
      <c r="P59" s="187"/>
      <c r="Q59" s="187"/>
      <c r="R59" s="184"/>
      <c r="S59" s="181"/>
      <c r="T59" s="598"/>
      <c r="U59" s="187"/>
      <c r="V59" s="187"/>
      <c r="W59" s="184"/>
      <c r="X59" s="181"/>
      <c r="Y59" s="598"/>
      <c r="Z59" s="187"/>
      <c r="AA59" s="187"/>
      <c r="AB59" s="184"/>
      <c r="AC59" s="181"/>
      <c r="AD59" s="598"/>
      <c r="AE59" s="187"/>
      <c r="AF59" s="187"/>
      <c r="AG59" s="184"/>
      <c r="AH59" s="181"/>
      <c r="AI59" s="637"/>
      <c r="AJ59" s="187"/>
      <c r="AK59" s="187"/>
      <c r="AL59" s="184"/>
      <c r="AM59" s="181"/>
      <c r="AN59" s="598"/>
      <c r="AO59" s="187"/>
      <c r="AP59" s="187"/>
      <c r="AQ59" s="184"/>
      <c r="AR59" s="181"/>
      <c r="AS59" s="598"/>
      <c r="AT59" s="187"/>
      <c r="AU59" s="187"/>
      <c r="AV59" s="184"/>
      <c r="AW59" s="181"/>
      <c r="AX59" s="598"/>
    </row>
    <row r="60" spans="2:50" ht="14.25" customHeight="1">
      <c r="B60" s="597"/>
      <c r="C60" s="179">
        <v>14</v>
      </c>
      <c r="D60" s="182"/>
      <c r="E60" s="179"/>
      <c r="F60" s="179"/>
      <c r="G60" s="184"/>
      <c r="H60" s="598"/>
      <c r="I60" s="185"/>
      <c r="J60" s="185"/>
      <c r="K60" s="186"/>
      <c r="L60" s="599"/>
      <c r="M60" s="185"/>
      <c r="N60" s="597"/>
      <c r="O60" s="597"/>
      <c r="P60" s="187"/>
      <c r="Q60" s="187"/>
      <c r="R60" s="184"/>
      <c r="S60" s="181"/>
      <c r="T60" s="598"/>
      <c r="U60" s="187"/>
      <c r="V60" s="187"/>
      <c r="W60" s="184"/>
      <c r="X60" s="181"/>
      <c r="Y60" s="598"/>
      <c r="Z60" s="187"/>
      <c r="AA60" s="187"/>
      <c r="AB60" s="184"/>
      <c r="AC60" s="181"/>
      <c r="AD60" s="598"/>
      <c r="AE60" s="187"/>
      <c r="AF60" s="187"/>
      <c r="AG60" s="184"/>
      <c r="AH60" s="181"/>
      <c r="AI60" s="637"/>
      <c r="AJ60" s="187"/>
      <c r="AK60" s="187"/>
      <c r="AL60" s="184"/>
      <c r="AM60" s="181"/>
      <c r="AN60" s="598"/>
      <c r="AO60" s="187"/>
      <c r="AP60" s="187"/>
      <c r="AQ60" s="184"/>
      <c r="AR60" s="181"/>
      <c r="AS60" s="598"/>
      <c r="AT60" s="187"/>
      <c r="AU60" s="187"/>
      <c r="AV60" s="184"/>
      <c r="AW60" s="181"/>
      <c r="AX60" s="598"/>
    </row>
    <row r="61" spans="2:50" ht="14.25" customHeight="1">
      <c r="B61" s="597"/>
      <c r="C61" s="179">
        <v>15</v>
      </c>
      <c r="D61" s="182"/>
      <c r="E61" s="179"/>
      <c r="F61" s="179"/>
      <c r="G61" s="184"/>
      <c r="H61" s="598"/>
      <c r="I61" s="185"/>
      <c r="J61" s="185"/>
      <c r="K61" s="186"/>
      <c r="L61" s="599"/>
      <c r="M61" s="185"/>
      <c r="N61" s="597"/>
      <c r="O61" s="597"/>
      <c r="P61" s="187"/>
      <c r="Q61" s="187"/>
      <c r="R61" s="184"/>
      <c r="S61" s="181"/>
      <c r="T61" s="598"/>
      <c r="U61" s="187"/>
      <c r="V61" s="187"/>
      <c r="W61" s="184"/>
      <c r="X61" s="181"/>
      <c r="Y61" s="598"/>
      <c r="Z61" s="187"/>
      <c r="AA61" s="187"/>
      <c r="AB61" s="184"/>
      <c r="AC61" s="181"/>
      <c r="AD61" s="598"/>
      <c r="AE61" s="187"/>
      <c r="AF61" s="187"/>
      <c r="AG61" s="184"/>
      <c r="AH61" s="181"/>
      <c r="AI61" s="638"/>
      <c r="AJ61" s="187"/>
      <c r="AK61" s="187"/>
      <c r="AL61" s="184"/>
      <c r="AM61" s="181"/>
      <c r="AN61" s="598"/>
      <c r="AO61" s="187"/>
      <c r="AP61" s="187"/>
      <c r="AQ61" s="184"/>
      <c r="AR61" s="181"/>
      <c r="AS61" s="598"/>
      <c r="AT61" s="187"/>
      <c r="AU61" s="187"/>
      <c r="AV61" s="184"/>
      <c r="AW61" s="181"/>
      <c r="AX61" s="598"/>
    </row>
    <row r="86" spans="2:50" ht="14.25" customHeight="1" collapsed="1">
      <c r="B86" s="521" t="s">
        <v>825</v>
      </c>
      <c r="C86" s="522"/>
      <c r="D86" s="523"/>
      <c r="E86" s="522"/>
      <c r="F86" s="522"/>
      <c r="G86" s="522"/>
      <c r="H86" s="522"/>
      <c r="I86" s="524"/>
      <c r="J86" s="524"/>
      <c r="K86" s="524"/>
      <c r="L86" s="524"/>
      <c r="M86" s="524"/>
      <c r="N86" s="629" t="s">
        <v>363</v>
      </c>
      <c r="O86" s="629" t="s">
        <v>105</v>
      </c>
      <c r="P86" s="617">
        <v>46217</v>
      </c>
      <c r="Q86" s="618"/>
      <c r="R86" s="618"/>
      <c r="S86" s="618"/>
      <c r="T86" s="618"/>
      <c r="U86" s="619">
        <v>46218</v>
      </c>
      <c r="V86" s="620"/>
      <c r="W86" s="620"/>
      <c r="X86" s="620"/>
      <c r="Y86" s="620"/>
      <c r="Z86" s="617">
        <v>46219</v>
      </c>
      <c r="AA86" s="618"/>
      <c r="AB86" s="618"/>
      <c r="AC86" s="618"/>
      <c r="AD86" s="618"/>
      <c r="AE86" s="619">
        <v>46220</v>
      </c>
      <c r="AF86" s="620"/>
      <c r="AG86" s="620"/>
      <c r="AH86" s="620"/>
      <c r="AI86" s="620"/>
      <c r="AJ86" s="602">
        <v>46221</v>
      </c>
      <c r="AK86" s="603"/>
      <c r="AL86" s="603"/>
      <c r="AM86" s="603"/>
      <c r="AN86" s="604"/>
      <c r="AO86" s="619">
        <v>46222</v>
      </c>
      <c r="AP86" s="620"/>
      <c r="AQ86" s="620"/>
      <c r="AR86" s="620"/>
      <c r="AS86" s="620"/>
      <c r="AT86" s="602">
        <v>46223</v>
      </c>
      <c r="AU86" s="603"/>
      <c r="AV86" s="603"/>
      <c r="AW86" s="603"/>
      <c r="AX86" s="604"/>
    </row>
    <row r="87" spans="2:50" ht="14.25" customHeight="1">
      <c r="B87" s="521"/>
      <c r="C87" s="522"/>
      <c r="D87" s="523"/>
      <c r="E87" s="522"/>
      <c r="F87" s="522"/>
      <c r="G87" s="522"/>
      <c r="H87" s="522"/>
      <c r="I87" s="524"/>
      <c r="J87" s="524"/>
      <c r="K87" s="524"/>
      <c r="L87" s="524"/>
      <c r="M87" s="524"/>
      <c r="N87" s="630"/>
      <c r="O87" s="630"/>
      <c r="P87" s="605">
        <v>46196</v>
      </c>
      <c r="Q87" s="605"/>
      <c r="R87" s="605"/>
      <c r="S87" s="605"/>
      <c r="T87" s="605"/>
      <c r="U87" s="606">
        <v>46197</v>
      </c>
      <c r="V87" s="606"/>
      <c r="W87" s="606"/>
      <c r="X87" s="606"/>
      <c r="Y87" s="606"/>
      <c r="Z87" s="605">
        <v>46198</v>
      </c>
      <c r="AA87" s="605"/>
      <c r="AB87" s="605"/>
      <c r="AC87" s="605"/>
      <c r="AD87" s="605"/>
      <c r="AE87" s="606">
        <v>46199</v>
      </c>
      <c r="AF87" s="606"/>
      <c r="AG87" s="606"/>
      <c r="AH87" s="606"/>
      <c r="AI87" s="606"/>
      <c r="AJ87" s="607">
        <v>46200</v>
      </c>
      <c r="AK87" s="608"/>
      <c r="AL87" s="608"/>
      <c r="AM87" s="608"/>
      <c r="AN87" s="609"/>
      <c r="AO87" s="606">
        <v>46201</v>
      </c>
      <c r="AP87" s="606"/>
      <c r="AQ87" s="606"/>
      <c r="AR87" s="606"/>
      <c r="AS87" s="606"/>
      <c r="AT87" s="607">
        <v>46202</v>
      </c>
      <c r="AU87" s="608"/>
      <c r="AV87" s="608"/>
      <c r="AW87" s="608"/>
      <c r="AX87" s="609"/>
    </row>
    <row r="88" spans="2:50" ht="14.25" customHeight="1">
      <c r="B88" s="597" t="s">
        <v>162</v>
      </c>
      <c r="C88" s="597" t="s">
        <v>157</v>
      </c>
      <c r="D88" s="597"/>
      <c r="E88" s="597" t="s">
        <v>158</v>
      </c>
      <c r="F88" s="597"/>
      <c r="G88" s="597"/>
      <c r="H88" s="597" t="s">
        <v>163</v>
      </c>
      <c r="I88" s="601" t="s">
        <v>364</v>
      </c>
      <c r="J88" s="601"/>
      <c r="K88" s="601"/>
      <c r="L88" s="601" t="s">
        <v>163</v>
      </c>
      <c r="M88" s="601" t="s">
        <v>165</v>
      </c>
      <c r="N88" s="597"/>
      <c r="O88" s="597" t="s">
        <v>164</v>
      </c>
      <c r="P88" s="597" t="s">
        <v>160</v>
      </c>
      <c r="Q88" s="597"/>
      <c r="R88" s="597"/>
      <c r="S88" s="597"/>
      <c r="T88" s="597" t="s">
        <v>163</v>
      </c>
      <c r="U88" s="597" t="s">
        <v>160</v>
      </c>
      <c r="V88" s="597"/>
      <c r="W88" s="597"/>
      <c r="X88" s="597"/>
      <c r="Y88" s="597" t="s">
        <v>163</v>
      </c>
      <c r="Z88" s="597" t="s">
        <v>160</v>
      </c>
      <c r="AA88" s="597"/>
      <c r="AB88" s="597"/>
      <c r="AC88" s="597"/>
      <c r="AD88" s="597" t="s">
        <v>163</v>
      </c>
      <c r="AE88" s="597" t="s">
        <v>160</v>
      </c>
      <c r="AF88" s="597"/>
      <c r="AG88" s="597"/>
      <c r="AH88" s="597"/>
      <c r="AI88" s="597" t="s">
        <v>163</v>
      </c>
      <c r="AJ88" s="597" t="s">
        <v>160</v>
      </c>
      <c r="AK88" s="597"/>
      <c r="AL88" s="597"/>
      <c r="AM88" s="597"/>
      <c r="AN88" s="597" t="s">
        <v>163</v>
      </c>
      <c r="AO88" s="597" t="s">
        <v>160</v>
      </c>
      <c r="AP88" s="597"/>
      <c r="AQ88" s="597"/>
      <c r="AR88" s="597"/>
      <c r="AS88" s="597" t="s">
        <v>163</v>
      </c>
      <c r="AT88" s="597" t="s">
        <v>160</v>
      </c>
      <c r="AU88" s="597"/>
      <c r="AV88" s="597"/>
      <c r="AW88" s="597"/>
      <c r="AX88" s="597" t="s">
        <v>163</v>
      </c>
    </row>
    <row r="89" spans="2:50" ht="14.25" customHeight="1">
      <c r="B89" s="597"/>
      <c r="C89" s="597"/>
      <c r="D89" s="597"/>
      <c r="E89" s="597" t="s">
        <v>365</v>
      </c>
      <c r="F89" s="597"/>
      <c r="G89" s="597"/>
      <c r="H89" s="597"/>
      <c r="I89" s="601" t="s">
        <v>365</v>
      </c>
      <c r="J89" s="601"/>
      <c r="K89" s="601"/>
      <c r="L89" s="601"/>
      <c r="M89" s="601"/>
      <c r="N89" s="597"/>
      <c r="O89" s="597"/>
      <c r="P89" s="597" t="s">
        <v>366</v>
      </c>
      <c r="Q89" s="597"/>
      <c r="R89" s="597"/>
      <c r="S89" s="597"/>
      <c r="T89" s="597"/>
      <c r="U89" s="597" t="s">
        <v>366</v>
      </c>
      <c r="V89" s="597"/>
      <c r="W89" s="597"/>
      <c r="X89" s="597"/>
      <c r="Y89" s="597"/>
      <c r="Z89" s="597" t="s">
        <v>366</v>
      </c>
      <c r="AA89" s="597"/>
      <c r="AB89" s="597"/>
      <c r="AC89" s="597"/>
      <c r="AD89" s="597"/>
      <c r="AE89" s="597" t="s">
        <v>366</v>
      </c>
      <c r="AF89" s="597"/>
      <c r="AG89" s="597"/>
      <c r="AH89" s="597"/>
      <c r="AI89" s="597"/>
      <c r="AJ89" s="597" t="s">
        <v>366</v>
      </c>
      <c r="AK89" s="597"/>
      <c r="AL89" s="597"/>
      <c r="AM89" s="597"/>
      <c r="AN89" s="597"/>
      <c r="AO89" s="597" t="s">
        <v>366</v>
      </c>
      <c r="AP89" s="597"/>
      <c r="AQ89" s="597"/>
      <c r="AR89" s="597"/>
      <c r="AS89" s="597"/>
      <c r="AT89" s="597" t="s">
        <v>366</v>
      </c>
      <c r="AU89" s="597"/>
      <c r="AV89" s="597"/>
      <c r="AW89" s="597"/>
      <c r="AX89" s="597"/>
    </row>
    <row r="90" spans="2:50" ht="14.25" customHeight="1">
      <c r="B90" s="597"/>
      <c r="C90" s="597"/>
      <c r="D90" s="597"/>
      <c r="E90" s="179" t="s">
        <v>159</v>
      </c>
      <c r="F90" s="179" t="s">
        <v>367</v>
      </c>
      <c r="G90" s="179" t="s">
        <v>161</v>
      </c>
      <c r="H90" s="597"/>
      <c r="I90" s="180" t="s">
        <v>159</v>
      </c>
      <c r="J90" s="180" t="s">
        <v>367</v>
      </c>
      <c r="K90" s="180" t="s">
        <v>161</v>
      </c>
      <c r="L90" s="601"/>
      <c r="M90" s="601"/>
      <c r="N90" s="597"/>
      <c r="O90" s="597"/>
      <c r="P90" s="179" t="s">
        <v>159</v>
      </c>
      <c r="Q90" s="179" t="s">
        <v>367</v>
      </c>
      <c r="R90" s="179" t="s">
        <v>161</v>
      </c>
      <c r="S90" s="181" t="s">
        <v>165</v>
      </c>
      <c r="T90" s="597"/>
      <c r="U90" s="179" t="s">
        <v>159</v>
      </c>
      <c r="V90" s="179" t="s">
        <v>367</v>
      </c>
      <c r="W90" s="179" t="s">
        <v>161</v>
      </c>
      <c r="X90" s="181" t="s">
        <v>165</v>
      </c>
      <c r="Y90" s="597"/>
      <c r="Z90" s="179" t="s">
        <v>159</v>
      </c>
      <c r="AA90" s="179" t="s">
        <v>367</v>
      </c>
      <c r="AB90" s="179" t="s">
        <v>161</v>
      </c>
      <c r="AC90" s="181" t="s">
        <v>165</v>
      </c>
      <c r="AD90" s="597"/>
      <c r="AE90" s="179" t="s">
        <v>159</v>
      </c>
      <c r="AF90" s="179" t="s">
        <v>367</v>
      </c>
      <c r="AG90" s="179" t="s">
        <v>161</v>
      </c>
      <c r="AH90" s="181" t="s">
        <v>165</v>
      </c>
      <c r="AI90" s="597"/>
      <c r="AJ90" s="179" t="s">
        <v>159</v>
      </c>
      <c r="AK90" s="179" t="s">
        <v>367</v>
      </c>
      <c r="AL90" s="179" t="s">
        <v>161</v>
      </c>
      <c r="AM90" s="181" t="s">
        <v>165</v>
      </c>
      <c r="AN90" s="597"/>
      <c r="AO90" s="179" t="s">
        <v>159</v>
      </c>
      <c r="AP90" s="179" t="s">
        <v>367</v>
      </c>
      <c r="AQ90" s="179" t="s">
        <v>161</v>
      </c>
      <c r="AR90" s="181" t="s">
        <v>165</v>
      </c>
      <c r="AS90" s="597"/>
      <c r="AT90" s="179" t="s">
        <v>159</v>
      </c>
      <c r="AU90" s="179" t="s">
        <v>367</v>
      </c>
      <c r="AV90" s="179" t="s">
        <v>161</v>
      </c>
      <c r="AW90" s="181" t="s">
        <v>165</v>
      </c>
      <c r="AX90" s="597"/>
    </row>
    <row r="91" spans="2:50" ht="14.25" customHeight="1">
      <c r="B91" s="597" t="s">
        <v>370</v>
      </c>
      <c r="C91" s="179">
        <v>1</v>
      </c>
      <c r="D91" s="182" t="s">
        <v>596</v>
      </c>
      <c r="E91" s="183">
        <v>5</v>
      </c>
      <c r="F91" s="179">
        <v>3273</v>
      </c>
      <c r="G91" s="184">
        <f t="shared" ref="G91:G95" si="49">IFERROR(F91/E91,"")</f>
        <v>654.6</v>
      </c>
      <c r="H91" s="598">
        <f>AVERAGE(G91:G105)</f>
        <v>522.83999999999992</v>
      </c>
      <c r="I91" s="185">
        <f>AVERAGE(P91,U91,Z91,AE91,AJ91,AO91,AT91)</f>
        <v>6</v>
      </c>
      <c r="J91" s="185">
        <f>AVERAGE(Q91,V91,AA91,AF91,AK91,AP91,AU91)</f>
        <v>2961.6418775921857</v>
      </c>
      <c r="K91" s="186">
        <f>AVERAGE(R91,W91,AB91,AG91,AL91,AQ91,AV91)</f>
        <v>493.60697959869771</v>
      </c>
      <c r="L91" s="599">
        <f>IFERROR(AVERAGE(K91:K105),"-")</f>
        <v>452.87919174259349</v>
      </c>
      <c r="M91" s="185">
        <f>RANK(K91, K$91:$K$127)</f>
        <v>4</v>
      </c>
      <c r="N91" s="597"/>
      <c r="O91" s="597"/>
      <c r="P91" s="187">
        <v>6</v>
      </c>
      <c r="Q91" s="187">
        <v>2961.6418775921861</v>
      </c>
      <c r="R91" s="184">
        <f>IFERROR(Q91/P91,"")</f>
        <v>493.60697959869771</v>
      </c>
      <c r="S91" s="181">
        <f>RANK(R91, R$91:R$127)</f>
        <v>4</v>
      </c>
      <c r="T91" s="598">
        <f>AVERAGE(R91:R105)</f>
        <v>452.98999631402205</v>
      </c>
      <c r="U91" s="187">
        <v>6</v>
      </c>
      <c r="V91" s="187">
        <v>2961.6418775921861</v>
      </c>
      <c r="W91" s="184">
        <f t="shared" ref="W91:W95" si="50">IFERROR(V91/U91,"")</f>
        <v>493.60697959869771</v>
      </c>
      <c r="X91" s="181">
        <f>RANK(W91, W$91:W$127)</f>
        <v>4</v>
      </c>
      <c r="Y91" s="598">
        <f>AVERAGE(W91:W105)</f>
        <v>453.02196431402206</v>
      </c>
      <c r="Z91" s="187">
        <v>6</v>
      </c>
      <c r="AA91" s="187">
        <v>2961.6418775921861</v>
      </c>
      <c r="AB91" s="184">
        <f>IFERROR(AA91/Z91,"")</f>
        <v>493.60697959869771</v>
      </c>
      <c r="AC91" s="181">
        <f>RANK(AB91, AB$91:AB$127)</f>
        <v>4</v>
      </c>
      <c r="AD91" s="598">
        <f>AVERAGE(AB91:AB105)</f>
        <v>452.95356431402217</v>
      </c>
      <c r="AE91" s="187">
        <v>6</v>
      </c>
      <c r="AF91" s="187">
        <v>2961.6418775921857</v>
      </c>
      <c r="AG91" s="184">
        <f>IFERROR(AF91/AE91,"")</f>
        <v>493.60697959869759</v>
      </c>
      <c r="AH91" s="181">
        <f>RANK(AG91, AG$91:AG$127)</f>
        <v>4</v>
      </c>
      <c r="AI91" s="598">
        <f>AVERAGE(AG91:AG105)</f>
        <v>452.86418831402204</v>
      </c>
      <c r="AJ91" s="187">
        <v>6</v>
      </c>
      <c r="AK91" s="187">
        <v>2961.6418775921861</v>
      </c>
      <c r="AL91" s="184">
        <f>IFERROR(AK91/AJ91,"")</f>
        <v>493.60697959869771</v>
      </c>
      <c r="AM91" s="181">
        <f>RANK(AL91, AL$91:AL$127)</f>
        <v>4</v>
      </c>
      <c r="AN91" s="598">
        <f>AVERAGE(AL91:AL105)</f>
        <v>452.72672831402213</v>
      </c>
      <c r="AO91" s="187">
        <v>6</v>
      </c>
      <c r="AP91" s="187">
        <v>2961.6418775921866</v>
      </c>
      <c r="AQ91" s="184">
        <f>IFERROR(AP91/AO91,"")</f>
        <v>493.60697959869776</v>
      </c>
      <c r="AR91" s="181">
        <f>RANK(AQ91, AQ$91:AQ$127)</f>
        <v>4</v>
      </c>
      <c r="AS91" s="598">
        <f>AVERAGE(AQ91:AQ105)</f>
        <v>452.79949631402212</v>
      </c>
      <c r="AT91" s="187">
        <v>6</v>
      </c>
      <c r="AU91" s="187">
        <v>2961.6418775921866</v>
      </c>
      <c r="AV91" s="184">
        <f>IFERROR(AU91/AT91,"")</f>
        <v>493.60697959869776</v>
      </c>
      <c r="AW91" s="181">
        <f>RANK(AV91, AV$91:AV$127)</f>
        <v>4</v>
      </c>
      <c r="AX91" s="598">
        <f>AVERAGE(AV91:AV105)</f>
        <v>452.79840431402209</v>
      </c>
    </row>
    <row r="92" spans="2:50" ht="14.25" customHeight="1">
      <c r="B92" s="597"/>
      <c r="C92" s="179">
        <v>2</v>
      </c>
      <c r="D92" s="182" t="s">
        <v>578</v>
      </c>
      <c r="E92" s="179">
        <v>6</v>
      </c>
      <c r="F92" s="179">
        <v>3600</v>
      </c>
      <c r="G92" s="184">
        <f t="shared" si="49"/>
        <v>600</v>
      </c>
      <c r="H92" s="598"/>
      <c r="I92" s="185">
        <f t="shared" ref="I92:K95" si="51">AVERAGE(P92,U92,Z92,AE92,AJ92,AO92,AT92)</f>
        <v>6</v>
      </c>
      <c r="J92" s="185">
        <f t="shared" si="51"/>
        <v>3247.1485714285727</v>
      </c>
      <c r="K92" s="186">
        <f t="shared" si="51"/>
        <v>541.19142857142867</v>
      </c>
      <c r="L92" s="599"/>
      <c r="M92" s="185">
        <f>RANK(K92, K$91:$K$127)</f>
        <v>3</v>
      </c>
      <c r="N92" s="597"/>
      <c r="O92" s="597"/>
      <c r="P92" s="187">
        <v>6</v>
      </c>
      <c r="Q92" s="187">
        <v>3247.2000000000012</v>
      </c>
      <c r="R92" s="184">
        <f t="shared" ref="R92:R95" si="52">IFERROR(Q92/P92,"")</f>
        <v>541.20000000000016</v>
      </c>
      <c r="S92" s="181">
        <f t="shared" ref="S92:S126" si="53">RANK(R92, R$91:R$127)</f>
        <v>3</v>
      </c>
      <c r="T92" s="598"/>
      <c r="U92" s="187">
        <v>6</v>
      </c>
      <c r="V92" s="187">
        <v>3248.2800000000007</v>
      </c>
      <c r="W92" s="184">
        <f t="shared" si="50"/>
        <v>541.38000000000011</v>
      </c>
      <c r="X92" s="181">
        <f t="shared" ref="X92:X126" si="54">RANK(W92, W$91:W$127)</f>
        <v>3</v>
      </c>
      <c r="Y92" s="598"/>
      <c r="Z92" s="187">
        <v>6</v>
      </c>
      <c r="AA92" s="187">
        <v>3247.920000000001</v>
      </c>
      <c r="AB92" s="184">
        <f t="shared" ref="AB92:AB95" si="55">IFERROR(AA92/Z92,"")</f>
        <v>541.32000000000016</v>
      </c>
      <c r="AC92" s="181">
        <f t="shared" ref="AC92:AC126" si="56">RANK(AB92, AB$91:AB$127)</f>
        <v>3</v>
      </c>
      <c r="AD92" s="598"/>
      <c r="AE92" s="187">
        <v>6</v>
      </c>
      <c r="AF92" s="187">
        <v>3246.4800000000009</v>
      </c>
      <c r="AG92" s="184">
        <f t="shared" ref="AG92:AG95" si="57">IFERROR(AF92/AE92,"")</f>
        <v>541.08000000000015</v>
      </c>
      <c r="AH92" s="181">
        <f t="shared" ref="AH92:AH126" si="58">RANK(AG92, AG$91:AG$127)</f>
        <v>3</v>
      </c>
      <c r="AI92" s="598"/>
      <c r="AJ92" s="187">
        <v>6</v>
      </c>
      <c r="AK92" s="187">
        <v>3245.7600000000016</v>
      </c>
      <c r="AL92" s="184">
        <f t="shared" ref="AL92:AL95" si="59">IFERROR(AK92/AJ92,"")</f>
        <v>540.96000000000026</v>
      </c>
      <c r="AM92" s="181">
        <f t="shared" ref="AM92:AM126" si="60">RANK(AL92, AL$91:AL$127)</f>
        <v>3</v>
      </c>
      <c r="AN92" s="598"/>
      <c r="AO92" s="187">
        <v>6</v>
      </c>
      <c r="AP92" s="187">
        <v>3246.4800000000014</v>
      </c>
      <c r="AQ92" s="184">
        <f t="shared" ref="AQ92:AQ95" si="61">IFERROR(AP92/AO92,"")</f>
        <v>541.08000000000027</v>
      </c>
      <c r="AR92" s="181">
        <f t="shared" ref="AR92:AR126" si="62">RANK(AQ92, AQ$91:AQ$127)</f>
        <v>2</v>
      </c>
      <c r="AS92" s="598"/>
      <c r="AT92" s="187">
        <v>6</v>
      </c>
      <c r="AU92" s="187">
        <v>3247.920000000001</v>
      </c>
      <c r="AV92" s="184">
        <f t="shared" ref="AV92:AV95" si="63">IFERROR(AU92/AT92,"")</f>
        <v>541.32000000000016</v>
      </c>
      <c r="AW92" s="181">
        <f t="shared" ref="AW92:AW126" si="64">RANK(AV92, AV$91:AV$127)</f>
        <v>2</v>
      </c>
      <c r="AX92" s="598"/>
    </row>
    <row r="93" spans="2:50" ht="14.25" customHeight="1">
      <c r="B93" s="597"/>
      <c r="C93" s="179">
        <v>3</v>
      </c>
      <c r="D93" s="182" t="s">
        <v>579</v>
      </c>
      <c r="E93" s="179">
        <v>6</v>
      </c>
      <c r="F93" s="179">
        <v>3600</v>
      </c>
      <c r="G93" s="184">
        <f t="shared" si="49"/>
        <v>600</v>
      </c>
      <c r="H93" s="598"/>
      <c r="I93" s="185">
        <f t="shared" si="51"/>
        <v>6</v>
      </c>
      <c r="J93" s="185">
        <f t="shared" si="51"/>
        <v>3248.0228571428565</v>
      </c>
      <c r="K93" s="186">
        <f t="shared" si="51"/>
        <v>541.33714285714279</v>
      </c>
      <c r="L93" s="599"/>
      <c r="M93" s="185">
        <f>RANK(K93, K$91:$K$127)</f>
        <v>2</v>
      </c>
      <c r="N93" s="597"/>
      <c r="O93" s="597"/>
      <c r="P93" s="187">
        <v>6</v>
      </c>
      <c r="Q93" s="187">
        <v>3251.1600000000003</v>
      </c>
      <c r="R93" s="184">
        <f t="shared" si="52"/>
        <v>541.86</v>
      </c>
      <c r="S93" s="181">
        <f t="shared" si="53"/>
        <v>2</v>
      </c>
      <c r="T93" s="598"/>
      <c r="U93" s="187">
        <v>6</v>
      </c>
      <c r="V93" s="187">
        <v>3249.72</v>
      </c>
      <c r="W93" s="184">
        <f t="shared" si="50"/>
        <v>541.62</v>
      </c>
      <c r="X93" s="181">
        <f t="shared" si="54"/>
        <v>2</v>
      </c>
      <c r="Y93" s="598"/>
      <c r="Z93" s="187">
        <v>6</v>
      </c>
      <c r="AA93" s="187">
        <v>3248.28</v>
      </c>
      <c r="AB93" s="184">
        <f t="shared" si="55"/>
        <v>541.38</v>
      </c>
      <c r="AC93" s="181">
        <f t="shared" si="56"/>
        <v>2</v>
      </c>
      <c r="AD93" s="598"/>
      <c r="AE93" s="187">
        <v>6</v>
      </c>
      <c r="AF93" s="187">
        <v>3248.2799999999997</v>
      </c>
      <c r="AG93" s="184">
        <f t="shared" si="57"/>
        <v>541.38</v>
      </c>
      <c r="AH93" s="181">
        <f t="shared" si="58"/>
        <v>2</v>
      </c>
      <c r="AI93" s="598"/>
      <c r="AJ93" s="187">
        <v>6</v>
      </c>
      <c r="AK93" s="187">
        <v>3246.8399999999997</v>
      </c>
      <c r="AL93" s="184">
        <f t="shared" si="59"/>
        <v>541.14</v>
      </c>
      <c r="AM93" s="181">
        <f t="shared" si="60"/>
        <v>2</v>
      </c>
      <c r="AN93" s="598"/>
      <c r="AO93" s="187">
        <v>6</v>
      </c>
      <c r="AP93" s="187">
        <v>3246.4799999999996</v>
      </c>
      <c r="AQ93" s="184">
        <f t="shared" si="61"/>
        <v>541.07999999999993</v>
      </c>
      <c r="AR93" s="181">
        <f t="shared" si="62"/>
        <v>3</v>
      </c>
      <c r="AS93" s="598"/>
      <c r="AT93" s="187">
        <v>6</v>
      </c>
      <c r="AU93" s="187">
        <v>3245.3999999999992</v>
      </c>
      <c r="AV93" s="184">
        <f t="shared" si="63"/>
        <v>540.89999999999986</v>
      </c>
      <c r="AW93" s="181">
        <f t="shared" si="64"/>
        <v>3</v>
      </c>
      <c r="AX93" s="598"/>
    </row>
    <row r="94" spans="2:50" ht="14.25" customHeight="1">
      <c r="B94" s="597"/>
      <c r="C94" s="179">
        <v>4</v>
      </c>
      <c r="D94" s="182" t="s">
        <v>613</v>
      </c>
      <c r="E94" s="179">
        <v>20</v>
      </c>
      <c r="F94" s="179">
        <v>2100</v>
      </c>
      <c r="G94" s="184">
        <f t="shared" si="49"/>
        <v>105</v>
      </c>
      <c r="H94" s="598"/>
      <c r="I94" s="185">
        <f t="shared" si="51"/>
        <v>20</v>
      </c>
      <c r="J94" s="185">
        <f t="shared" si="51"/>
        <v>1893.9683422374978</v>
      </c>
      <c r="K94" s="186">
        <f t="shared" si="51"/>
        <v>94.698417111874875</v>
      </c>
      <c r="L94" s="599"/>
      <c r="M94" s="185">
        <f>RANK(K94, K$91:$K$127)</f>
        <v>5</v>
      </c>
      <c r="N94" s="597"/>
      <c r="O94" s="597"/>
      <c r="P94" s="187">
        <v>20</v>
      </c>
      <c r="Q94" s="187">
        <v>1895.1683422374977</v>
      </c>
      <c r="R94" s="184">
        <f t="shared" si="52"/>
        <v>94.758417111874877</v>
      </c>
      <c r="S94" s="181">
        <f t="shared" si="53"/>
        <v>5</v>
      </c>
      <c r="T94" s="598"/>
      <c r="U94" s="187">
        <v>20</v>
      </c>
      <c r="V94" s="187">
        <v>1894.3283422374975</v>
      </c>
      <c r="W94" s="184">
        <f t="shared" si="50"/>
        <v>94.716417111874875</v>
      </c>
      <c r="X94" s="181">
        <f t="shared" si="54"/>
        <v>5</v>
      </c>
      <c r="Y94" s="598"/>
      <c r="Z94" s="187">
        <v>20</v>
      </c>
      <c r="AA94" s="187">
        <v>1893.4883422374974</v>
      </c>
      <c r="AB94" s="184">
        <f t="shared" si="55"/>
        <v>94.674417111874874</v>
      </c>
      <c r="AC94" s="181">
        <f t="shared" si="56"/>
        <v>5</v>
      </c>
      <c r="AD94" s="598"/>
      <c r="AE94" s="187">
        <v>20</v>
      </c>
      <c r="AF94" s="187">
        <v>1893.2783422374976</v>
      </c>
      <c r="AG94" s="184">
        <f t="shared" si="57"/>
        <v>94.663917111874881</v>
      </c>
      <c r="AH94" s="181">
        <f t="shared" si="58"/>
        <v>5</v>
      </c>
      <c r="AI94" s="598"/>
      <c r="AJ94" s="187">
        <v>20</v>
      </c>
      <c r="AK94" s="187">
        <v>1893.2783422374978</v>
      </c>
      <c r="AL94" s="184">
        <f t="shared" si="59"/>
        <v>94.663917111874895</v>
      </c>
      <c r="AM94" s="181">
        <f t="shared" si="60"/>
        <v>5</v>
      </c>
      <c r="AN94" s="598"/>
      <c r="AO94" s="187">
        <v>20</v>
      </c>
      <c r="AP94" s="187">
        <v>1894.1183422374975</v>
      </c>
      <c r="AQ94" s="184">
        <f t="shared" si="61"/>
        <v>94.705917111874868</v>
      </c>
      <c r="AR94" s="181">
        <f t="shared" si="62"/>
        <v>5</v>
      </c>
      <c r="AS94" s="598"/>
      <c r="AT94" s="187">
        <v>20</v>
      </c>
      <c r="AU94" s="187">
        <v>1894.118342237497</v>
      </c>
      <c r="AV94" s="184">
        <f t="shared" si="63"/>
        <v>94.705917111874854</v>
      </c>
      <c r="AW94" s="181">
        <f t="shared" si="64"/>
        <v>5</v>
      </c>
      <c r="AX94" s="598"/>
    </row>
    <row r="95" spans="2:50" ht="14.25" customHeight="1">
      <c r="B95" s="597"/>
      <c r="C95" s="179">
        <v>5</v>
      </c>
      <c r="D95" s="182" t="s">
        <v>629</v>
      </c>
      <c r="E95" s="179">
        <v>5</v>
      </c>
      <c r="F95" s="179">
        <v>3273</v>
      </c>
      <c r="G95" s="184">
        <f t="shared" si="49"/>
        <v>654.6</v>
      </c>
      <c r="H95" s="598"/>
      <c r="I95" s="185">
        <f t="shared" si="51"/>
        <v>5</v>
      </c>
      <c r="J95" s="185">
        <f t="shared" si="51"/>
        <v>2967.8099528691168</v>
      </c>
      <c r="K95" s="186">
        <f t="shared" si="51"/>
        <v>593.56199057382344</v>
      </c>
      <c r="L95" s="599"/>
      <c r="M95" s="185">
        <f>RANK(K95, K$91:$K$127)</f>
        <v>1</v>
      </c>
      <c r="N95" s="597"/>
      <c r="O95" s="597"/>
      <c r="P95" s="187">
        <v>5</v>
      </c>
      <c r="Q95" s="187">
        <v>2967.6229242976879</v>
      </c>
      <c r="R95" s="184">
        <f t="shared" si="52"/>
        <v>593.52458485953753</v>
      </c>
      <c r="S95" s="181">
        <f t="shared" si="53"/>
        <v>1</v>
      </c>
      <c r="T95" s="598"/>
      <c r="U95" s="187">
        <v>5</v>
      </c>
      <c r="V95" s="187">
        <v>2968.932124297688</v>
      </c>
      <c r="W95" s="184">
        <f t="shared" si="50"/>
        <v>593.78642485953765</v>
      </c>
      <c r="X95" s="181">
        <f t="shared" si="54"/>
        <v>1</v>
      </c>
      <c r="Y95" s="598"/>
      <c r="Z95" s="187">
        <v>5</v>
      </c>
      <c r="AA95" s="187">
        <v>2968.9321242976885</v>
      </c>
      <c r="AB95" s="184">
        <f t="shared" si="55"/>
        <v>593.78642485953765</v>
      </c>
      <c r="AC95" s="181">
        <f t="shared" si="56"/>
        <v>1</v>
      </c>
      <c r="AD95" s="598"/>
      <c r="AE95" s="187">
        <v>5</v>
      </c>
      <c r="AF95" s="187">
        <v>2967.9502242976882</v>
      </c>
      <c r="AG95" s="184">
        <f t="shared" si="57"/>
        <v>593.59004485953767</v>
      </c>
      <c r="AH95" s="181">
        <f t="shared" si="58"/>
        <v>1</v>
      </c>
      <c r="AI95" s="598"/>
      <c r="AJ95" s="187">
        <v>5</v>
      </c>
      <c r="AK95" s="187">
        <v>2966.3137242976891</v>
      </c>
      <c r="AL95" s="184">
        <f t="shared" si="59"/>
        <v>593.26274485953786</v>
      </c>
      <c r="AM95" s="181">
        <f t="shared" si="60"/>
        <v>1</v>
      </c>
      <c r="AN95" s="598"/>
      <c r="AO95" s="187">
        <v>5</v>
      </c>
      <c r="AP95" s="187">
        <v>2967.6229242976892</v>
      </c>
      <c r="AQ95" s="184">
        <f t="shared" si="61"/>
        <v>593.52458485953787</v>
      </c>
      <c r="AR95" s="181">
        <f t="shared" si="62"/>
        <v>1</v>
      </c>
      <c r="AS95" s="598"/>
      <c r="AT95" s="187">
        <v>5</v>
      </c>
      <c r="AU95" s="187">
        <v>2967.2956242976893</v>
      </c>
      <c r="AV95" s="184">
        <f t="shared" si="63"/>
        <v>593.45912485953784</v>
      </c>
      <c r="AW95" s="181">
        <f t="shared" si="64"/>
        <v>1</v>
      </c>
      <c r="AX95" s="598"/>
    </row>
    <row r="96" spans="2:50" ht="14.25" customHeight="1">
      <c r="B96" s="597"/>
      <c r="C96" s="179">
        <v>6</v>
      </c>
      <c r="D96" s="182"/>
      <c r="E96" s="179"/>
      <c r="F96" s="179"/>
      <c r="G96" s="184"/>
      <c r="H96" s="598"/>
      <c r="I96" s="185"/>
      <c r="J96" s="185"/>
      <c r="K96" s="186"/>
      <c r="L96" s="599"/>
      <c r="M96" s="185" t="e">
        <f>RANK(K96, K$91:$K$127)</f>
        <v>#N/A</v>
      </c>
      <c r="N96" s="597"/>
      <c r="O96" s="597"/>
      <c r="P96" s="187"/>
      <c r="Q96" s="187"/>
      <c r="R96" s="184"/>
      <c r="S96" s="181" t="e">
        <f t="shared" si="53"/>
        <v>#N/A</v>
      </c>
      <c r="T96" s="598"/>
      <c r="U96" s="187"/>
      <c r="V96" s="187"/>
      <c r="W96" s="184"/>
      <c r="X96" s="181" t="e">
        <f t="shared" si="54"/>
        <v>#N/A</v>
      </c>
      <c r="Y96" s="598"/>
      <c r="Z96" s="187"/>
      <c r="AA96" s="187"/>
      <c r="AB96" s="184"/>
      <c r="AC96" s="181" t="e">
        <f t="shared" si="56"/>
        <v>#N/A</v>
      </c>
      <c r="AD96" s="598"/>
      <c r="AE96" s="187"/>
      <c r="AF96" s="187"/>
      <c r="AG96" s="184"/>
      <c r="AH96" s="181" t="e">
        <f t="shared" si="58"/>
        <v>#N/A</v>
      </c>
      <c r="AI96" s="598"/>
      <c r="AJ96" s="187"/>
      <c r="AK96" s="187"/>
      <c r="AL96" s="184"/>
      <c r="AM96" s="181" t="e">
        <f t="shared" si="60"/>
        <v>#N/A</v>
      </c>
      <c r="AN96" s="598"/>
      <c r="AO96" s="187"/>
      <c r="AP96" s="187"/>
      <c r="AQ96" s="184"/>
      <c r="AR96" s="181" t="e">
        <f t="shared" si="62"/>
        <v>#N/A</v>
      </c>
      <c r="AS96" s="598"/>
      <c r="AT96" s="187"/>
      <c r="AU96" s="187"/>
      <c r="AV96" s="184"/>
      <c r="AW96" s="181" t="e">
        <f t="shared" si="64"/>
        <v>#N/A</v>
      </c>
      <c r="AX96" s="598"/>
    </row>
    <row r="97" spans="2:50" ht="14.25" customHeight="1">
      <c r="B97" s="597"/>
      <c r="C97" s="179">
        <v>7</v>
      </c>
      <c r="D97" s="182"/>
      <c r="E97" s="179"/>
      <c r="F97" s="179"/>
      <c r="G97" s="184"/>
      <c r="H97" s="598"/>
      <c r="I97" s="185"/>
      <c r="J97" s="185"/>
      <c r="K97" s="186"/>
      <c r="L97" s="599"/>
      <c r="M97" s="185" t="e">
        <f>RANK(K97, K$91:$K$127)</f>
        <v>#N/A</v>
      </c>
      <c r="N97" s="597"/>
      <c r="O97" s="597"/>
      <c r="P97" s="187"/>
      <c r="Q97" s="187"/>
      <c r="R97" s="184"/>
      <c r="S97" s="181" t="e">
        <f t="shared" si="53"/>
        <v>#N/A</v>
      </c>
      <c r="T97" s="598"/>
      <c r="U97" s="187"/>
      <c r="V97" s="187"/>
      <c r="W97" s="184"/>
      <c r="X97" s="181" t="e">
        <f t="shared" si="54"/>
        <v>#N/A</v>
      </c>
      <c r="Y97" s="598"/>
      <c r="Z97" s="187"/>
      <c r="AA97" s="187"/>
      <c r="AB97" s="184"/>
      <c r="AC97" s="181" t="e">
        <f t="shared" si="56"/>
        <v>#N/A</v>
      </c>
      <c r="AD97" s="598"/>
      <c r="AE97" s="187"/>
      <c r="AF97" s="187"/>
      <c r="AG97" s="184"/>
      <c r="AH97" s="181" t="e">
        <f t="shared" si="58"/>
        <v>#N/A</v>
      </c>
      <c r="AI97" s="598"/>
      <c r="AJ97" s="187"/>
      <c r="AK97" s="187"/>
      <c r="AL97" s="184"/>
      <c r="AM97" s="181" t="e">
        <f t="shared" si="60"/>
        <v>#N/A</v>
      </c>
      <c r="AN97" s="598"/>
      <c r="AO97" s="187"/>
      <c r="AP97" s="187"/>
      <c r="AQ97" s="184"/>
      <c r="AR97" s="181" t="e">
        <f t="shared" si="62"/>
        <v>#N/A</v>
      </c>
      <c r="AS97" s="598"/>
      <c r="AT97" s="187"/>
      <c r="AU97" s="187"/>
      <c r="AV97" s="184"/>
      <c r="AW97" s="181" t="e">
        <f t="shared" si="64"/>
        <v>#N/A</v>
      </c>
      <c r="AX97" s="598"/>
    </row>
    <row r="98" spans="2:50" ht="14.25" customHeight="1">
      <c r="B98" s="597"/>
      <c r="C98" s="179">
        <v>8</v>
      </c>
      <c r="D98" s="182"/>
      <c r="E98" s="179"/>
      <c r="F98" s="179"/>
      <c r="G98" s="184"/>
      <c r="H98" s="598"/>
      <c r="I98" s="185"/>
      <c r="J98" s="185"/>
      <c r="K98" s="186"/>
      <c r="L98" s="599"/>
      <c r="M98" s="185" t="e">
        <f>RANK(K98, K$91:$K$127)</f>
        <v>#N/A</v>
      </c>
      <c r="N98" s="597"/>
      <c r="O98" s="597"/>
      <c r="P98" s="187"/>
      <c r="Q98" s="187"/>
      <c r="R98" s="184"/>
      <c r="S98" s="181" t="e">
        <f t="shared" si="53"/>
        <v>#N/A</v>
      </c>
      <c r="T98" s="598"/>
      <c r="U98" s="187"/>
      <c r="V98" s="187"/>
      <c r="W98" s="184"/>
      <c r="X98" s="181" t="e">
        <f t="shared" si="54"/>
        <v>#N/A</v>
      </c>
      <c r="Y98" s="598"/>
      <c r="Z98" s="187"/>
      <c r="AA98" s="187"/>
      <c r="AB98" s="184"/>
      <c r="AC98" s="181" t="e">
        <f t="shared" si="56"/>
        <v>#N/A</v>
      </c>
      <c r="AD98" s="598"/>
      <c r="AE98" s="187"/>
      <c r="AF98" s="187"/>
      <c r="AG98" s="184"/>
      <c r="AH98" s="181" t="e">
        <f t="shared" si="58"/>
        <v>#N/A</v>
      </c>
      <c r="AI98" s="598"/>
      <c r="AJ98" s="187"/>
      <c r="AK98" s="187"/>
      <c r="AL98" s="184"/>
      <c r="AM98" s="181" t="e">
        <f t="shared" si="60"/>
        <v>#N/A</v>
      </c>
      <c r="AN98" s="598"/>
      <c r="AO98" s="187"/>
      <c r="AP98" s="187"/>
      <c r="AQ98" s="184"/>
      <c r="AR98" s="181" t="e">
        <f t="shared" si="62"/>
        <v>#N/A</v>
      </c>
      <c r="AS98" s="598"/>
      <c r="AT98" s="187"/>
      <c r="AU98" s="187"/>
      <c r="AV98" s="184"/>
      <c r="AW98" s="181" t="e">
        <f t="shared" si="64"/>
        <v>#N/A</v>
      </c>
      <c r="AX98" s="598"/>
    </row>
    <row r="99" spans="2:50" ht="14.25" customHeight="1">
      <c r="B99" s="597"/>
      <c r="C99" s="179">
        <v>9</v>
      </c>
      <c r="D99" s="182"/>
      <c r="E99" s="179"/>
      <c r="F99" s="179"/>
      <c r="G99" s="184"/>
      <c r="H99" s="598"/>
      <c r="I99" s="185"/>
      <c r="J99" s="185"/>
      <c r="K99" s="186"/>
      <c r="L99" s="599"/>
      <c r="M99" s="185" t="e">
        <f>RANK(K99, K$91:$K$127)</f>
        <v>#N/A</v>
      </c>
      <c r="N99" s="597"/>
      <c r="O99" s="597"/>
      <c r="P99" s="187"/>
      <c r="Q99" s="187"/>
      <c r="R99" s="184"/>
      <c r="S99" s="181" t="e">
        <f t="shared" si="53"/>
        <v>#N/A</v>
      </c>
      <c r="T99" s="598"/>
      <c r="U99" s="187"/>
      <c r="V99" s="187"/>
      <c r="W99" s="184"/>
      <c r="X99" s="181" t="e">
        <f t="shared" si="54"/>
        <v>#N/A</v>
      </c>
      <c r="Y99" s="598"/>
      <c r="Z99" s="187"/>
      <c r="AA99" s="187"/>
      <c r="AB99" s="184"/>
      <c r="AC99" s="181" t="e">
        <f t="shared" si="56"/>
        <v>#N/A</v>
      </c>
      <c r="AD99" s="598"/>
      <c r="AE99" s="187"/>
      <c r="AF99" s="187"/>
      <c r="AG99" s="184"/>
      <c r="AH99" s="181" t="e">
        <f t="shared" si="58"/>
        <v>#N/A</v>
      </c>
      <c r="AI99" s="598"/>
      <c r="AJ99" s="187"/>
      <c r="AK99" s="187"/>
      <c r="AL99" s="184"/>
      <c r="AM99" s="181" t="e">
        <f t="shared" si="60"/>
        <v>#N/A</v>
      </c>
      <c r="AN99" s="598"/>
      <c r="AO99" s="187"/>
      <c r="AP99" s="187"/>
      <c r="AQ99" s="184"/>
      <c r="AR99" s="181" t="e">
        <f t="shared" si="62"/>
        <v>#N/A</v>
      </c>
      <c r="AS99" s="598"/>
      <c r="AT99" s="187"/>
      <c r="AU99" s="187"/>
      <c r="AV99" s="184"/>
      <c r="AW99" s="181" t="e">
        <f t="shared" si="64"/>
        <v>#N/A</v>
      </c>
      <c r="AX99" s="598"/>
    </row>
    <row r="100" spans="2:50" ht="14.25" customHeight="1">
      <c r="B100" s="597"/>
      <c r="C100" s="179">
        <v>10</v>
      </c>
      <c r="D100" s="182"/>
      <c r="E100" s="179"/>
      <c r="F100" s="179"/>
      <c r="G100" s="184"/>
      <c r="H100" s="598"/>
      <c r="I100" s="185"/>
      <c r="J100" s="185"/>
      <c r="K100" s="186"/>
      <c r="L100" s="599"/>
      <c r="M100" s="185" t="e">
        <f>RANK(K100, K$91:$K$127)</f>
        <v>#N/A</v>
      </c>
      <c r="N100" s="597"/>
      <c r="O100" s="597"/>
      <c r="P100" s="187"/>
      <c r="Q100" s="187"/>
      <c r="R100" s="184"/>
      <c r="S100" s="181" t="e">
        <f t="shared" si="53"/>
        <v>#N/A</v>
      </c>
      <c r="T100" s="598"/>
      <c r="U100" s="187"/>
      <c r="V100" s="187"/>
      <c r="W100" s="184"/>
      <c r="X100" s="181" t="e">
        <f t="shared" si="54"/>
        <v>#N/A</v>
      </c>
      <c r="Y100" s="598"/>
      <c r="Z100" s="187"/>
      <c r="AA100" s="187"/>
      <c r="AB100" s="184"/>
      <c r="AC100" s="181" t="e">
        <f t="shared" si="56"/>
        <v>#N/A</v>
      </c>
      <c r="AD100" s="598"/>
      <c r="AE100" s="187"/>
      <c r="AF100" s="187"/>
      <c r="AG100" s="184"/>
      <c r="AH100" s="181" t="e">
        <f t="shared" si="58"/>
        <v>#N/A</v>
      </c>
      <c r="AI100" s="598"/>
      <c r="AJ100" s="187"/>
      <c r="AK100" s="187"/>
      <c r="AL100" s="184"/>
      <c r="AM100" s="181" t="e">
        <f t="shared" si="60"/>
        <v>#N/A</v>
      </c>
      <c r="AN100" s="598"/>
      <c r="AO100" s="187"/>
      <c r="AP100" s="187"/>
      <c r="AQ100" s="184"/>
      <c r="AR100" s="181" t="e">
        <f t="shared" si="62"/>
        <v>#N/A</v>
      </c>
      <c r="AS100" s="598"/>
      <c r="AT100" s="187"/>
      <c r="AU100" s="187"/>
      <c r="AV100" s="184"/>
      <c r="AW100" s="181" t="e">
        <f t="shared" si="64"/>
        <v>#N/A</v>
      </c>
      <c r="AX100" s="598"/>
    </row>
    <row r="101" spans="2:50" ht="14.25" customHeight="1">
      <c r="B101" s="597"/>
      <c r="C101" s="179">
        <v>11</v>
      </c>
      <c r="D101" s="182"/>
      <c r="E101" s="179"/>
      <c r="F101" s="179"/>
      <c r="G101" s="184"/>
      <c r="H101" s="598"/>
      <c r="I101" s="185"/>
      <c r="J101" s="185"/>
      <c r="K101" s="186"/>
      <c r="L101" s="599"/>
      <c r="M101" s="185" t="e">
        <f>RANK(K101, K$91:$K$127)</f>
        <v>#N/A</v>
      </c>
      <c r="N101" s="597"/>
      <c r="O101" s="597"/>
      <c r="P101" s="187"/>
      <c r="Q101" s="187"/>
      <c r="R101" s="184"/>
      <c r="S101" s="181" t="e">
        <f t="shared" si="53"/>
        <v>#N/A</v>
      </c>
      <c r="T101" s="598"/>
      <c r="U101" s="187"/>
      <c r="V101" s="187"/>
      <c r="W101" s="184"/>
      <c r="X101" s="181" t="e">
        <f t="shared" si="54"/>
        <v>#N/A</v>
      </c>
      <c r="Y101" s="598"/>
      <c r="Z101" s="187"/>
      <c r="AA101" s="187"/>
      <c r="AB101" s="184"/>
      <c r="AC101" s="181" t="e">
        <f t="shared" si="56"/>
        <v>#N/A</v>
      </c>
      <c r="AD101" s="598"/>
      <c r="AE101" s="187"/>
      <c r="AF101" s="187"/>
      <c r="AG101" s="184"/>
      <c r="AH101" s="181" t="e">
        <f t="shared" si="58"/>
        <v>#N/A</v>
      </c>
      <c r="AI101" s="598"/>
      <c r="AJ101" s="187"/>
      <c r="AK101" s="187"/>
      <c r="AL101" s="184"/>
      <c r="AM101" s="181" t="e">
        <f t="shared" si="60"/>
        <v>#N/A</v>
      </c>
      <c r="AN101" s="598"/>
      <c r="AO101" s="187"/>
      <c r="AP101" s="187"/>
      <c r="AQ101" s="184"/>
      <c r="AR101" s="181" t="e">
        <f t="shared" si="62"/>
        <v>#N/A</v>
      </c>
      <c r="AS101" s="598"/>
      <c r="AT101" s="187"/>
      <c r="AU101" s="187"/>
      <c r="AV101" s="184"/>
      <c r="AW101" s="181" t="e">
        <f t="shared" si="64"/>
        <v>#N/A</v>
      </c>
      <c r="AX101" s="598"/>
    </row>
    <row r="102" spans="2:50" ht="14.25" customHeight="1">
      <c r="B102" s="597"/>
      <c r="C102" s="179">
        <v>12</v>
      </c>
      <c r="D102" s="182"/>
      <c r="E102" s="179"/>
      <c r="F102" s="179"/>
      <c r="G102" s="184"/>
      <c r="H102" s="598"/>
      <c r="I102" s="185"/>
      <c r="J102" s="185"/>
      <c r="K102" s="186"/>
      <c r="L102" s="599"/>
      <c r="M102" s="185" t="e">
        <f>RANK(K102, K$91:$K$127)</f>
        <v>#N/A</v>
      </c>
      <c r="N102" s="597"/>
      <c r="O102" s="597"/>
      <c r="P102" s="187"/>
      <c r="Q102" s="187"/>
      <c r="R102" s="184"/>
      <c r="S102" s="181" t="e">
        <f t="shared" si="53"/>
        <v>#N/A</v>
      </c>
      <c r="T102" s="598"/>
      <c r="U102" s="187"/>
      <c r="V102" s="187"/>
      <c r="W102" s="184"/>
      <c r="X102" s="181" t="e">
        <f t="shared" si="54"/>
        <v>#N/A</v>
      </c>
      <c r="Y102" s="598"/>
      <c r="Z102" s="187"/>
      <c r="AA102" s="187"/>
      <c r="AB102" s="184"/>
      <c r="AC102" s="181" t="e">
        <f t="shared" si="56"/>
        <v>#N/A</v>
      </c>
      <c r="AD102" s="598"/>
      <c r="AE102" s="187"/>
      <c r="AF102" s="187"/>
      <c r="AG102" s="184"/>
      <c r="AH102" s="181" t="e">
        <f t="shared" si="58"/>
        <v>#N/A</v>
      </c>
      <c r="AI102" s="598"/>
      <c r="AJ102" s="187"/>
      <c r="AK102" s="187"/>
      <c r="AL102" s="184"/>
      <c r="AM102" s="181" t="e">
        <f t="shared" si="60"/>
        <v>#N/A</v>
      </c>
      <c r="AN102" s="598"/>
      <c r="AO102" s="187"/>
      <c r="AP102" s="187"/>
      <c r="AQ102" s="184"/>
      <c r="AR102" s="181" t="e">
        <f t="shared" si="62"/>
        <v>#N/A</v>
      </c>
      <c r="AS102" s="598"/>
      <c r="AT102" s="187"/>
      <c r="AU102" s="187"/>
      <c r="AV102" s="184"/>
      <c r="AW102" s="181" t="e">
        <f t="shared" si="64"/>
        <v>#N/A</v>
      </c>
      <c r="AX102" s="598"/>
    </row>
    <row r="103" spans="2:50" ht="14.25" customHeight="1">
      <c r="B103" s="597"/>
      <c r="C103" s="179">
        <v>13</v>
      </c>
      <c r="D103" s="182"/>
      <c r="E103" s="179"/>
      <c r="F103" s="179"/>
      <c r="G103" s="184"/>
      <c r="H103" s="598"/>
      <c r="I103" s="185"/>
      <c r="J103" s="185"/>
      <c r="K103" s="186"/>
      <c r="L103" s="599"/>
      <c r="M103" s="185" t="e">
        <f>RANK(K103, K$91:$K$127)</f>
        <v>#N/A</v>
      </c>
      <c r="N103" s="597"/>
      <c r="O103" s="597"/>
      <c r="P103" s="187"/>
      <c r="Q103" s="187"/>
      <c r="R103" s="184"/>
      <c r="S103" s="181" t="e">
        <f t="shared" si="53"/>
        <v>#N/A</v>
      </c>
      <c r="T103" s="598"/>
      <c r="U103" s="187"/>
      <c r="V103" s="187"/>
      <c r="W103" s="184"/>
      <c r="X103" s="181"/>
      <c r="Y103" s="598"/>
      <c r="Z103" s="187"/>
      <c r="AA103" s="187"/>
      <c r="AB103" s="184"/>
      <c r="AC103" s="181"/>
      <c r="AD103" s="598"/>
      <c r="AE103" s="187"/>
      <c r="AF103" s="187"/>
      <c r="AG103" s="184"/>
      <c r="AH103" s="181"/>
      <c r="AI103" s="598"/>
      <c r="AJ103" s="187"/>
      <c r="AK103" s="187"/>
      <c r="AL103" s="184"/>
      <c r="AM103" s="181"/>
      <c r="AN103" s="598"/>
      <c r="AO103" s="187"/>
      <c r="AP103" s="187"/>
      <c r="AQ103" s="184"/>
      <c r="AR103" s="181"/>
      <c r="AS103" s="598"/>
      <c r="AT103" s="187"/>
      <c r="AU103" s="187"/>
      <c r="AV103" s="184"/>
      <c r="AW103" s="181"/>
      <c r="AX103" s="598"/>
    </row>
    <row r="104" spans="2:50" ht="14.25" customHeight="1">
      <c r="B104" s="597"/>
      <c r="C104" s="179">
        <v>14</v>
      </c>
      <c r="D104" s="182"/>
      <c r="E104" s="179"/>
      <c r="F104" s="179"/>
      <c r="G104" s="184"/>
      <c r="H104" s="598"/>
      <c r="I104" s="185"/>
      <c r="J104" s="185"/>
      <c r="K104" s="186"/>
      <c r="L104" s="599"/>
      <c r="M104" s="185" t="e">
        <f>RANK(K104, K$91:$K$127)</f>
        <v>#N/A</v>
      </c>
      <c r="N104" s="597"/>
      <c r="O104" s="597"/>
      <c r="P104" s="187"/>
      <c r="Q104" s="187"/>
      <c r="R104" s="184"/>
      <c r="S104" s="181" t="e">
        <f t="shared" si="53"/>
        <v>#N/A</v>
      </c>
      <c r="T104" s="598"/>
      <c r="U104" s="187"/>
      <c r="V104" s="187"/>
      <c r="W104" s="184"/>
      <c r="X104" s="181" t="e">
        <f t="shared" si="54"/>
        <v>#N/A</v>
      </c>
      <c r="Y104" s="598"/>
      <c r="Z104" s="187"/>
      <c r="AA104" s="187"/>
      <c r="AB104" s="184"/>
      <c r="AC104" s="181" t="e">
        <f t="shared" si="56"/>
        <v>#N/A</v>
      </c>
      <c r="AD104" s="598"/>
      <c r="AE104" s="187"/>
      <c r="AF104" s="187"/>
      <c r="AG104" s="184"/>
      <c r="AH104" s="181" t="e">
        <f t="shared" si="58"/>
        <v>#N/A</v>
      </c>
      <c r="AI104" s="598"/>
      <c r="AJ104" s="187"/>
      <c r="AK104" s="187"/>
      <c r="AL104" s="184"/>
      <c r="AM104" s="181" t="e">
        <f t="shared" si="60"/>
        <v>#N/A</v>
      </c>
      <c r="AN104" s="598"/>
      <c r="AO104" s="187"/>
      <c r="AP104" s="187"/>
      <c r="AQ104" s="184"/>
      <c r="AR104" s="181" t="e">
        <f t="shared" si="62"/>
        <v>#N/A</v>
      </c>
      <c r="AS104" s="598"/>
      <c r="AT104" s="187"/>
      <c r="AU104" s="187"/>
      <c r="AV104" s="184"/>
      <c r="AW104" s="181" t="e">
        <f t="shared" si="64"/>
        <v>#N/A</v>
      </c>
      <c r="AX104" s="598"/>
    </row>
    <row r="105" spans="2:50" ht="14.25" customHeight="1">
      <c r="B105" s="597"/>
      <c r="C105" s="179">
        <v>15</v>
      </c>
      <c r="D105" s="182"/>
      <c r="E105" s="179"/>
      <c r="F105" s="179"/>
      <c r="G105" s="184"/>
      <c r="H105" s="598"/>
      <c r="I105" s="185"/>
      <c r="J105" s="185"/>
      <c r="K105" s="186"/>
      <c r="L105" s="599"/>
      <c r="M105" s="185" t="e">
        <f>RANK(K105, K$91:$K$127)</f>
        <v>#N/A</v>
      </c>
      <c r="N105" s="597"/>
      <c r="O105" s="597"/>
      <c r="P105" s="187"/>
      <c r="Q105" s="187"/>
      <c r="R105" s="184"/>
      <c r="S105" s="181" t="e">
        <f t="shared" si="53"/>
        <v>#N/A</v>
      </c>
      <c r="T105" s="598"/>
      <c r="U105" s="187"/>
      <c r="V105" s="187"/>
      <c r="W105" s="184"/>
      <c r="X105" s="181" t="e">
        <f t="shared" si="54"/>
        <v>#N/A</v>
      </c>
      <c r="Y105" s="598"/>
      <c r="Z105" s="187"/>
      <c r="AA105" s="187"/>
      <c r="AB105" s="184"/>
      <c r="AC105" s="181" t="e">
        <f t="shared" si="56"/>
        <v>#N/A</v>
      </c>
      <c r="AD105" s="598"/>
      <c r="AE105" s="187"/>
      <c r="AF105" s="187"/>
      <c r="AG105" s="184"/>
      <c r="AH105" s="181" t="e">
        <f t="shared" si="58"/>
        <v>#N/A</v>
      </c>
      <c r="AI105" s="598"/>
      <c r="AJ105" s="187"/>
      <c r="AK105" s="187"/>
      <c r="AL105" s="184"/>
      <c r="AM105" s="181" t="e">
        <f t="shared" si="60"/>
        <v>#N/A</v>
      </c>
      <c r="AN105" s="598"/>
      <c r="AO105" s="187"/>
      <c r="AP105" s="187"/>
      <c r="AQ105" s="184"/>
      <c r="AR105" s="181" t="e">
        <f t="shared" si="62"/>
        <v>#N/A</v>
      </c>
      <c r="AS105" s="598"/>
      <c r="AT105" s="187"/>
      <c r="AU105" s="187"/>
      <c r="AV105" s="184"/>
      <c r="AW105" s="181" t="e">
        <f t="shared" si="64"/>
        <v>#N/A</v>
      </c>
      <c r="AX105" s="598"/>
    </row>
    <row r="106" spans="2:50">
      <c r="M106" s="185" t="e">
        <f>RANK(K106, K$91:$K$127)</f>
        <v>#N/A</v>
      </c>
      <c r="S106" s="181" t="e">
        <f t="shared" si="53"/>
        <v>#N/A</v>
      </c>
      <c r="X106" s="181" t="e">
        <f t="shared" si="54"/>
        <v>#N/A</v>
      </c>
      <c r="AC106" s="181" t="e">
        <f t="shared" si="56"/>
        <v>#N/A</v>
      </c>
      <c r="AH106" s="181" t="e">
        <f t="shared" si="58"/>
        <v>#N/A</v>
      </c>
      <c r="AM106" s="181" t="e">
        <f t="shared" si="60"/>
        <v>#N/A</v>
      </c>
      <c r="AR106" s="181" t="e">
        <f t="shared" si="62"/>
        <v>#N/A</v>
      </c>
      <c r="AW106" s="181" t="e">
        <f t="shared" si="64"/>
        <v>#N/A</v>
      </c>
    </row>
    <row r="107" spans="2:50">
      <c r="M107" s="185" t="e">
        <f>RANK(K107, K$91:$K$127)</f>
        <v>#N/A</v>
      </c>
      <c r="S107" s="181" t="e">
        <f t="shared" si="53"/>
        <v>#N/A</v>
      </c>
      <c r="X107" s="181" t="e">
        <f t="shared" si="54"/>
        <v>#N/A</v>
      </c>
      <c r="AC107" s="181" t="e">
        <f t="shared" si="56"/>
        <v>#N/A</v>
      </c>
      <c r="AH107" s="181" t="e">
        <f t="shared" si="58"/>
        <v>#N/A</v>
      </c>
      <c r="AM107" s="181" t="e">
        <f t="shared" si="60"/>
        <v>#N/A</v>
      </c>
      <c r="AR107" s="181" t="e">
        <f t="shared" si="62"/>
        <v>#N/A</v>
      </c>
      <c r="AW107" s="181" t="e">
        <f t="shared" si="64"/>
        <v>#N/A</v>
      </c>
    </row>
    <row r="108" spans="2:50">
      <c r="M108" s="185" t="e">
        <f>RANK(K108, K$91:$K$127)</f>
        <v>#N/A</v>
      </c>
      <c r="S108" s="181" t="e">
        <f t="shared" si="53"/>
        <v>#N/A</v>
      </c>
      <c r="X108" s="181" t="e">
        <f t="shared" si="54"/>
        <v>#N/A</v>
      </c>
      <c r="AC108" s="181" t="e">
        <f t="shared" si="56"/>
        <v>#N/A</v>
      </c>
      <c r="AH108" s="181" t="e">
        <f t="shared" si="58"/>
        <v>#N/A</v>
      </c>
      <c r="AM108" s="181" t="e">
        <f t="shared" si="60"/>
        <v>#N/A</v>
      </c>
      <c r="AR108" s="181" t="e">
        <f t="shared" si="62"/>
        <v>#N/A</v>
      </c>
      <c r="AW108" s="181" t="e">
        <f t="shared" si="64"/>
        <v>#N/A</v>
      </c>
    </row>
    <row r="109" spans="2:50">
      <c r="M109" s="185" t="e">
        <f>RANK(K109, K$91:$K$127)</f>
        <v>#N/A</v>
      </c>
      <c r="S109" s="181" t="e">
        <f t="shared" si="53"/>
        <v>#N/A</v>
      </c>
      <c r="X109" s="181" t="e">
        <f t="shared" si="54"/>
        <v>#N/A</v>
      </c>
      <c r="AC109" s="181" t="e">
        <f t="shared" si="56"/>
        <v>#N/A</v>
      </c>
      <c r="AH109" s="181" t="e">
        <f t="shared" si="58"/>
        <v>#N/A</v>
      </c>
      <c r="AM109" s="181" t="e">
        <f t="shared" si="60"/>
        <v>#N/A</v>
      </c>
      <c r="AR109" s="181" t="e">
        <f t="shared" si="62"/>
        <v>#N/A</v>
      </c>
      <c r="AW109" s="181" t="e">
        <f t="shared" si="64"/>
        <v>#N/A</v>
      </c>
    </row>
    <row r="110" spans="2:50">
      <c r="M110" s="185" t="e">
        <f>RANK(K110, K$91:$K$127)</f>
        <v>#N/A</v>
      </c>
      <c r="S110" s="181" t="e">
        <f t="shared" si="53"/>
        <v>#N/A</v>
      </c>
      <c r="X110" s="181" t="e">
        <f t="shared" si="54"/>
        <v>#N/A</v>
      </c>
      <c r="AC110" s="181" t="e">
        <f t="shared" si="56"/>
        <v>#N/A</v>
      </c>
      <c r="AH110" s="181" t="e">
        <f t="shared" si="58"/>
        <v>#N/A</v>
      </c>
      <c r="AM110" s="181" t="e">
        <f t="shared" si="60"/>
        <v>#N/A</v>
      </c>
      <c r="AR110" s="181" t="e">
        <f t="shared" si="62"/>
        <v>#N/A</v>
      </c>
      <c r="AW110" s="181" t="e">
        <f t="shared" si="64"/>
        <v>#N/A</v>
      </c>
    </row>
    <row r="111" spans="2:50">
      <c r="M111" s="185" t="e">
        <f>RANK(K111, K$91:$K$127)</f>
        <v>#N/A</v>
      </c>
      <c r="S111" s="181" t="e">
        <f t="shared" si="53"/>
        <v>#N/A</v>
      </c>
      <c r="X111" s="181" t="e">
        <f t="shared" si="54"/>
        <v>#N/A</v>
      </c>
      <c r="AC111" s="181" t="e">
        <f t="shared" si="56"/>
        <v>#N/A</v>
      </c>
      <c r="AH111" s="181" t="e">
        <f t="shared" si="58"/>
        <v>#N/A</v>
      </c>
      <c r="AM111" s="181" t="e">
        <f t="shared" si="60"/>
        <v>#N/A</v>
      </c>
      <c r="AR111" s="181" t="e">
        <f t="shared" si="62"/>
        <v>#N/A</v>
      </c>
      <c r="AW111" s="181" t="e">
        <f t="shared" si="64"/>
        <v>#N/A</v>
      </c>
    </row>
    <row r="112" spans="2:50">
      <c r="M112" s="185" t="e">
        <f>RANK(K112, K$91:$K$127)</f>
        <v>#N/A</v>
      </c>
      <c r="S112" s="181" t="e">
        <f t="shared" si="53"/>
        <v>#N/A</v>
      </c>
      <c r="X112" s="181" t="e">
        <f t="shared" si="54"/>
        <v>#N/A</v>
      </c>
      <c r="AC112" s="181" t="e">
        <f t="shared" si="56"/>
        <v>#N/A</v>
      </c>
      <c r="AH112" s="181" t="e">
        <f t="shared" si="58"/>
        <v>#N/A</v>
      </c>
      <c r="AM112" s="181" t="e">
        <f t="shared" si="60"/>
        <v>#N/A</v>
      </c>
      <c r="AR112" s="181" t="e">
        <f t="shared" si="62"/>
        <v>#N/A</v>
      </c>
      <c r="AW112" s="181" t="e">
        <f t="shared" si="64"/>
        <v>#N/A</v>
      </c>
    </row>
    <row r="113" spans="13:49">
      <c r="M113" s="185" t="e">
        <f>RANK(K113, K$91:$K$127)</f>
        <v>#N/A</v>
      </c>
      <c r="S113" s="181" t="e">
        <f t="shared" si="53"/>
        <v>#N/A</v>
      </c>
      <c r="X113" s="181" t="e">
        <f t="shared" si="54"/>
        <v>#N/A</v>
      </c>
      <c r="AC113" s="181" t="e">
        <f t="shared" si="56"/>
        <v>#N/A</v>
      </c>
      <c r="AH113" s="181" t="e">
        <f t="shared" si="58"/>
        <v>#N/A</v>
      </c>
      <c r="AM113" s="181" t="e">
        <f t="shared" si="60"/>
        <v>#N/A</v>
      </c>
      <c r="AR113" s="181" t="e">
        <f t="shared" si="62"/>
        <v>#N/A</v>
      </c>
      <c r="AW113" s="181" t="e">
        <f t="shared" si="64"/>
        <v>#N/A</v>
      </c>
    </row>
    <row r="114" spans="13:49">
      <c r="M114" s="185" t="e">
        <f>RANK(K114, K$91:$K$127)</f>
        <v>#N/A</v>
      </c>
      <c r="S114" s="181" t="e">
        <f t="shared" si="53"/>
        <v>#N/A</v>
      </c>
      <c r="X114" s="181" t="e">
        <f t="shared" si="54"/>
        <v>#N/A</v>
      </c>
      <c r="AC114" s="181" t="e">
        <f t="shared" si="56"/>
        <v>#N/A</v>
      </c>
      <c r="AH114" s="181" t="e">
        <f t="shared" si="58"/>
        <v>#N/A</v>
      </c>
      <c r="AM114" s="181" t="e">
        <f t="shared" si="60"/>
        <v>#N/A</v>
      </c>
      <c r="AR114" s="181" t="e">
        <f t="shared" si="62"/>
        <v>#N/A</v>
      </c>
      <c r="AW114" s="181" t="e">
        <f t="shared" si="64"/>
        <v>#N/A</v>
      </c>
    </row>
    <row r="115" spans="13:49">
      <c r="M115" s="185" t="e">
        <f>RANK(K115, K$91:$K$127)</f>
        <v>#N/A</v>
      </c>
      <c r="S115" s="181" t="e">
        <f t="shared" si="53"/>
        <v>#N/A</v>
      </c>
      <c r="X115" s="181" t="e">
        <f t="shared" si="54"/>
        <v>#N/A</v>
      </c>
      <c r="AC115" s="181" t="e">
        <f t="shared" si="56"/>
        <v>#N/A</v>
      </c>
      <c r="AH115" s="181" t="e">
        <f t="shared" si="58"/>
        <v>#N/A</v>
      </c>
      <c r="AM115" s="181" t="e">
        <f t="shared" si="60"/>
        <v>#N/A</v>
      </c>
      <c r="AR115" s="181" t="e">
        <f t="shared" si="62"/>
        <v>#N/A</v>
      </c>
      <c r="AW115" s="181" t="e">
        <f t="shared" si="64"/>
        <v>#N/A</v>
      </c>
    </row>
    <row r="116" spans="13:49">
      <c r="M116" s="185" t="e">
        <f>RANK(K116, K$91:$K$127)</f>
        <v>#N/A</v>
      </c>
      <c r="S116" s="181" t="e">
        <f t="shared" si="53"/>
        <v>#N/A</v>
      </c>
      <c r="X116" s="181" t="e">
        <f t="shared" si="54"/>
        <v>#N/A</v>
      </c>
      <c r="AC116" s="181" t="e">
        <f t="shared" si="56"/>
        <v>#N/A</v>
      </c>
      <c r="AH116" s="181" t="e">
        <f t="shared" si="58"/>
        <v>#N/A</v>
      </c>
      <c r="AM116" s="181" t="e">
        <f t="shared" si="60"/>
        <v>#N/A</v>
      </c>
      <c r="AR116" s="181" t="e">
        <f t="shared" si="62"/>
        <v>#N/A</v>
      </c>
      <c r="AW116" s="181" t="e">
        <f t="shared" si="64"/>
        <v>#N/A</v>
      </c>
    </row>
    <row r="117" spans="13:49">
      <c r="M117" s="185" t="e">
        <f>RANK(K117, K$91:$K$127)</f>
        <v>#N/A</v>
      </c>
      <c r="S117" s="181" t="e">
        <f t="shared" si="53"/>
        <v>#N/A</v>
      </c>
      <c r="X117" s="181" t="e">
        <f t="shared" si="54"/>
        <v>#N/A</v>
      </c>
      <c r="AC117" s="181" t="e">
        <f t="shared" si="56"/>
        <v>#N/A</v>
      </c>
      <c r="AH117" s="181" t="e">
        <f t="shared" si="58"/>
        <v>#N/A</v>
      </c>
      <c r="AM117" s="181" t="e">
        <f t="shared" si="60"/>
        <v>#N/A</v>
      </c>
      <c r="AR117" s="181" t="e">
        <f t="shared" si="62"/>
        <v>#N/A</v>
      </c>
      <c r="AW117" s="181" t="e">
        <f t="shared" si="64"/>
        <v>#N/A</v>
      </c>
    </row>
    <row r="118" spans="13:49">
      <c r="M118" s="185" t="e">
        <f>RANK(K118, K$91:$K$127)</f>
        <v>#N/A</v>
      </c>
      <c r="S118" s="181" t="e">
        <f t="shared" si="53"/>
        <v>#N/A</v>
      </c>
      <c r="X118" s="181" t="e">
        <f t="shared" si="54"/>
        <v>#N/A</v>
      </c>
      <c r="AC118" s="181" t="e">
        <f t="shared" si="56"/>
        <v>#N/A</v>
      </c>
      <c r="AH118" s="181" t="e">
        <f t="shared" si="58"/>
        <v>#N/A</v>
      </c>
      <c r="AM118" s="181" t="e">
        <f t="shared" si="60"/>
        <v>#N/A</v>
      </c>
      <c r="AR118" s="181" t="e">
        <f t="shared" si="62"/>
        <v>#N/A</v>
      </c>
      <c r="AW118" s="181" t="e">
        <f t="shared" si="64"/>
        <v>#N/A</v>
      </c>
    </row>
    <row r="119" spans="13:49">
      <c r="M119" s="185" t="e">
        <f>RANK(K119, K$91:$K$127)</f>
        <v>#N/A</v>
      </c>
      <c r="S119" s="181" t="e">
        <f t="shared" si="53"/>
        <v>#N/A</v>
      </c>
      <c r="X119" s="181" t="e">
        <f t="shared" si="54"/>
        <v>#N/A</v>
      </c>
      <c r="AC119" s="181" t="e">
        <f t="shared" si="56"/>
        <v>#N/A</v>
      </c>
      <c r="AH119" s="181" t="e">
        <f t="shared" si="58"/>
        <v>#N/A</v>
      </c>
      <c r="AM119" s="181" t="e">
        <f t="shared" si="60"/>
        <v>#N/A</v>
      </c>
      <c r="AR119" s="181" t="e">
        <f t="shared" si="62"/>
        <v>#N/A</v>
      </c>
      <c r="AW119" s="181" t="e">
        <f t="shared" si="64"/>
        <v>#N/A</v>
      </c>
    </row>
    <row r="120" spans="13:49">
      <c r="M120" s="185" t="e">
        <f>RANK(K120, K$91:$K$127)</f>
        <v>#N/A</v>
      </c>
      <c r="S120" s="181" t="e">
        <f t="shared" si="53"/>
        <v>#N/A</v>
      </c>
      <c r="X120" s="181" t="e">
        <f t="shared" si="54"/>
        <v>#N/A</v>
      </c>
      <c r="AC120" s="181" t="e">
        <f t="shared" si="56"/>
        <v>#N/A</v>
      </c>
      <c r="AH120" s="181" t="e">
        <f t="shared" si="58"/>
        <v>#N/A</v>
      </c>
      <c r="AM120" s="181" t="e">
        <f t="shared" si="60"/>
        <v>#N/A</v>
      </c>
      <c r="AR120" s="181" t="e">
        <f t="shared" si="62"/>
        <v>#N/A</v>
      </c>
      <c r="AW120" s="181" t="e">
        <f t="shared" si="64"/>
        <v>#N/A</v>
      </c>
    </row>
    <row r="121" spans="13:49">
      <c r="M121" s="185" t="e">
        <f>RANK(K121, K$91:$K$127)</f>
        <v>#N/A</v>
      </c>
      <c r="S121" s="181" t="e">
        <f t="shared" si="53"/>
        <v>#N/A</v>
      </c>
      <c r="X121" s="181" t="e">
        <f t="shared" si="54"/>
        <v>#N/A</v>
      </c>
      <c r="AC121" s="181" t="e">
        <f t="shared" si="56"/>
        <v>#N/A</v>
      </c>
      <c r="AH121" s="181" t="e">
        <f t="shared" si="58"/>
        <v>#N/A</v>
      </c>
      <c r="AM121" s="181" t="e">
        <f t="shared" si="60"/>
        <v>#N/A</v>
      </c>
      <c r="AR121" s="181" t="e">
        <f t="shared" si="62"/>
        <v>#N/A</v>
      </c>
      <c r="AW121" s="181" t="e">
        <f t="shared" si="64"/>
        <v>#N/A</v>
      </c>
    </row>
    <row r="122" spans="13:49">
      <c r="M122" s="185" t="e">
        <f>RANK(K122, K$91:$K$127)</f>
        <v>#N/A</v>
      </c>
      <c r="S122" s="181" t="e">
        <f t="shared" si="53"/>
        <v>#N/A</v>
      </c>
      <c r="X122" s="181" t="e">
        <f t="shared" si="54"/>
        <v>#N/A</v>
      </c>
      <c r="AC122" s="181" t="e">
        <f t="shared" si="56"/>
        <v>#N/A</v>
      </c>
      <c r="AH122" s="181" t="e">
        <f t="shared" si="58"/>
        <v>#N/A</v>
      </c>
      <c r="AM122" s="181" t="e">
        <f t="shared" si="60"/>
        <v>#N/A</v>
      </c>
      <c r="AR122" s="181" t="e">
        <f t="shared" si="62"/>
        <v>#N/A</v>
      </c>
      <c r="AW122" s="181" t="e">
        <f t="shared" si="64"/>
        <v>#N/A</v>
      </c>
    </row>
    <row r="123" spans="13:49">
      <c r="M123" s="185" t="e">
        <f>RANK(K123, K$91:$K$127)</f>
        <v>#N/A</v>
      </c>
      <c r="S123" s="181" t="e">
        <f t="shared" si="53"/>
        <v>#N/A</v>
      </c>
      <c r="X123" s="181" t="e">
        <f t="shared" si="54"/>
        <v>#N/A</v>
      </c>
      <c r="AC123" s="181" t="e">
        <f t="shared" si="56"/>
        <v>#N/A</v>
      </c>
      <c r="AH123" s="181" t="e">
        <f t="shared" si="58"/>
        <v>#N/A</v>
      </c>
      <c r="AM123" s="181" t="e">
        <f t="shared" si="60"/>
        <v>#N/A</v>
      </c>
      <c r="AR123" s="181" t="e">
        <f t="shared" si="62"/>
        <v>#N/A</v>
      </c>
      <c r="AW123" s="181" t="e">
        <f t="shared" si="64"/>
        <v>#N/A</v>
      </c>
    </row>
    <row r="124" spans="13:49">
      <c r="M124" s="185" t="e">
        <f>RANK(K124, K$91:$K$127)</f>
        <v>#N/A</v>
      </c>
      <c r="S124" s="181" t="e">
        <f t="shared" si="53"/>
        <v>#N/A</v>
      </c>
      <c r="X124" s="181" t="e">
        <f t="shared" si="54"/>
        <v>#N/A</v>
      </c>
      <c r="AC124" s="181" t="e">
        <f t="shared" si="56"/>
        <v>#N/A</v>
      </c>
      <c r="AH124" s="181" t="e">
        <f t="shared" si="58"/>
        <v>#N/A</v>
      </c>
      <c r="AM124" s="181" t="e">
        <f t="shared" si="60"/>
        <v>#N/A</v>
      </c>
      <c r="AR124" s="181" t="e">
        <f t="shared" si="62"/>
        <v>#N/A</v>
      </c>
      <c r="AW124" s="181" t="e">
        <f t="shared" si="64"/>
        <v>#N/A</v>
      </c>
    </row>
    <row r="125" spans="13:49">
      <c r="M125" s="185" t="e">
        <f>RANK(K125, K$91:$K$127)</f>
        <v>#N/A</v>
      </c>
      <c r="S125" s="181" t="e">
        <f t="shared" si="53"/>
        <v>#N/A</v>
      </c>
      <c r="X125" s="181" t="e">
        <f t="shared" si="54"/>
        <v>#N/A</v>
      </c>
      <c r="AC125" s="181" t="e">
        <f t="shared" si="56"/>
        <v>#N/A</v>
      </c>
      <c r="AH125" s="181" t="e">
        <f t="shared" si="58"/>
        <v>#N/A</v>
      </c>
      <c r="AM125" s="181" t="e">
        <f t="shared" si="60"/>
        <v>#N/A</v>
      </c>
      <c r="AR125" s="181" t="e">
        <f t="shared" si="62"/>
        <v>#N/A</v>
      </c>
      <c r="AW125" s="181" t="e">
        <f t="shared" si="64"/>
        <v>#N/A</v>
      </c>
    </row>
    <row r="126" spans="13:49">
      <c r="M126" s="185" t="e">
        <f>RANK(K126, K$91:$K$127)</f>
        <v>#N/A</v>
      </c>
      <c r="S126" s="181" t="e">
        <f t="shared" si="53"/>
        <v>#N/A</v>
      </c>
      <c r="X126" s="181" t="e">
        <f t="shared" si="54"/>
        <v>#N/A</v>
      </c>
      <c r="AC126" s="181" t="e">
        <f t="shared" si="56"/>
        <v>#N/A</v>
      </c>
      <c r="AH126" s="181" t="e">
        <f t="shared" si="58"/>
        <v>#N/A</v>
      </c>
      <c r="AM126" s="181" t="e">
        <f t="shared" si="60"/>
        <v>#N/A</v>
      </c>
      <c r="AR126" s="181" t="e">
        <f t="shared" si="62"/>
        <v>#N/A</v>
      </c>
      <c r="AW126" s="181" t="e">
        <f t="shared" si="64"/>
        <v>#N/A</v>
      </c>
    </row>
  </sheetData>
  <mergeCells count="235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AJ86:AN86"/>
    <mergeCell ref="AO86:AS8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86:AX86"/>
    <mergeCell ref="P87:T87"/>
    <mergeCell ref="U87:Y87"/>
    <mergeCell ref="Z87:AD87"/>
    <mergeCell ref="AE87:AI87"/>
    <mergeCell ref="AJ87:AN87"/>
    <mergeCell ref="AO87:AS87"/>
    <mergeCell ref="AT87:AX87"/>
    <mergeCell ref="B88:B90"/>
    <mergeCell ref="C88:D90"/>
    <mergeCell ref="E88:G88"/>
    <mergeCell ref="H88:H90"/>
    <mergeCell ref="I88:K88"/>
    <mergeCell ref="L88:L90"/>
    <mergeCell ref="M88:M90"/>
    <mergeCell ref="N88:N105"/>
    <mergeCell ref="O88:O105"/>
    <mergeCell ref="P88:S88"/>
    <mergeCell ref="T88:T90"/>
    <mergeCell ref="U88:X88"/>
    <mergeCell ref="Y88:Y90"/>
    <mergeCell ref="Z88:AC88"/>
    <mergeCell ref="AD88:AD90"/>
    <mergeCell ref="AE88:AH88"/>
    <mergeCell ref="AN91:AN105"/>
    <mergeCell ref="AS91:AS105"/>
    <mergeCell ref="AI88:AI90"/>
    <mergeCell ref="AJ88:AM88"/>
    <mergeCell ref="AN88:AN90"/>
    <mergeCell ref="AO88:AR88"/>
    <mergeCell ref="AS88:AS90"/>
    <mergeCell ref="AT88:AW88"/>
    <mergeCell ref="AX88:AX90"/>
    <mergeCell ref="AJ89:AM89"/>
    <mergeCell ref="AO89:AR89"/>
    <mergeCell ref="AT89:AW89"/>
    <mergeCell ref="I44:K44"/>
    <mergeCell ref="L44:L46"/>
    <mergeCell ref="B91:B105"/>
    <mergeCell ref="H91:H105"/>
    <mergeCell ref="L91:L105"/>
    <mergeCell ref="T91:T105"/>
    <mergeCell ref="Y91:Y105"/>
    <mergeCell ref="AD91:AD105"/>
    <mergeCell ref="AI91:AI105"/>
    <mergeCell ref="E89:G89"/>
    <mergeCell ref="I89:K89"/>
    <mergeCell ref="P89:S89"/>
    <mergeCell ref="U89:X89"/>
    <mergeCell ref="Z89:AC89"/>
    <mergeCell ref="AE89:AH89"/>
    <mergeCell ref="N86:N87"/>
    <mergeCell ref="O86:O87"/>
    <mergeCell ref="P86:T86"/>
    <mergeCell ref="U86:Y86"/>
    <mergeCell ref="Z86:AD86"/>
    <mergeCell ref="AE86:AI86"/>
    <mergeCell ref="Z44:AC44"/>
    <mergeCell ref="AD44:AD46"/>
    <mergeCell ref="AX91:AX105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126"/>
  <sheetViews>
    <sheetView zoomScaleNormal="100" workbookViewId="0">
      <pane xSplit="13" ySplit="1" topLeftCell="N29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S47" sqref="S47:S55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8" t="s">
        <v>744</v>
      </c>
      <c r="C1" s="174">
        <f>AVERAGE(L7,L27,L47)</f>
        <v>85.267290527331454</v>
      </c>
    </row>
    <row r="2" spans="1:50" ht="14.25" customHeight="1">
      <c r="B2" s="625" t="s">
        <v>709</v>
      </c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2"/>
      <c r="N2" s="629" t="s">
        <v>363</v>
      </c>
      <c r="O2" s="615" t="s">
        <v>105</v>
      </c>
      <c r="P2" s="617">
        <v>46203</v>
      </c>
      <c r="Q2" s="618"/>
      <c r="R2" s="618"/>
      <c r="S2" s="618"/>
      <c r="T2" s="618"/>
      <c r="U2" s="619">
        <v>46204</v>
      </c>
      <c r="V2" s="620"/>
      <c r="W2" s="620"/>
      <c r="X2" s="620"/>
      <c r="Y2" s="620"/>
      <c r="Z2" s="617">
        <v>46205</v>
      </c>
      <c r="AA2" s="618"/>
      <c r="AB2" s="618"/>
      <c r="AC2" s="618"/>
      <c r="AD2" s="618"/>
      <c r="AE2" s="619">
        <v>46206</v>
      </c>
      <c r="AF2" s="620"/>
      <c r="AG2" s="620"/>
      <c r="AH2" s="620"/>
      <c r="AI2" s="620"/>
      <c r="AJ2" s="602">
        <v>46207</v>
      </c>
      <c r="AK2" s="603"/>
      <c r="AL2" s="603"/>
      <c r="AM2" s="603"/>
      <c r="AN2" s="604"/>
      <c r="AO2" s="619">
        <v>46208</v>
      </c>
      <c r="AP2" s="620"/>
      <c r="AQ2" s="620"/>
      <c r="AR2" s="620"/>
      <c r="AS2" s="620"/>
      <c r="AT2" s="602">
        <v>46209</v>
      </c>
      <c r="AU2" s="603"/>
      <c r="AV2" s="603"/>
      <c r="AW2" s="603"/>
      <c r="AX2" s="604"/>
    </row>
    <row r="3" spans="1:50" ht="14.25" customHeight="1"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4"/>
      <c r="N3" s="630"/>
      <c r="O3" s="616"/>
      <c r="P3" s="605">
        <v>46196</v>
      </c>
      <c r="Q3" s="605"/>
      <c r="R3" s="605"/>
      <c r="S3" s="605"/>
      <c r="T3" s="605"/>
      <c r="U3" s="606">
        <v>46197</v>
      </c>
      <c r="V3" s="606"/>
      <c r="W3" s="606"/>
      <c r="X3" s="606"/>
      <c r="Y3" s="606"/>
      <c r="Z3" s="605">
        <v>46198</v>
      </c>
      <c r="AA3" s="605"/>
      <c r="AB3" s="605"/>
      <c r="AC3" s="605"/>
      <c r="AD3" s="605"/>
      <c r="AE3" s="606">
        <v>46199</v>
      </c>
      <c r="AF3" s="606"/>
      <c r="AG3" s="606"/>
      <c r="AH3" s="606"/>
      <c r="AI3" s="606"/>
      <c r="AJ3" s="607">
        <v>46200</v>
      </c>
      <c r="AK3" s="608"/>
      <c r="AL3" s="608"/>
      <c r="AM3" s="608"/>
      <c r="AN3" s="609"/>
      <c r="AO3" s="606">
        <v>46201</v>
      </c>
      <c r="AP3" s="606"/>
      <c r="AQ3" s="606"/>
      <c r="AR3" s="606"/>
      <c r="AS3" s="606"/>
      <c r="AT3" s="607">
        <v>46202</v>
      </c>
      <c r="AU3" s="608"/>
      <c r="AV3" s="608"/>
      <c r="AW3" s="608"/>
      <c r="AX3" s="609"/>
    </row>
    <row r="4" spans="1:50" ht="14.25" customHeight="1">
      <c r="B4" s="597" t="s">
        <v>162</v>
      </c>
      <c r="C4" s="597" t="s">
        <v>157</v>
      </c>
      <c r="D4" s="597"/>
      <c r="E4" s="597" t="s">
        <v>158</v>
      </c>
      <c r="F4" s="597"/>
      <c r="G4" s="597"/>
      <c r="H4" s="597" t="s">
        <v>163</v>
      </c>
      <c r="I4" s="601" t="s">
        <v>364</v>
      </c>
      <c r="J4" s="601"/>
      <c r="K4" s="601"/>
      <c r="L4" s="601" t="s">
        <v>163</v>
      </c>
      <c r="M4" s="601" t="s">
        <v>165</v>
      </c>
      <c r="N4" s="597"/>
      <c r="O4" s="597" t="s">
        <v>164</v>
      </c>
      <c r="P4" s="597" t="s">
        <v>160</v>
      </c>
      <c r="Q4" s="597"/>
      <c r="R4" s="597"/>
      <c r="S4" s="597"/>
      <c r="T4" s="597" t="s">
        <v>163</v>
      </c>
      <c r="U4" s="597" t="s">
        <v>160</v>
      </c>
      <c r="V4" s="597"/>
      <c r="W4" s="597"/>
      <c r="X4" s="597"/>
      <c r="Y4" s="597" t="s">
        <v>163</v>
      </c>
      <c r="Z4" s="597" t="s">
        <v>160</v>
      </c>
      <c r="AA4" s="597"/>
      <c r="AB4" s="597"/>
      <c r="AC4" s="597"/>
      <c r="AD4" s="597" t="s">
        <v>163</v>
      </c>
      <c r="AE4" s="597" t="s">
        <v>160</v>
      </c>
      <c r="AF4" s="597"/>
      <c r="AG4" s="597"/>
      <c r="AH4" s="597"/>
      <c r="AI4" s="597" t="s">
        <v>163</v>
      </c>
      <c r="AJ4" s="597" t="s">
        <v>160</v>
      </c>
      <c r="AK4" s="597"/>
      <c r="AL4" s="597"/>
      <c r="AM4" s="597"/>
      <c r="AN4" s="597" t="s">
        <v>163</v>
      </c>
      <c r="AO4" s="597" t="s">
        <v>160</v>
      </c>
      <c r="AP4" s="597"/>
      <c r="AQ4" s="597"/>
      <c r="AR4" s="597"/>
      <c r="AS4" s="597" t="s">
        <v>163</v>
      </c>
      <c r="AT4" s="597" t="s">
        <v>160</v>
      </c>
      <c r="AU4" s="597"/>
      <c r="AV4" s="597"/>
      <c r="AW4" s="597"/>
      <c r="AX4" s="597" t="s">
        <v>163</v>
      </c>
    </row>
    <row r="5" spans="1:50" ht="14.25" customHeight="1">
      <c r="B5" s="597"/>
      <c r="C5" s="597"/>
      <c r="D5" s="597"/>
      <c r="E5" s="597" t="s">
        <v>365</v>
      </c>
      <c r="F5" s="597"/>
      <c r="G5" s="597"/>
      <c r="H5" s="597"/>
      <c r="I5" s="601" t="s">
        <v>365</v>
      </c>
      <c r="J5" s="601"/>
      <c r="K5" s="601"/>
      <c r="L5" s="601"/>
      <c r="M5" s="601"/>
      <c r="N5" s="597"/>
      <c r="O5" s="597"/>
      <c r="P5" s="597" t="s">
        <v>366</v>
      </c>
      <c r="Q5" s="597"/>
      <c r="R5" s="597"/>
      <c r="S5" s="597"/>
      <c r="T5" s="597"/>
      <c r="U5" s="597" t="s">
        <v>366</v>
      </c>
      <c r="V5" s="597"/>
      <c r="W5" s="597"/>
      <c r="X5" s="597"/>
      <c r="Y5" s="597"/>
      <c r="Z5" s="597" t="s">
        <v>366</v>
      </c>
      <c r="AA5" s="597"/>
      <c r="AB5" s="597"/>
      <c r="AC5" s="597"/>
      <c r="AD5" s="597"/>
      <c r="AE5" s="597" t="s">
        <v>366</v>
      </c>
      <c r="AF5" s="597"/>
      <c r="AG5" s="597"/>
      <c r="AH5" s="597"/>
      <c r="AI5" s="597"/>
      <c r="AJ5" s="597" t="s">
        <v>366</v>
      </c>
      <c r="AK5" s="597"/>
      <c r="AL5" s="597"/>
      <c r="AM5" s="597"/>
      <c r="AN5" s="597"/>
      <c r="AO5" s="597" t="s">
        <v>366</v>
      </c>
      <c r="AP5" s="597"/>
      <c r="AQ5" s="597"/>
      <c r="AR5" s="597"/>
      <c r="AS5" s="597"/>
      <c r="AT5" s="597" t="s">
        <v>366</v>
      </c>
      <c r="AU5" s="597"/>
      <c r="AV5" s="597"/>
      <c r="AW5" s="597"/>
      <c r="AX5" s="597"/>
    </row>
    <row r="6" spans="1:50" ht="14.25" customHeight="1">
      <c r="B6" s="597"/>
      <c r="C6" s="597"/>
      <c r="D6" s="597"/>
      <c r="E6" s="179" t="s">
        <v>159</v>
      </c>
      <c r="F6" s="179" t="s">
        <v>367</v>
      </c>
      <c r="G6" s="179" t="s">
        <v>161</v>
      </c>
      <c r="H6" s="597"/>
      <c r="I6" s="180" t="s">
        <v>159</v>
      </c>
      <c r="J6" s="180" t="s">
        <v>367</v>
      </c>
      <c r="K6" s="180" t="s">
        <v>161</v>
      </c>
      <c r="L6" s="601"/>
      <c r="M6" s="601"/>
      <c r="N6" s="597"/>
      <c r="O6" s="597"/>
      <c r="P6" s="179" t="s">
        <v>159</v>
      </c>
      <c r="Q6" s="179" t="s">
        <v>367</v>
      </c>
      <c r="R6" s="179" t="s">
        <v>161</v>
      </c>
      <c r="S6" s="181" t="s">
        <v>165</v>
      </c>
      <c r="T6" s="597"/>
      <c r="U6" s="179" t="s">
        <v>159</v>
      </c>
      <c r="V6" s="179" t="s">
        <v>367</v>
      </c>
      <c r="W6" s="179" t="s">
        <v>161</v>
      </c>
      <c r="X6" s="181" t="s">
        <v>165</v>
      </c>
      <c r="Y6" s="597"/>
      <c r="Z6" s="179" t="s">
        <v>159</v>
      </c>
      <c r="AA6" s="179" t="s">
        <v>367</v>
      </c>
      <c r="AB6" s="179" t="s">
        <v>161</v>
      </c>
      <c r="AC6" s="181" t="s">
        <v>165</v>
      </c>
      <c r="AD6" s="597"/>
      <c r="AE6" s="179" t="s">
        <v>159</v>
      </c>
      <c r="AF6" s="179" t="s">
        <v>367</v>
      </c>
      <c r="AG6" s="179" t="s">
        <v>161</v>
      </c>
      <c r="AH6" s="181" t="s">
        <v>165</v>
      </c>
      <c r="AI6" s="597"/>
      <c r="AJ6" s="179" t="s">
        <v>159</v>
      </c>
      <c r="AK6" s="179" t="s">
        <v>367</v>
      </c>
      <c r="AL6" s="179" t="s">
        <v>161</v>
      </c>
      <c r="AM6" s="181" t="s">
        <v>165</v>
      </c>
      <c r="AN6" s="597"/>
      <c r="AO6" s="179" t="s">
        <v>159</v>
      </c>
      <c r="AP6" s="179" t="s">
        <v>367</v>
      </c>
      <c r="AQ6" s="179" t="s">
        <v>161</v>
      </c>
      <c r="AR6" s="181" t="s">
        <v>165</v>
      </c>
      <c r="AS6" s="597"/>
      <c r="AT6" s="179" t="s">
        <v>159</v>
      </c>
      <c r="AU6" s="179" t="s">
        <v>367</v>
      </c>
      <c r="AV6" s="179" t="s">
        <v>161</v>
      </c>
      <c r="AW6" s="181" t="s">
        <v>165</v>
      </c>
      <c r="AX6" s="597"/>
    </row>
    <row r="7" spans="1:50" ht="14.25" customHeight="1">
      <c r="B7" s="597" t="s">
        <v>348</v>
      </c>
      <c r="C7" s="179">
        <v>1</v>
      </c>
      <c r="D7" s="182" t="s">
        <v>342</v>
      </c>
      <c r="E7" s="183">
        <v>24</v>
      </c>
      <c r="F7" s="179">
        <v>2000</v>
      </c>
      <c r="G7" s="184">
        <f>IFERROR(F7/E7,"")</f>
        <v>83.333333333333329</v>
      </c>
      <c r="H7" s="598">
        <f>AVERAGE(G7:G21)</f>
        <v>94.153055747258634</v>
      </c>
      <c r="I7" s="185">
        <f>AVERAGE(P7,U7,Z7,AE7,AJ7,AO7,AT7)</f>
        <v>24</v>
      </c>
      <c r="J7" s="185">
        <f>AVERAGE(Q7,V7,AA7,AF7,AK7,AP7,AU7)</f>
        <v>1791.7403014463873</v>
      </c>
      <c r="K7" s="186">
        <f>AVERAGE(R7,W7,AB7,AG7,AL7,AQ7,AV7)</f>
        <v>74.655845893599462</v>
      </c>
      <c r="L7" s="599">
        <f>IFERROR(AVERAGE(K7:K21),"-")</f>
        <v>85.751394400063603</v>
      </c>
      <c r="M7" s="185">
        <f>RANK(K7, K$7:$K$21)</f>
        <v>9</v>
      </c>
      <c r="N7" s="597"/>
      <c r="O7" s="597"/>
      <c r="P7" s="187">
        <v>24</v>
      </c>
      <c r="Q7" s="187">
        <v>1791.9403014463874</v>
      </c>
      <c r="R7" s="184">
        <f>IFERROR(Q7/P7,"")</f>
        <v>74.664179226932802</v>
      </c>
      <c r="S7" s="181">
        <f>RANK(R7, R$7:R$21)</f>
        <v>9</v>
      </c>
      <c r="T7" s="598">
        <f>AVERAGE(R7:R21)</f>
        <v>84.719637654739515</v>
      </c>
      <c r="U7" s="187">
        <v>24</v>
      </c>
      <c r="V7" s="187">
        <v>1792.5403014463873</v>
      </c>
      <c r="W7" s="184">
        <f t="shared" ref="W7:W15" si="0">IFERROR(V7/U7,"")</f>
        <v>74.689179226932808</v>
      </c>
      <c r="X7" s="181">
        <f>RANK(W7, W$7:W$21)</f>
        <v>8</v>
      </c>
      <c r="Y7" s="598">
        <f>AVERAGE(W7:W21)</f>
        <v>87.073084239881723</v>
      </c>
      <c r="Z7" s="187">
        <v>24</v>
      </c>
      <c r="AA7" s="187">
        <v>1792.1403014463872</v>
      </c>
      <c r="AB7" s="184">
        <f>IFERROR(AA7/Z7,"")</f>
        <v>74.672512560266128</v>
      </c>
      <c r="AC7" s="181">
        <f>RANK(AB7, AB$7:AB$21)</f>
        <v>8</v>
      </c>
      <c r="AD7" s="598">
        <f>AVERAGE(AB7:AB21)</f>
        <v>87.108379984614061</v>
      </c>
      <c r="AE7" s="187">
        <v>24</v>
      </c>
      <c r="AF7" s="187">
        <v>1791.5403014463873</v>
      </c>
      <c r="AG7" s="184">
        <f>IFERROR(AF7/AE7,"")</f>
        <v>74.647512560266136</v>
      </c>
      <c r="AH7" s="181">
        <f>RANK(AG7, AG$7:AG$21)</f>
        <v>8</v>
      </c>
      <c r="AI7" s="598">
        <f>AVERAGE(AG7:AG21)</f>
        <v>87.096325632465195</v>
      </c>
      <c r="AJ7" s="187">
        <v>24</v>
      </c>
      <c r="AK7" s="187">
        <v>1792.1403014463872</v>
      </c>
      <c r="AL7" s="184">
        <f>IFERROR(AK7/AJ7,"")</f>
        <v>74.672512560266128</v>
      </c>
      <c r="AM7" s="181">
        <f>RANK(AL7, AL$7:AL$21)</f>
        <v>8</v>
      </c>
      <c r="AN7" s="598">
        <f>AVERAGE(AL7:AL21)</f>
        <v>87.101805704928964</v>
      </c>
      <c r="AO7" s="187">
        <v>24</v>
      </c>
      <c r="AP7" s="187">
        <v>1791.3403014463872</v>
      </c>
      <c r="AQ7" s="184">
        <f>IFERROR(AP7/AO7,"")</f>
        <v>74.639179226932796</v>
      </c>
      <c r="AR7" s="181">
        <f>RANK(AQ7, AQ$7:AQ$21)</f>
        <v>8</v>
      </c>
      <c r="AS7" s="598">
        <f>AVERAGE(AQ7:AQ21)</f>
        <v>87.091419231499003</v>
      </c>
      <c r="AT7" s="187">
        <v>24</v>
      </c>
      <c r="AU7" s="187">
        <v>1790.5403014463873</v>
      </c>
      <c r="AV7" s="184">
        <f>IFERROR(AU7/AT7,"")</f>
        <v>74.605845893599465</v>
      </c>
      <c r="AW7" s="181">
        <f>RANK(AV7, AV$7:AV$21)</f>
        <v>8</v>
      </c>
      <c r="AX7" s="598">
        <f>AVERAGE(AV7:AV21)</f>
        <v>87.083568989953122</v>
      </c>
    </row>
    <row r="8" spans="1:50" ht="14.25" customHeight="1">
      <c r="B8" s="597"/>
      <c r="C8" s="179">
        <v>2</v>
      </c>
      <c r="D8" s="182" t="s">
        <v>341</v>
      </c>
      <c r="E8" s="179">
        <v>23</v>
      </c>
      <c r="F8" s="179">
        <v>2000</v>
      </c>
      <c r="G8" s="184">
        <f t="shared" ref="G8:G15" si="1">IFERROR(F8/E8,"")</f>
        <v>86.956521739130437</v>
      </c>
      <c r="H8" s="598"/>
      <c r="I8" s="185">
        <f>AVERAGE(P8,U8,Z8,AE8,AJ8,AO8,AT8)</f>
        <v>23</v>
      </c>
      <c r="J8" s="185">
        <f t="shared" ref="J8:K15" si="2">AVERAGE(Q8,V8,AA8,AF8,AK8,AP8,AU8)</f>
        <v>1790.0145229523434</v>
      </c>
      <c r="K8" s="186">
        <f t="shared" si="2"/>
        <v>77.826718389232312</v>
      </c>
      <c r="L8" s="599"/>
      <c r="M8" s="185">
        <f>RANK(K8, K$7:$K$21)</f>
        <v>7</v>
      </c>
      <c r="N8" s="597"/>
      <c r="O8" s="597"/>
      <c r="P8" s="187">
        <v>23</v>
      </c>
      <c r="Q8" s="187">
        <v>1790.4716658094867</v>
      </c>
      <c r="R8" s="184">
        <f t="shared" ref="R8:R15" si="3">IFERROR(Q8/P8,"")</f>
        <v>77.846594165629853</v>
      </c>
      <c r="S8" s="181">
        <f t="shared" ref="S8:S15" si="4">RANK(R8, R$7:R$21)</f>
        <v>7</v>
      </c>
      <c r="T8" s="598"/>
      <c r="U8" s="187">
        <v>23</v>
      </c>
      <c r="V8" s="187">
        <v>1789.8716658094866</v>
      </c>
      <c r="W8" s="184">
        <f t="shared" si="0"/>
        <v>77.820507209108115</v>
      </c>
      <c r="X8" s="181">
        <f t="shared" ref="X8:X15" si="5">RANK(W8, W$7:W$21)</f>
        <v>6</v>
      </c>
      <c r="Y8" s="598"/>
      <c r="Z8" s="187">
        <v>23</v>
      </c>
      <c r="AA8" s="187">
        <v>1790.0716658094864</v>
      </c>
      <c r="AB8" s="184">
        <f t="shared" ref="AB8:AB15" si="6">IFERROR(AA8/Z8,"")</f>
        <v>77.829202861282013</v>
      </c>
      <c r="AC8" s="181">
        <f t="shared" ref="AC8:AC15" si="7">RANK(AB8, AB$7:AB$21)</f>
        <v>7</v>
      </c>
      <c r="AD8" s="598"/>
      <c r="AE8" s="187">
        <v>23</v>
      </c>
      <c r="AF8" s="187">
        <v>1789.8716658094861</v>
      </c>
      <c r="AG8" s="184">
        <f t="shared" ref="AG8:AG15" si="8">IFERROR(AF8/AE8,"")</f>
        <v>77.820507209108086</v>
      </c>
      <c r="AH8" s="181">
        <f t="shared" ref="AH8:AH15" si="9">RANK(AG8, AG$7:AG$21)</f>
        <v>7</v>
      </c>
      <c r="AI8" s="598"/>
      <c r="AJ8" s="187">
        <v>23</v>
      </c>
      <c r="AK8" s="187">
        <v>1790.4716658094858</v>
      </c>
      <c r="AL8" s="184">
        <f t="shared" ref="AL8:AL15" si="10">IFERROR(AK8/AJ8,"")</f>
        <v>77.84659416562981</v>
      </c>
      <c r="AM8" s="181">
        <f t="shared" ref="AM8:AM15" si="11">RANK(AL8, AL$7:AL$21)</f>
        <v>7</v>
      </c>
      <c r="AN8" s="598"/>
      <c r="AO8" s="187">
        <v>23</v>
      </c>
      <c r="AP8" s="187">
        <v>1789.8716658094854</v>
      </c>
      <c r="AQ8" s="184">
        <f t="shared" ref="AQ8:AQ15" si="12">IFERROR(AP8/AO8,"")</f>
        <v>77.820507209108058</v>
      </c>
      <c r="AR8" s="181">
        <f t="shared" ref="AR8:AR15" si="13">RANK(AQ8, AQ$7:AQ$21)</f>
        <v>7</v>
      </c>
      <c r="AS8" s="598"/>
      <c r="AT8" s="187">
        <v>23</v>
      </c>
      <c r="AU8" s="187">
        <v>1789.4716658094853</v>
      </c>
      <c r="AV8" s="184">
        <f t="shared" ref="AV8:AV15" si="14">IFERROR(AU8/AT8,"")</f>
        <v>77.803115904760233</v>
      </c>
      <c r="AW8" s="181">
        <f t="shared" ref="AW8:AW15" si="15">RANK(AV8, AV$7:AV$21)</f>
        <v>7</v>
      </c>
      <c r="AX8" s="598"/>
    </row>
    <row r="9" spans="1:50" ht="14.25" customHeight="1">
      <c r="B9" s="597"/>
      <c r="C9" s="179">
        <v>3</v>
      </c>
      <c r="D9" s="182" t="s">
        <v>349</v>
      </c>
      <c r="E9" s="179">
        <v>23</v>
      </c>
      <c r="F9" s="179">
        <v>2000</v>
      </c>
      <c r="G9" s="184">
        <f t="shared" si="1"/>
        <v>86.956521739130437</v>
      </c>
      <c r="H9" s="598"/>
      <c r="I9" s="185">
        <f>AVERAGE(P9,U9,Z9,AE9,AJ9,AO9,AT9)</f>
        <v>23</v>
      </c>
      <c r="J9" s="185">
        <f t="shared" si="2"/>
        <v>1790.3607611406537</v>
      </c>
      <c r="K9" s="186">
        <f t="shared" si="2"/>
        <v>77.841772223506695</v>
      </c>
      <c r="L9" s="599"/>
      <c r="M9" s="185">
        <f>RANK(K9, K$7:$K$21)</f>
        <v>6</v>
      </c>
      <c r="N9" s="597"/>
      <c r="O9" s="597"/>
      <c r="P9" s="187">
        <v>23</v>
      </c>
      <c r="Q9" s="187">
        <v>1790.5607611406547</v>
      </c>
      <c r="R9" s="184">
        <f t="shared" si="3"/>
        <v>77.850467875680636</v>
      </c>
      <c r="S9" s="181">
        <f t="shared" si="4"/>
        <v>6</v>
      </c>
      <c r="T9" s="598"/>
      <c r="U9" s="187">
        <v>23</v>
      </c>
      <c r="V9" s="187">
        <v>1789.5607611406544</v>
      </c>
      <c r="W9" s="184">
        <f t="shared" si="0"/>
        <v>77.806989614811059</v>
      </c>
      <c r="X9" s="181">
        <f t="shared" si="5"/>
        <v>7</v>
      </c>
      <c r="Y9" s="598"/>
      <c r="Z9" s="187">
        <v>23</v>
      </c>
      <c r="AA9" s="187">
        <v>1790.3607611406537</v>
      </c>
      <c r="AB9" s="184">
        <f t="shared" si="6"/>
        <v>77.84177222350668</v>
      </c>
      <c r="AC9" s="181">
        <f t="shared" si="7"/>
        <v>6</v>
      </c>
      <c r="AD9" s="598"/>
      <c r="AE9" s="187">
        <v>23</v>
      </c>
      <c r="AF9" s="187">
        <v>1790.3607611406535</v>
      </c>
      <c r="AG9" s="184">
        <f t="shared" si="8"/>
        <v>77.84177222350668</v>
      </c>
      <c r="AH9" s="181">
        <f t="shared" si="9"/>
        <v>6</v>
      </c>
      <c r="AI9" s="598"/>
      <c r="AJ9" s="187">
        <v>23</v>
      </c>
      <c r="AK9" s="187">
        <v>1790.5607611406535</v>
      </c>
      <c r="AL9" s="184">
        <f t="shared" si="10"/>
        <v>77.850467875680593</v>
      </c>
      <c r="AM9" s="181">
        <f t="shared" si="11"/>
        <v>6</v>
      </c>
      <c r="AN9" s="598"/>
      <c r="AO9" s="187">
        <v>23</v>
      </c>
      <c r="AP9" s="187">
        <v>1790.3607611406533</v>
      </c>
      <c r="AQ9" s="184">
        <f t="shared" si="12"/>
        <v>77.841772223506666</v>
      </c>
      <c r="AR9" s="181">
        <f t="shared" si="13"/>
        <v>6</v>
      </c>
      <c r="AS9" s="598"/>
      <c r="AT9" s="187">
        <v>23</v>
      </c>
      <c r="AU9" s="187">
        <v>1790.7607611406534</v>
      </c>
      <c r="AV9" s="184">
        <f t="shared" si="14"/>
        <v>77.859163527854491</v>
      </c>
      <c r="AW9" s="181">
        <f t="shared" si="15"/>
        <v>6</v>
      </c>
      <c r="AX9" s="598"/>
    </row>
    <row r="10" spans="1:50" ht="14.25" customHeight="1">
      <c r="B10" s="597"/>
      <c r="C10" s="179">
        <v>4</v>
      </c>
      <c r="D10" s="182" t="s">
        <v>343</v>
      </c>
      <c r="E10" s="179">
        <v>23</v>
      </c>
      <c r="F10" s="179">
        <v>2000</v>
      </c>
      <c r="G10" s="184">
        <f t="shared" si="1"/>
        <v>86.956521739130437</v>
      </c>
      <c r="H10" s="598"/>
      <c r="I10" s="185">
        <f t="shared" ref="I10:I15" si="16">AVERAGE(P10,U10,Z10,AE10,AJ10,AO10,AT10)</f>
        <v>23</v>
      </c>
      <c r="J10" s="185">
        <f t="shared" si="2"/>
        <v>1793.8989699859656</v>
      </c>
      <c r="K10" s="186">
        <f t="shared" si="2"/>
        <v>77.995607390694175</v>
      </c>
      <c r="L10" s="599"/>
      <c r="M10" s="185">
        <f>RANK(K10, K$7:$K$21)</f>
        <v>5</v>
      </c>
      <c r="N10" s="597"/>
      <c r="O10" s="597"/>
      <c r="P10" s="187">
        <v>23</v>
      </c>
      <c r="Q10" s="187">
        <v>1793.8132557002516</v>
      </c>
      <c r="R10" s="184">
        <f t="shared" si="3"/>
        <v>77.991880682619637</v>
      </c>
      <c r="S10" s="181">
        <f t="shared" si="4"/>
        <v>5</v>
      </c>
      <c r="T10" s="598"/>
      <c r="U10" s="187">
        <v>23</v>
      </c>
      <c r="V10" s="187">
        <v>1794.4132557002513</v>
      </c>
      <c r="W10" s="184">
        <f t="shared" si="0"/>
        <v>78.017967639141361</v>
      </c>
      <c r="X10" s="181">
        <f t="shared" si="5"/>
        <v>5</v>
      </c>
      <c r="Y10" s="598"/>
      <c r="Z10" s="187">
        <v>23</v>
      </c>
      <c r="AA10" s="187">
        <v>1794.0132557002512</v>
      </c>
      <c r="AB10" s="184">
        <f t="shared" si="6"/>
        <v>78.000576334793536</v>
      </c>
      <c r="AC10" s="181">
        <f t="shared" si="7"/>
        <v>5</v>
      </c>
      <c r="AD10" s="598"/>
      <c r="AE10" s="187">
        <v>23</v>
      </c>
      <c r="AF10" s="187">
        <v>1793.6132557002516</v>
      </c>
      <c r="AG10" s="184">
        <f t="shared" si="8"/>
        <v>77.983185030445725</v>
      </c>
      <c r="AH10" s="181">
        <f t="shared" si="9"/>
        <v>5</v>
      </c>
      <c r="AI10" s="598"/>
      <c r="AJ10" s="187">
        <v>23</v>
      </c>
      <c r="AK10" s="187">
        <v>1794.0132557002512</v>
      </c>
      <c r="AL10" s="184">
        <f t="shared" si="10"/>
        <v>78.000576334793536</v>
      </c>
      <c r="AM10" s="181">
        <f t="shared" si="11"/>
        <v>5</v>
      </c>
      <c r="AN10" s="598"/>
      <c r="AO10" s="187">
        <v>23</v>
      </c>
      <c r="AP10" s="187">
        <v>1793.4132557002515</v>
      </c>
      <c r="AQ10" s="184">
        <f t="shared" si="12"/>
        <v>77.974489378271798</v>
      </c>
      <c r="AR10" s="181">
        <f t="shared" si="13"/>
        <v>5</v>
      </c>
      <c r="AS10" s="598"/>
      <c r="AT10" s="187">
        <v>23</v>
      </c>
      <c r="AU10" s="187">
        <v>1794.0132557002512</v>
      </c>
      <c r="AV10" s="184">
        <f t="shared" si="14"/>
        <v>78.000576334793536</v>
      </c>
      <c r="AW10" s="181">
        <f t="shared" si="15"/>
        <v>5</v>
      </c>
      <c r="AX10" s="598"/>
    </row>
    <row r="11" spans="1:50" ht="14.25" customHeight="1">
      <c r="B11" s="597"/>
      <c r="C11" s="179">
        <v>5</v>
      </c>
      <c r="D11" s="182" t="s">
        <v>472</v>
      </c>
      <c r="E11" s="179">
        <v>21</v>
      </c>
      <c r="F11" s="179">
        <v>1800</v>
      </c>
      <c r="G11" s="184">
        <f t="shared" si="1"/>
        <v>85.714285714285708</v>
      </c>
      <c r="H11" s="598"/>
      <c r="I11" s="185">
        <f t="shared" si="16"/>
        <v>21</v>
      </c>
      <c r="J11" s="185">
        <f t="shared" si="2"/>
        <v>1607.9855331561539</v>
      </c>
      <c r="K11" s="186">
        <f t="shared" si="2"/>
        <v>76.570739674102569</v>
      </c>
      <c r="L11" s="599"/>
      <c r="M11" s="185">
        <f>RANK(K11, K$7:$K$21)</f>
        <v>8</v>
      </c>
      <c r="N11" s="597"/>
      <c r="O11" s="597"/>
      <c r="P11" s="187">
        <v>21</v>
      </c>
      <c r="Q11" s="187">
        <v>1607.9855331561539</v>
      </c>
      <c r="R11" s="184">
        <f t="shared" si="3"/>
        <v>76.570739674102569</v>
      </c>
      <c r="S11" s="181">
        <f t="shared" si="4"/>
        <v>8</v>
      </c>
      <c r="T11" s="598"/>
      <c r="U11" s="187"/>
      <c r="V11" s="187"/>
      <c r="W11" s="184"/>
      <c r="X11" s="181"/>
      <c r="Y11" s="598"/>
      <c r="Z11" s="187"/>
      <c r="AA11" s="187"/>
      <c r="AB11" s="184"/>
      <c r="AC11" s="181"/>
      <c r="AD11" s="598"/>
      <c r="AE11" s="187"/>
      <c r="AF11" s="187"/>
      <c r="AG11" s="184"/>
      <c r="AH11" s="181"/>
      <c r="AI11" s="598"/>
      <c r="AJ11" s="187"/>
      <c r="AK11" s="187"/>
      <c r="AL11" s="184"/>
      <c r="AM11" s="181"/>
      <c r="AN11" s="598"/>
      <c r="AO11" s="187"/>
      <c r="AP11" s="187"/>
      <c r="AQ11" s="184"/>
      <c r="AR11" s="181"/>
      <c r="AS11" s="598"/>
      <c r="AT11" s="187"/>
      <c r="AU11" s="187"/>
      <c r="AV11" s="184"/>
      <c r="AW11" s="181"/>
      <c r="AX11" s="598"/>
    </row>
    <row r="12" spans="1:50" ht="14.25" customHeight="1">
      <c r="B12" s="597"/>
      <c r="C12" s="179">
        <v>6</v>
      </c>
      <c r="D12" s="182" t="s">
        <v>473</v>
      </c>
      <c r="E12" s="179">
        <v>20</v>
      </c>
      <c r="F12" s="179">
        <v>2000</v>
      </c>
      <c r="G12" s="184">
        <f t="shared" si="1"/>
        <v>100</v>
      </c>
      <c r="H12" s="598"/>
      <c r="I12" s="185">
        <f t="shared" si="16"/>
        <v>19.142857142857142</v>
      </c>
      <c r="J12" s="185">
        <f t="shared" si="2"/>
        <v>1789.247873556604</v>
      </c>
      <c r="K12" s="186">
        <f t="shared" si="2"/>
        <v>93.499162067935472</v>
      </c>
      <c r="L12" s="599"/>
      <c r="M12" s="185">
        <f>RANK(K12, K$7:$K$21)</f>
        <v>3</v>
      </c>
      <c r="N12" s="597"/>
      <c r="O12" s="597"/>
      <c r="P12" s="187">
        <v>20</v>
      </c>
      <c r="Q12" s="187">
        <v>1786.9311972162011</v>
      </c>
      <c r="R12" s="184">
        <f t="shared" si="3"/>
        <v>89.346559860810061</v>
      </c>
      <c r="S12" s="181">
        <f t="shared" si="4"/>
        <v>4</v>
      </c>
      <c r="T12" s="598"/>
      <c r="U12" s="187">
        <v>19</v>
      </c>
      <c r="V12" s="187">
        <v>1786.7311972162013</v>
      </c>
      <c r="W12" s="184">
        <f t="shared" si="0"/>
        <v>94.038484064010589</v>
      </c>
      <c r="X12" s="181">
        <f t="shared" si="5"/>
        <v>3</v>
      </c>
      <c r="Y12" s="598"/>
      <c r="Z12" s="187">
        <v>19</v>
      </c>
      <c r="AA12" s="187">
        <v>1791.0727204638251</v>
      </c>
      <c r="AB12" s="184">
        <f t="shared" si="6"/>
        <v>94.266985287569739</v>
      </c>
      <c r="AC12" s="181">
        <f t="shared" si="7"/>
        <v>3</v>
      </c>
      <c r="AD12" s="598"/>
      <c r="AE12" s="187">
        <v>19</v>
      </c>
      <c r="AF12" s="187">
        <v>1790</v>
      </c>
      <c r="AG12" s="184">
        <f t="shared" si="8"/>
        <v>94.21052631578948</v>
      </c>
      <c r="AH12" s="181">
        <f t="shared" si="9"/>
        <v>3</v>
      </c>
      <c r="AI12" s="598"/>
      <c r="AJ12" s="187">
        <v>19</v>
      </c>
      <c r="AK12" s="187">
        <v>1790.0000000000002</v>
      </c>
      <c r="AL12" s="184">
        <f t="shared" si="10"/>
        <v>94.21052631578948</v>
      </c>
      <c r="AM12" s="181">
        <f t="shared" si="11"/>
        <v>3</v>
      </c>
      <c r="AN12" s="598"/>
      <c r="AO12" s="187">
        <v>19</v>
      </c>
      <c r="AP12" s="187">
        <v>1790.0000000000002</v>
      </c>
      <c r="AQ12" s="184">
        <f t="shared" si="12"/>
        <v>94.21052631578948</v>
      </c>
      <c r="AR12" s="181">
        <f t="shared" si="13"/>
        <v>3</v>
      </c>
      <c r="AS12" s="598"/>
      <c r="AT12" s="187">
        <v>19</v>
      </c>
      <c r="AU12" s="187">
        <v>1790.0000000000002</v>
      </c>
      <c r="AV12" s="184">
        <f t="shared" si="14"/>
        <v>94.21052631578948</v>
      </c>
      <c r="AW12" s="181">
        <f t="shared" si="15"/>
        <v>3</v>
      </c>
      <c r="AX12" s="598"/>
    </row>
    <row r="13" spans="1:50" ht="14.25" customHeight="1">
      <c r="B13" s="597"/>
      <c r="C13" s="179">
        <v>7</v>
      </c>
      <c r="D13" s="182" t="s">
        <v>566</v>
      </c>
      <c r="E13" s="179">
        <v>18</v>
      </c>
      <c r="F13" s="179">
        <v>2000</v>
      </c>
      <c r="G13" s="184">
        <f t="shared" si="1"/>
        <v>111.11111111111111</v>
      </c>
      <c r="H13" s="598"/>
      <c r="I13" s="185">
        <f t="shared" si="16"/>
        <v>17.142857142857142</v>
      </c>
      <c r="J13" s="185">
        <f t="shared" si="2"/>
        <v>1789.6285714285714</v>
      </c>
      <c r="K13" s="186">
        <f t="shared" si="2"/>
        <v>104.43781512605041</v>
      </c>
      <c r="L13" s="599"/>
      <c r="M13" s="185">
        <f>RANK(K13, K$7:$K$21)</f>
        <v>1</v>
      </c>
      <c r="N13" s="597"/>
      <c r="O13" s="597"/>
      <c r="P13" s="187">
        <v>18</v>
      </c>
      <c r="Q13" s="187">
        <v>1787.3999999999999</v>
      </c>
      <c r="R13" s="184">
        <f t="shared" si="3"/>
        <v>99.3</v>
      </c>
      <c r="S13" s="181">
        <f t="shared" si="4"/>
        <v>2</v>
      </c>
      <c r="T13" s="598"/>
      <c r="U13" s="187">
        <v>17</v>
      </c>
      <c r="V13" s="187">
        <v>1789.9999999999998</v>
      </c>
      <c r="W13" s="184">
        <f t="shared" si="0"/>
        <v>105.29411764705881</v>
      </c>
      <c r="X13" s="181">
        <f t="shared" si="5"/>
        <v>1</v>
      </c>
      <c r="Y13" s="598"/>
      <c r="Z13" s="187">
        <v>17</v>
      </c>
      <c r="AA13" s="187">
        <v>1790.0000000000002</v>
      </c>
      <c r="AB13" s="184">
        <f t="shared" si="6"/>
        <v>105.29411764705884</v>
      </c>
      <c r="AC13" s="181">
        <f t="shared" si="7"/>
        <v>1</v>
      </c>
      <c r="AD13" s="598"/>
      <c r="AE13" s="187">
        <v>17</v>
      </c>
      <c r="AF13" s="187">
        <v>1790</v>
      </c>
      <c r="AG13" s="184">
        <f t="shared" si="8"/>
        <v>105.29411764705883</v>
      </c>
      <c r="AH13" s="181">
        <f t="shared" si="9"/>
        <v>1</v>
      </c>
      <c r="AI13" s="598"/>
      <c r="AJ13" s="187">
        <v>17</v>
      </c>
      <c r="AK13" s="187">
        <v>1790</v>
      </c>
      <c r="AL13" s="184">
        <f t="shared" si="10"/>
        <v>105.29411764705883</v>
      </c>
      <c r="AM13" s="181">
        <f t="shared" si="11"/>
        <v>1</v>
      </c>
      <c r="AN13" s="598"/>
      <c r="AO13" s="187">
        <v>17</v>
      </c>
      <c r="AP13" s="187">
        <v>1790.0000000000002</v>
      </c>
      <c r="AQ13" s="184">
        <f t="shared" si="12"/>
        <v>105.29411764705884</v>
      </c>
      <c r="AR13" s="181">
        <f t="shared" si="13"/>
        <v>1</v>
      </c>
      <c r="AS13" s="598"/>
      <c r="AT13" s="187">
        <v>17</v>
      </c>
      <c r="AU13" s="187">
        <v>1790.0000000000002</v>
      </c>
      <c r="AV13" s="184">
        <f t="shared" si="14"/>
        <v>105.29411764705884</v>
      </c>
      <c r="AW13" s="181">
        <f t="shared" si="15"/>
        <v>1</v>
      </c>
      <c r="AX13" s="598"/>
    </row>
    <row r="14" spans="1:50" ht="14.25" customHeight="1">
      <c r="B14" s="597"/>
      <c r="C14" s="179">
        <v>8</v>
      </c>
      <c r="D14" s="182" t="s">
        <v>649</v>
      </c>
      <c r="E14" s="179">
        <v>18</v>
      </c>
      <c r="F14" s="179">
        <v>2000</v>
      </c>
      <c r="G14" s="184">
        <f t="shared" si="1"/>
        <v>111.11111111111111</v>
      </c>
      <c r="H14" s="598"/>
      <c r="I14" s="185">
        <f t="shared" si="16"/>
        <v>18</v>
      </c>
      <c r="J14" s="185">
        <f t="shared" si="2"/>
        <v>1789.8279990381252</v>
      </c>
      <c r="K14" s="186">
        <f t="shared" si="2"/>
        <v>99.434888835451403</v>
      </c>
      <c r="L14" s="599"/>
      <c r="M14" s="185">
        <f>RANK(K14, K$7:$K$21)</f>
        <v>2</v>
      </c>
      <c r="N14" s="597"/>
      <c r="O14" s="597"/>
      <c r="P14" s="187">
        <v>18</v>
      </c>
      <c r="Q14" s="187">
        <v>1789.3137133238399</v>
      </c>
      <c r="R14" s="184">
        <f t="shared" si="3"/>
        <v>99.406317406879992</v>
      </c>
      <c r="S14" s="181">
        <f t="shared" si="4"/>
        <v>1</v>
      </c>
      <c r="T14" s="598"/>
      <c r="U14" s="187">
        <v>18</v>
      </c>
      <c r="V14" s="187">
        <v>1789.51371332384</v>
      </c>
      <c r="W14" s="184">
        <f t="shared" si="0"/>
        <v>99.417428517991112</v>
      </c>
      <c r="X14" s="181">
        <f t="shared" si="5"/>
        <v>2</v>
      </c>
      <c r="Y14" s="598"/>
      <c r="Z14" s="187">
        <v>18</v>
      </c>
      <c r="AA14" s="187">
        <v>1790.3137133238399</v>
      </c>
      <c r="AB14" s="184">
        <f t="shared" si="6"/>
        <v>99.46187296243555</v>
      </c>
      <c r="AC14" s="181">
        <f t="shared" si="7"/>
        <v>2</v>
      </c>
      <c r="AD14" s="598"/>
      <c r="AE14" s="187">
        <v>18</v>
      </c>
      <c r="AF14" s="187">
        <v>1790.5137133238397</v>
      </c>
      <c r="AG14" s="184">
        <f t="shared" si="8"/>
        <v>99.472984073546655</v>
      </c>
      <c r="AH14" s="181">
        <f t="shared" si="9"/>
        <v>2</v>
      </c>
      <c r="AI14" s="598"/>
      <c r="AJ14" s="187">
        <v>18</v>
      </c>
      <c r="AK14" s="187">
        <v>1789.9137133238398</v>
      </c>
      <c r="AL14" s="184">
        <f t="shared" si="10"/>
        <v>99.439650740213324</v>
      </c>
      <c r="AM14" s="181">
        <f t="shared" si="11"/>
        <v>2</v>
      </c>
      <c r="AN14" s="598"/>
      <c r="AO14" s="187">
        <v>18</v>
      </c>
      <c r="AP14" s="187">
        <v>1790.1137133238396</v>
      </c>
      <c r="AQ14" s="184">
        <f t="shared" si="12"/>
        <v>99.45076185132443</v>
      </c>
      <c r="AR14" s="181">
        <f t="shared" si="13"/>
        <v>2</v>
      </c>
      <c r="AS14" s="598"/>
      <c r="AT14" s="187">
        <v>18</v>
      </c>
      <c r="AU14" s="187">
        <v>1789.1137133238396</v>
      </c>
      <c r="AV14" s="184">
        <f t="shared" si="14"/>
        <v>99.395206295768872</v>
      </c>
      <c r="AW14" s="181">
        <f t="shared" si="15"/>
        <v>2</v>
      </c>
      <c r="AX14" s="598"/>
    </row>
    <row r="15" spans="1:50" ht="14.25" customHeight="1">
      <c r="B15" s="597"/>
      <c r="C15" s="179">
        <v>9</v>
      </c>
      <c r="D15" s="182" t="s">
        <v>664</v>
      </c>
      <c r="E15" s="179">
        <v>21</v>
      </c>
      <c r="F15" s="179">
        <v>2000</v>
      </c>
      <c r="G15" s="184">
        <f t="shared" si="1"/>
        <v>95.238095238095241</v>
      </c>
      <c r="H15" s="598"/>
      <c r="I15" s="185">
        <f t="shared" si="16"/>
        <v>20</v>
      </c>
      <c r="J15" s="185">
        <f t="shared" si="2"/>
        <v>1790</v>
      </c>
      <c r="K15" s="186">
        <f t="shared" si="2"/>
        <v>89.5</v>
      </c>
      <c r="L15" s="599"/>
      <c r="M15" s="185">
        <f>RANK(K15, K$7:$K$21)</f>
        <v>4</v>
      </c>
      <c r="N15" s="597"/>
      <c r="O15" s="597"/>
      <c r="P15" s="187">
        <v>20</v>
      </c>
      <c r="Q15" s="187">
        <v>1790</v>
      </c>
      <c r="R15" s="184">
        <f t="shared" si="3"/>
        <v>89.5</v>
      </c>
      <c r="S15" s="181">
        <f t="shared" si="4"/>
        <v>3</v>
      </c>
      <c r="T15" s="598"/>
      <c r="U15" s="187">
        <v>20</v>
      </c>
      <c r="V15" s="187">
        <v>1790</v>
      </c>
      <c r="W15" s="184">
        <f t="shared" si="0"/>
        <v>89.5</v>
      </c>
      <c r="X15" s="181">
        <f t="shared" si="5"/>
        <v>4</v>
      </c>
      <c r="Y15" s="598"/>
      <c r="Z15" s="187">
        <v>20</v>
      </c>
      <c r="AA15" s="187">
        <v>1790.0000000000002</v>
      </c>
      <c r="AB15" s="184">
        <f t="shared" si="6"/>
        <v>89.500000000000014</v>
      </c>
      <c r="AC15" s="181">
        <f t="shared" si="7"/>
        <v>4</v>
      </c>
      <c r="AD15" s="598"/>
      <c r="AE15" s="187">
        <v>20</v>
      </c>
      <c r="AF15" s="187">
        <v>1790.0000000000002</v>
      </c>
      <c r="AG15" s="184">
        <f t="shared" si="8"/>
        <v>89.500000000000014</v>
      </c>
      <c r="AH15" s="181">
        <f t="shared" si="9"/>
        <v>4</v>
      </c>
      <c r="AI15" s="598"/>
      <c r="AJ15" s="187">
        <v>20</v>
      </c>
      <c r="AK15" s="187">
        <v>1790</v>
      </c>
      <c r="AL15" s="184">
        <f t="shared" si="10"/>
        <v>89.5</v>
      </c>
      <c r="AM15" s="181">
        <f t="shared" si="11"/>
        <v>4</v>
      </c>
      <c r="AN15" s="598"/>
      <c r="AO15" s="187">
        <v>20</v>
      </c>
      <c r="AP15" s="187">
        <v>1790</v>
      </c>
      <c r="AQ15" s="184">
        <f t="shared" si="12"/>
        <v>89.5</v>
      </c>
      <c r="AR15" s="181">
        <f t="shared" si="13"/>
        <v>4</v>
      </c>
      <c r="AS15" s="598"/>
      <c r="AT15" s="187">
        <v>20</v>
      </c>
      <c r="AU15" s="187">
        <v>1790</v>
      </c>
      <c r="AV15" s="184">
        <f t="shared" si="14"/>
        <v>89.5</v>
      </c>
      <c r="AW15" s="181">
        <f t="shared" si="15"/>
        <v>4</v>
      </c>
      <c r="AX15" s="598"/>
    </row>
    <row r="16" spans="1:50" ht="14.25" customHeight="1">
      <c r="B16" s="597"/>
      <c r="C16" s="179">
        <v>10</v>
      </c>
      <c r="D16" s="182"/>
      <c r="E16" s="179"/>
      <c r="F16" s="179"/>
      <c r="G16" s="184"/>
      <c r="H16" s="598"/>
      <c r="I16" s="185"/>
      <c r="J16" s="185"/>
      <c r="K16" s="186"/>
      <c r="L16" s="599"/>
      <c r="M16" s="185"/>
      <c r="N16" s="597"/>
      <c r="O16" s="597"/>
      <c r="P16" s="187"/>
      <c r="Q16" s="187"/>
      <c r="R16" s="184"/>
      <c r="S16" s="181"/>
      <c r="T16" s="598"/>
      <c r="U16" s="187"/>
      <c r="V16" s="187"/>
      <c r="W16" s="184"/>
      <c r="X16" s="181"/>
      <c r="Y16" s="598"/>
      <c r="Z16" s="187"/>
      <c r="AA16" s="187"/>
      <c r="AB16" s="184"/>
      <c r="AC16" s="181"/>
      <c r="AD16" s="598"/>
      <c r="AE16" s="187"/>
      <c r="AF16" s="187"/>
      <c r="AG16" s="184"/>
      <c r="AH16" s="181"/>
      <c r="AI16" s="598"/>
      <c r="AJ16" s="187"/>
      <c r="AK16" s="187"/>
      <c r="AL16" s="184"/>
      <c r="AM16" s="181"/>
      <c r="AN16" s="598"/>
      <c r="AO16" s="187"/>
      <c r="AP16" s="187"/>
      <c r="AQ16" s="184"/>
      <c r="AR16" s="181"/>
      <c r="AS16" s="598"/>
      <c r="AT16" s="187"/>
      <c r="AU16" s="187"/>
      <c r="AV16" s="184"/>
      <c r="AW16" s="181"/>
      <c r="AX16" s="598"/>
    </row>
    <row r="17" spans="2:50" ht="14.25" customHeight="1">
      <c r="B17" s="597"/>
      <c r="C17" s="179">
        <v>11</v>
      </c>
      <c r="D17" s="182"/>
      <c r="E17" s="179"/>
      <c r="F17" s="179"/>
      <c r="G17" s="184"/>
      <c r="H17" s="598"/>
      <c r="I17" s="185"/>
      <c r="J17" s="185"/>
      <c r="K17" s="186"/>
      <c r="L17" s="599"/>
      <c r="M17" s="185"/>
      <c r="N17" s="597"/>
      <c r="O17" s="597"/>
      <c r="P17" s="187"/>
      <c r="Q17" s="187"/>
      <c r="R17" s="184"/>
      <c r="S17" s="181"/>
      <c r="T17" s="598"/>
      <c r="U17" s="187"/>
      <c r="V17" s="187"/>
      <c r="W17" s="184"/>
      <c r="X17" s="181"/>
      <c r="Y17" s="598"/>
      <c r="Z17" s="187"/>
      <c r="AA17" s="187"/>
      <c r="AB17" s="184"/>
      <c r="AC17" s="181"/>
      <c r="AD17" s="598"/>
      <c r="AE17" s="187"/>
      <c r="AF17" s="187"/>
      <c r="AG17" s="184"/>
      <c r="AH17" s="181"/>
      <c r="AI17" s="598"/>
      <c r="AJ17" s="187"/>
      <c r="AK17" s="187"/>
      <c r="AL17" s="184"/>
      <c r="AM17" s="181"/>
      <c r="AN17" s="598"/>
      <c r="AO17" s="187"/>
      <c r="AP17" s="187"/>
      <c r="AQ17" s="184"/>
      <c r="AR17" s="181"/>
      <c r="AS17" s="598"/>
      <c r="AT17" s="187"/>
      <c r="AU17" s="187"/>
      <c r="AV17" s="184"/>
      <c r="AW17" s="181"/>
      <c r="AX17" s="598"/>
    </row>
    <row r="18" spans="2:50" ht="14.25" customHeight="1">
      <c r="B18" s="597"/>
      <c r="C18" s="179">
        <v>12</v>
      </c>
      <c r="D18" s="182"/>
      <c r="E18" s="179"/>
      <c r="F18" s="179"/>
      <c r="G18" s="184"/>
      <c r="H18" s="598"/>
      <c r="I18" s="185"/>
      <c r="J18" s="185"/>
      <c r="K18" s="186"/>
      <c r="L18" s="599"/>
      <c r="M18" s="185"/>
      <c r="N18" s="597"/>
      <c r="O18" s="597"/>
      <c r="P18" s="187"/>
      <c r="Q18" s="187"/>
      <c r="R18" s="184"/>
      <c r="S18" s="181"/>
      <c r="T18" s="598"/>
      <c r="U18" s="187"/>
      <c r="V18" s="187"/>
      <c r="W18" s="184"/>
      <c r="X18" s="181"/>
      <c r="Y18" s="598"/>
      <c r="Z18" s="187"/>
      <c r="AA18" s="187"/>
      <c r="AB18" s="184"/>
      <c r="AC18" s="181"/>
      <c r="AD18" s="598"/>
      <c r="AE18" s="187"/>
      <c r="AF18" s="187"/>
      <c r="AG18" s="184"/>
      <c r="AH18" s="181"/>
      <c r="AI18" s="598"/>
      <c r="AJ18" s="187"/>
      <c r="AK18" s="187"/>
      <c r="AL18" s="184"/>
      <c r="AM18" s="181"/>
      <c r="AN18" s="598"/>
      <c r="AO18" s="187"/>
      <c r="AP18" s="187"/>
      <c r="AQ18" s="184"/>
      <c r="AR18" s="181"/>
      <c r="AS18" s="598"/>
      <c r="AT18" s="187"/>
      <c r="AU18" s="187"/>
      <c r="AV18" s="184"/>
      <c r="AW18" s="181"/>
      <c r="AX18" s="598"/>
    </row>
    <row r="19" spans="2:50" ht="14.25" customHeight="1">
      <c r="B19" s="597"/>
      <c r="C19" s="179">
        <v>13</v>
      </c>
      <c r="D19" s="182"/>
      <c r="E19" s="179"/>
      <c r="F19" s="179"/>
      <c r="G19" s="184"/>
      <c r="H19" s="598"/>
      <c r="I19" s="185"/>
      <c r="J19" s="185"/>
      <c r="K19" s="186"/>
      <c r="L19" s="599"/>
      <c r="M19" s="185"/>
      <c r="N19" s="597"/>
      <c r="O19" s="597"/>
      <c r="P19" s="187"/>
      <c r="Q19" s="187"/>
      <c r="R19" s="184"/>
      <c r="S19" s="181"/>
      <c r="T19" s="598"/>
      <c r="U19" s="187"/>
      <c r="V19" s="187"/>
      <c r="W19" s="184"/>
      <c r="X19" s="181"/>
      <c r="Y19" s="598"/>
      <c r="Z19" s="187"/>
      <c r="AA19" s="187"/>
      <c r="AB19" s="184"/>
      <c r="AC19" s="181"/>
      <c r="AD19" s="598"/>
      <c r="AE19" s="187"/>
      <c r="AF19" s="187"/>
      <c r="AG19" s="184"/>
      <c r="AH19" s="181"/>
      <c r="AI19" s="598"/>
      <c r="AJ19" s="187"/>
      <c r="AK19" s="187"/>
      <c r="AL19" s="184"/>
      <c r="AM19" s="181"/>
      <c r="AN19" s="598"/>
      <c r="AO19" s="187"/>
      <c r="AP19" s="187"/>
      <c r="AQ19" s="184"/>
      <c r="AR19" s="181"/>
      <c r="AS19" s="598"/>
      <c r="AT19" s="187"/>
      <c r="AU19" s="187"/>
      <c r="AV19" s="184"/>
      <c r="AW19" s="181"/>
      <c r="AX19" s="598"/>
    </row>
    <row r="20" spans="2:50" ht="14.25" customHeight="1">
      <c r="B20" s="597"/>
      <c r="C20" s="179">
        <v>14</v>
      </c>
      <c r="D20" s="182"/>
      <c r="E20" s="179"/>
      <c r="F20" s="179"/>
      <c r="G20" s="184"/>
      <c r="H20" s="598"/>
      <c r="I20" s="185"/>
      <c r="J20" s="185"/>
      <c r="K20" s="186"/>
      <c r="L20" s="599"/>
      <c r="M20" s="185"/>
      <c r="N20" s="597"/>
      <c r="O20" s="597"/>
      <c r="P20" s="187"/>
      <c r="Q20" s="187"/>
      <c r="R20" s="184"/>
      <c r="S20" s="181"/>
      <c r="T20" s="598"/>
      <c r="U20" s="187"/>
      <c r="V20" s="187"/>
      <c r="W20" s="184"/>
      <c r="X20" s="181"/>
      <c r="Y20" s="598"/>
      <c r="Z20" s="187"/>
      <c r="AA20" s="187"/>
      <c r="AB20" s="184"/>
      <c r="AC20" s="181"/>
      <c r="AD20" s="598"/>
      <c r="AE20" s="187"/>
      <c r="AF20" s="187"/>
      <c r="AG20" s="184"/>
      <c r="AH20" s="181"/>
      <c r="AI20" s="598"/>
      <c r="AJ20" s="187"/>
      <c r="AK20" s="187"/>
      <c r="AL20" s="184"/>
      <c r="AM20" s="181"/>
      <c r="AN20" s="598"/>
      <c r="AO20" s="187"/>
      <c r="AP20" s="187"/>
      <c r="AQ20" s="184"/>
      <c r="AR20" s="181"/>
      <c r="AS20" s="598"/>
      <c r="AT20" s="187"/>
      <c r="AU20" s="187"/>
      <c r="AV20" s="184"/>
      <c r="AW20" s="181"/>
      <c r="AX20" s="598"/>
    </row>
    <row r="21" spans="2:50" ht="14.25" customHeight="1">
      <c r="B21" s="597"/>
      <c r="C21" s="179">
        <v>15</v>
      </c>
      <c r="D21" s="182"/>
      <c r="E21" s="179"/>
      <c r="F21" s="179"/>
      <c r="G21" s="184"/>
      <c r="H21" s="598"/>
      <c r="I21" s="185"/>
      <c r="J21" s="185"/>
      <c r="K21" s="186"/>
      <c r="L21" s="599"/>
      <c r="M21" s="185"/>
      <c r="N21" s="597"/>
      <c r="O21" s="597"/>
      <c r="P21" s="187"/>
      <c r="Q21" s="187"/>
      <c r="R21" s="184"/>
      <c r="S21" s="181"/>
      <c r="T21" s="598"/>
      <c r="U21" s="187"/>
      <c r="V21" s="187"/>
      <c r="W21" s="184"/>
      <c r="X21" s="181"/>
      <c r="Y21" s="598"/>
      <c r="Z21" s="187"/>
      <c r="AA21" s="187"/>
      <c r="AB21" s="184"/>
      <c r="AC21" s="181"/>
      <c r="AD21" s="598"/>
      <c r="AE21" s="187"/>
      <c r="AF21" s="187"/>
      <c r="AG21" s="184"/>
      <c r="AH21" s="181"/>
      <c r="AI21" s="598"/>
      <c r="AJ21" s="187"/>
      <c r="AK21" s="187"/>
      <c r="AL21" s="184"/>
      <c r="AM21" s="181"/>
      <c r="AN21" s="598"/>
      <c r="AO21" s="187"/>
      <c r="AP21" s="187"/>
      <c r="AQ21" s="184"/>
      <c r="AR21" s="181"/>
      <c r="AS21" s="598"/>
      <c r="AT21" s="187"/>
      <c r="AU21" s="187"/>
      <c r="AV21" s="184"/>
      <c r="AW21" s="181"/>
      <c r="AX21" s="598"/>
    </row>
    <row r="22" spans="2:50" ht="14.25" customHeight="1">
      <c r="B22" s="625" t="s">
        <v>773</v>
      </c>
      <c r="C22" s="631"/>
      <c r="D22" s="631"/>
      <c r="E22" s="631"/>
      <c r="F22" s="631"/>
      <c r="G22" s="631"/>
      <c r="H22" s="631"/>
      <c r="I22" s="631"/>
      <c r="J22" s="631"/>
      <c r="K22" s="631"/>
      <c r="L22" s="631"/>
      <c r="M22" s="632"/>
      <c r="N22" s="629" t="s">
        <v>363</v>
      </c>
      <c r="O22" s="629" t="s">
        <v>105</v>
      </c>
      <c r="P22" s="617">
        <v>46210</v>
      </c>
      <c r="Q22" s="618"/>
      <c r="R22" s="618"/>
      <c r="S22" s="618"/>
      <c r="T22" s="618"/>
      <c r="U22" s="619">
        <v>46211</v>
      </c>
      <c r="V22" s="620"/>
      <c r="W22" s="620"/>
      <c r="X22" s="620"/>
      <c r="Y22" s="620"/>
      <c r="Z22" s="617">
        <v>46212</v>
      </c>
      <c r="AA22" s="618"/>
      <c r="AB22" s="618"/>
      <c r="AC22" s="618"/>
      <c r="AD22" s="618"/>
      <c r="AE22" s="619">
        <v>46213</v>
      </c>
      <c r="AF22" s="620"/>
      <c r="AG22" s="620"/>
      <c r="AH22" s="620"/>
      <c r="AI22" s="620"/>
      <c r="AJ22" s="602">
        <v>46214</v>
      </c>
      <c r="AK22" s="603"/>
      <c r="AL22" s="603"/>
      <c r="AM22" s="603"/>
      <c r="AN22" s="604"/>
      <c r="AO22" s="619">
        <v>46215</v>
      </c>
      <c r="AP22" s="620"/>
      <c r="AQ22" s="620"/>
      <c r="AR22" s="620"/>
      <c r="AS22" s="620"/>
      <c r="AT22" s="602">
        <v>46216</v>
      </c>
      <c r="AU22" s="603"/>
      <c r="AV22" s="603"/>
      <c r="AW22" s="603"/>
      <c r="AX22" s="604"/>
    </row>
    <row r="23" spans="2:50" ht="14.25" customHeight="1"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4"/>
      <c r="N23" s="630"/>
      <c r="O23" s="630"/>
      <c r="P23" s="605">
        <v>46196</v>
      </c>
      <c r="Q23" s="605"/>
      <c r="R23" s="605"/>
      <c r="S23" s="605"/>
      <c r="T23" s="605"/>
      <c r="U23" s="606">
        <v>46197</v>
      </c>
      <c r="V23" s="606"/>
      <c r="W23" s="606"/>
      <c r="X23" s="606"/>
      <c r="Y23" s="606"/>
      <c r="Z23" s="605">
        <v>46198</v>
      </c>
      <c r="AA23" s="605"/>
      <c r="AB23" s="605"/>
      <c r="AC23" s="605"/>
      <c r="AD23" s="605"/>
      <c r="AE23" s="606">
        <v>46199</v>
      </c>
      <c r="AF23" s="606"/>
      <c r="AG23" s="606"/>
      <c r="AH23" s="606"/>
      <c r="AI23" s="606"/>
      <c r="AJ23" s="607">
        <v>46200</v>
      </c>
      <c r="AK23" s="608"/>
      <c r="AL23" s="608"/>
      <c r="AM23" s="608"/>
      <c r="AN23" s="609"/>
      <c r="AO23" s="606">
        <v>46201</v>
      </c>
      <c r="AP23" s="606"/>
      <c r="AQ23" s="606"/>
      <c r="AR23" s="606"/>
      <c r="AS23" s="606"/>
      <c r="AT23" s="607">
        <v>46202</v>
      </c>
      <c r="AU23" s="608"/>
      <c r="AV23" s="608"/>
      <c r="AW23" s="608"/>
      <c r="AX23" s="609"/>
    </row>
    <row r="24" spans="2:50" ht="14.25" customHeight="1">
      <c r="B24" s="597" t="s">
        <v>162</v>
      </c>
      <c r="C24" s="597" t="s">
        <v>157</v>
      </c>
      <c r="D24" s="597"/>
      <c r="E24" s="597" t="s">
        <v>158</v>
      </c>
      <c r="F24" s="597"/>
      <c r="G24" s="597"/>
      <c r="H24" s="597" t="s">
        <v>163</v>
      </c>
      <c r="I24" s="601" t="s">
        <v>364</v>
      </c>
      <c r="J24" s="601"/>
      <c r="K24" s="601"/>
      <c r="L24" s="601" t="s">
        <v>163</v>
      </c>
      <c r="M24" s="601" t="s">
        <v>165</v>
      </c>
      <c r="N24" s="597"/>
      <c r="O24" s="597" t="s">
        <v>164</v>
      </c>
      <c r="P24" s="597" t="s">
        <v>160</v>
      </c>
      <c r="Q24" s="597"/>
      <c r="R24" s="597"/>
      <c r="S24" s="597"/>
      <c r="T24" s="597" t="s">
        <v>163</v>
      </c>
      <c r="U24" s="597" t="s">
        <v>160</v>
      </c>
      <c r="V24" s="597"/>
      <c r="W24" s="597"/>
      <c r="X24" s="597"/>
      <c r="Y24" s="597" t="s">
        <v>163</v>
      </c>
      <c r="Z24" s="597" t="s">
        <v>160</v>
      </c>
      <c r="AA24" s="597"/>
      <c r="AB24" s="597"/>
      <c r="AC24" s="597"/>
      <c r="AD24" s="597" t="s">
        <v>163</v>
      </c>
      <c r="AE24" s="597" t="s">
        <v>160</v>
      </c>
      <c r="AF24" s="597"/>
      <c r="AG24" s="597"/>
      <c r="AH24" s="597"/>
      <c r="AI24" s="597" t="s">
        <v>163</v>
      </c>
      <c r="AJ24" s="597" t="s">
        <v>160</v>
      </c>
      <c r="AK24" s="597"/>
      <c r="AL24" s="597"/>
      <c r="AM24" s="597"/>
      <c r="AN24" s="597" t="s">
        <v>163</v>
      </c>
      <c r="AO24" s="597" t="s">
        <v>160</v>
      </c>
      <c r="AP24" s="597"/>
      <c r="AQ24" s="597"/>
      <c r="AR24" s="597"/>
      <c r="AS24" s="597" t="s">
        <v>163</v>
      </c>
      <c r="AT24" s="597" t="s">
        <v>160</v>
      </c>
      <c r="AU24" s="597"/>
      <c r="AV24" s="597"/>
      <c r="AW24" s="597"/>
      <c r="AX24" s="597" t="s">
        <v>163</v>
      </c>
    </row>
    <row r="25" spans="2:50" ht="14.25" customHeight="1">
      <c r="B25" s="597"/>
      <c r="C25" s="597"/>
      <c r="D25" s="597"/>
      <c r="E25" s="597" t="s">
        <v>365</v>
      </c>
      <c r="F25" s="597"/>
      <c r="G25" s="597"/>
      <c r="H25" s="597"/>
      <c r="I25" s="601" t="s">
        <v>365</v>
      </c>
      <c r="J25" s="601"/>
      <c r="K25" s="601"/>
      <c r="L25" s="601"/>
      <c r="M25" s="601"/>
      <c r="N25" s="597"/>
      <c r="O25" s="597"/>
      <c r="P25" s="597" t="s">
        <v>366</v>
      </c>
      <c r="Q25" s="597"/>
      <c r="R25" s="597"/>
      <c r="S25" s="597"/>
      <c r="T25" s="597"/>
      <c r="U25" s="597" t="s">
        <v>366</v>
      </c>
      <c r="V25" s="597"/>
      <c r="W25" s="597"/>
      <c r="X25" s="597"/>
      <c r="Y25" s="597"/>
      <c r="Z25" s="597" t="s">
        <v>366</v>
      </c>
      <c r="AA25" s="597"/>
      <c r="AB25" s="597"/>
      <c r="AC25" s="597"/>
      <c r="AD25" s="597"/>
      <c r="AE25" s="597" t="s">
        <v>366</v>
      </c>
      <c r="AF25" s="597"/>
      <c r="AG25" s="597"/>
      <c r="AH25" s="597"/>
      <c r="AI25" s="597"/>
      <c r="AJ25" s="597" t="s">
        <v>366</v>
      </c>
      <c r="AK25" s="597"/>
      <c r="AL25" s="597"/>
      <c r="AM25" s="597"/>
      <c r="AN25" s="597"/>
      <c r="AO25" s="597" t="s">
        <v>366</v>
      </c>
      <c r="AP25" s="597"/>
      <c r="AQ25" s="597"/>
      <c r="AR25" s="597"/>
      <c r="AS25" s="597"/>
      <c r="AT25" s="597" t="s">
        <v>366</v>
      </c>
      <c r="AU25" s="597"/>
      <c r="AV25" s="597"/>
      <c r="AW25" s="597"/>
      <c r="AX25" s="597"/>
    </row>
    <row r="26" spans="2:50" ht="14.25" customHeight="1">
      <c r="B26" s="597"/>
      <c r="C26" s="597"/>
      <c r="D26" s="597"/>
      <c r="E26" s="179" t="s">
        <v>159</v>
      </c>
      <c r="F26" s="179" t="s">
        <v>367</v>
      </c>
      <c r="G26" s="179" t="s">
        <v>161</v>
      </c>
      <c r="H26" s="597"/>
      <c r="I26" s="180" t="s">
        <v>159</v>
      </c>
      <c r="J26" s="180" t="s">
        <v>367</v>
      </c>
      <c r="K26" s="180" t="s">
        <v>161</v>
      </c>
      <c r="L26" s="601"/>
      <c r="M26" s="601"/>
      <c r="N26" s="597"/>
      <c r="O26" s="597"/>
      <c r="P26" s="179" t="s">
        <v>159</v>
      </c>
      <c r="Q26" s="179" t="s">
        <v>367</v>
      </c>
      <c r="R26" s="179" t="s">
        <v>161</v>
      </c>
      <c r="S26" s="181" t="s">
        <v>165</v>
      </c>
      <c r="T26" s="597"/>
      <c r="U26" s="179" t="s">
        <v>159</v>
      </c>
      <c r="V26" s="179" t="s">
        <v>367</v>
      </c>
      <c r="W26" s="179" t="s">
        <v>161</v>
      </c>
      <c r="X26" s="181" t="s">
        <v>165</v>
      </c>
      <c r="Y26" s="597"/>
      <c r="Z26" s="179" t="s">
        <v>159</v>
      </c>
      <c r="AA26" s="179" t="s">
        <v>367</v>
      </c>
      <c r="AB26" s="179" t="s">
        <v>161</v>
      </c>
      <c r="AC26" s="181" t="s">
        <v>165</v>
      </c>
      <c r="AD26" s="597"/>
      <c r="AE26" s="179" t="s">
        <v>159</v>
      </c>
      <c r="AF26" s="179" t="s">
        <v>367</v>
      </c>
      <c r="AG26" s="179" t="s">
        <v>161</v>
      </c>
      <c r="AH26" s="181" t="s">
        <v>165</v>
      </c>
      <c r="AI26" s="597"/>
      <c r="AJ26" s="179" t="s">
        <v>159</v>
      </c>
      <c r="AK26" s="179" t="s">
        <v>367</v>
      </c>
      <c r="AL26" s="179" t="s">
        <v>161</v>
      </c>
      <c r="AM26" s="181" t="s">
        <v>165</v>
      </c>
      <c r="AN26" s="597"/>
      <c r="AO26" s="179" t="s">
        <v>159</v>
      </c>
      <c r="AP26" s="179" t="s">
        <v>367</v>
      </c>
      <c r="AQ26" s="179" t="s">
        <v>161</v>
      </c>
      <c r="AR26" s="181" t="s">
        <v>165</v>
      </c>
      <c r="AS26" s="597"/>
      <c r="AT26" s="179" t="s">
        <v>159</v>
      </c>
      <c r="AU26" s="179" t="s">
        <v>367</v>
      </c>
      <c r="AV26" s="179" t="s">
        <v>161</v>
      </c>
      <c r="AW26" s="181" t="s">
        <v>165</v>
      </c>
      <c r="AX26" s="597"/>
    </row>
    <row r="27" spans="2:50" ht="14.25" customHeight="1">
      <c r="B27" s="597" t="s">
        <v>348</v>
      </c>
      <c r="C27" s="179">
        <v>1</v>
      </c>
      <c r="D27" s="182" t="s">
        <v>342</v>
      </c>
      <c r="E27" s="183">
        <v>24</v>
      </c>
      <c r="F27" s="179">
        <v>2000</v>
      </c>
      <c r="G27" s="184">
        <f t="shared" ref="G27:G35" si="17">IFERROR(F27/E27,"")</f>
        <v>83.333333333333329</v>
      </c>
      <c r="H27" s="598">
        <f>AVERAGE(G27:G41)</f>
        <v>92.565754159957052</v>
      </c>
      <c r="I27" s="185">
        <f>AVERAGE(P27,U27,Z27,AE27,AJ27,AO27,AT27)</f>
        <v>24</v>
      </c>
      <c r="J27" s="185">
        <f>AVERAGE(Q27,V27,AA27,AF27,AK27,AP27,AU27)</f>
        <v>1790.1688728749584</v>
      </c>
      <c r="K27" s="186">
        <f>AVERAGE(R27,W27,AB27,AG27,AL27,AQ27,AV27)</f>
        <v>74.590369703123272</v>
      </c>
      <c r="L27" s="599">
        <f>IFERROR(AVERAGE(K27:K41),"-")</f>
        <v>84.20137513621313</v>
      </c>
      <c r="M27" s="185">
        <f>RANK(K27, K$27:$K$41)</f>
        <v>8</v>
      </c>
      <c r="N27" s="597"/>
      <c r="O27" s="597"/>
      <c r="P27" s="187">
        <v>24</v>
      </c>
      <c r="Q27" s="187">
        <v>1790.7403014463871</v>
      </c>
      <c r="R27" s="184">
        <f>IFERROR(Q27/P27,"")</f>
        <v>74.614179226932791</v>
      </c>
      <c r="S27" s="181">
        <f>RANK(R27, R$27:R$41)</f>
        <v>8</v>
      </c>
      <c r="T27" s="598">
        <f>AVERAGE(R27:R41)</f>
        <v>83.811171966674294</v>
      </c>
      <c r="U27" s="187">
        <v>24</v>
      </c>
      <c r="V27" s="187">
        <v>1790.7403014463871</v>
      </c>
      <c r="W27" s="184">
        <f t="shared" ref="W27:W35" si="18">IFERROR(V27/U27,"")</f>
        <v>74.614179226932791</v>
      </c>
      <c r="X27" s="181">
        <f>RANK(W27, W$27:W$41)</f>
        <v>8</v>
      </c>
      <c r="Y27" s="598">
        <f>AVERAGE(W27:W41)</f>
        <v>83.941827936808124</v>
      </c>
      <c r="Z27" s="187">
        <v>24</v>
      </c>
      <c r="AA27" s="187">
        <v>1790.1403014463872</v>
      </c>
      <c r="AB27" s="184">
        <f>IFERROR(AA27/Z27,"")</f>
        <v>74.589179226932799</v>
      </c>
      <c r="AC27" s="181">
        <f>RANK(AB27, AB$27:AB$41)</f>
        <v>8</v>
      </c>
      <c r="AD27" s="598">
        <f>AVERAGE(AB27:AB41)</f>
        <v>84.058677102420447</v>
      </c>
      <c r="AE27" s="187">
        <v>24</v>
      </c>
      <c r="AF27" s="187">
        <v>1789.7403014463873</v>
      </c>
      <c r="AG27" s="184">
        <f>IFERROR(AF27/AE27,"")</f>
        <v>74.572512560266134</v>
      </c>
      <c r="AH27" s="181">
        <f>RANK(AG27, AG$27:AG$41)</f>
        <v>8</v>
      </c>
      <c r="AI27" s="598">
        <f>AVERAGE(AG27:AG41)</f>
        <v>84.181674165959663</v>
      </c>
      <c r="AJ27" s="187">
        <v>24</v>
      </c>
      <c r="AK27" s="187">
        <v>1789.1403014463874</v>
      </c>
      <c r="AL27" s="184">
        <f>IFERROR(AK27/AJ27,"")</f>
        <v>74.547512560266142</v>
      </c>
      <c r="AM27" s="181">
        <f>RANK(AL27, AL$27:AL$41)</f>
        <v>8</v>
      </c>
      <c r="AN27" s="598">
        <f>AVERAGE(AL27:AL41)</f>
        <v>84.336491204429933</v>
      </c>
      <c r="AO27" s="187">
        <v>24</v>
      </c>
      <c r="AP27" s="187">
        <v>1789.9403014463878</v>
      </c>
      <c r="AQ27" s="184">
        <f>IFERROR(AP27/AO27,"")</f>
        <v>74.580845893599488</v>
      </c>
      <c r="AR27" s="181">
        <f>RANK(AQ27, AQ$27:AQ$41)</f>
        <v>8</v>
      </c>
      <c r="AS27" s="598">
        <f>AVERAGE(AQ27:AQ41)</f>
        <v>84.534378802224111</v>
      </c>
      <c r="AT27" s="187">
        <v>24</v>
      </c>
      <c r="AU27" s="187">
        <v>1790.7403014463875</v>
      </c>
      <c r="AV27" s="184">
        <f>IFERROR(AU27/AT27,"")</f>
        <v>74.614179226932819</v>
      </c>
      <c r="AW27" s="181">
        <f>RANK(AV27, AV$27:AV$41)</f>
        <v>8</v>
      </c>
      <c r="AX27" s="598">
        <f>AVERAGE(AV27:AV41)</f>
        <v>84.545404774975424</v>
      </c>
    </row>
    <row r="28" spans="2:50" ht="14.25" customHeight="1">
      <c r="B28" s="597"/>
      <c r="C28" s="179">
        <v>2</v>
      </c>
      <c r="D28" s="182" t="s">
        <v>775</v>
      </c>
      <c r="E28" s="179">
        <v>21</v>
      </c>
      <c r="F28" s="179">
        <v>1500</v>
      </c>
      <c r="G28" s="184">
        <f t="shared" si="17"/>
        <v>71.428571428571431</v>
      </c>
      <c r="H28" s="598"/>
      <c r="I28" s="185">
        <f t="shared" ref="I28:K35" si="19">AVERAGE(P28,U28,Z28,AE28,AJ28,AO28,AT28)</f>
        <v>21</v>
      </c>
      <c r="J28" s="185">
        <f t="shared" si="19"/>
        <v>1282.5625923806451</v>
      </c>
      <c r="K28" s="186">
        <f t="shared" si="19"/>
        <v>61.074409160983102</v>
      </c>
      <c r="L28" s="599"/>
      <c r="M28" s="185">
        <f>RANK(K28, K$27:$K$41)</f>
        <v>9</v>
      </c>
      <c r="N28" s="597"/>
      <c r="O28" s="597"/>
      <c r="P28" s="187">
        <v>21</v>
      </c>
      <c r="Q28" s="187">
        <v>1209.1838679110585</v>
      </c>
      <c r="R28" s="184">
        <f t="shared" ref="R28:R35" si="20">IFERROR(Q28/P28,"")</f>
        <v>57.580184186240885</v>
      </c>
      <c r="S28" s="181">
        <f t="shared" ref="S28:S35" si="21">RANK(R28, R$27:R$41)</f>
        <v>9</v>
      </c>
      <c r="T28" s="598"/>
      <c r="U28" s="187">
        <v>21</v>
      </c>
      <c r="V28" s="187">
        <v>1232.2140781504118</v>
      </c>
      <c r="W28" s="184">
        <f t="shared" si="18"/>
        <v>58.676860864305318</v>
      </c>
      <c r="X28" s="181">
        <f t="shared" ref="X28:X35" si="22">RANK(W28, W$27:W$41)</f>
        <v>9</v>
      </c>
      <c r="Y28" s="598"/>
      <c r="Z28" s="187">
        <v>21</v>
      </c>
      <c r="AA28" s="187">
        <v>1256.751106683023</v>
      </c>
      <c r="AB28" s="184">
        <f t="shared" ref="AB28:AB35" si="23">IFERROR(AA28/Z28,"")</f>
        <v>59.845290794429665</v>
      </c>
      <c r="AC28" s="181">
        <f t="shared" ref="AC28:AC35" si="24">RANK(AB28, AB$27:AB$41)</f>
        <v>9</v>
      </c>
      <c r="AD28" s="598"/>
      <c r="AE28" s="187">
        <v>21</v>
      </c>
      <c r="AF28" s="187">
        <v>1280.6491719133749</v>
      </c>
      <c r="AG28" s="184">
        <f t="shared" ref="AG28:AG35" si="25">IFERROR(AF28/AE28,"")</f>
        <v>60.983293900636895</v>
      </c>
      <c r="AH28" s="181">
        <f t="shared" ref="AH28:AH35" si="26">RANK(AG28, AG$27:AG$41)</f>
        <v>9</v>
      </c>
      <c r="AI28" s="598"/>
      <c r="AJ28" s="187">
        <v>21</v>
      </c>
      <c r="AK28" s="187">
        <v>1309.2374907349808</v>
      </c>
      <c r="AL28" s="184">
        <f t="shared" ref="AL28:AL35" si="27">IFERROR(AK28/AJ28,"")</f>
        <v>62.344642415951469</v>
      </c>
      <c r="AM28" s="181">
        <f t="shared" ref="AM28:AM35" si="28">RANK(AL28, AL$27:AL$41)</f>
        <v>9</v>
      </c>
      <c r="AN28" s="598"/>
      <c r="AO28" s="187">
        <v>21</v>
      </c>
      <c r="AP28" s="187">
        <v>1344.4063626601101</v>
      </c>
      <c r="AQ28" s="184">
        <f t="shared" ref="AQ28:AQ35" si="29">IFERROR(AP28/AO28,"")</f>
        <v>64.019350602862389</v>
      </c>
      <c r="AR28" s="181">
        <f t="shared" ref="AR28:AR35" si="30">RANK(AQ28, AQ$27:AQ$41)</f>
        <v>9</v>
      </c>
      <c r="AS28" s="598"/>
      <c r="AT28" s="187">
        <v>21</v>
      </c>
      <c r="AU28" s="187">
        <v>1345.4960686115558</v>
      </c>
      <c r="AV28" s="184">
        <f t="shared" ref="AV28:AV35" si="31">IFERROR(AU28/AT28,"")</f>
        <v>64.071241362455041</v>
      </c>
      <c r="AW28" s="181">
        <f t="shared" ref="AW28:AW35" si="32">RANK(AV28, AV$27:AV$41)</f>
        <v>9</v>
      </c>
      <c r="AX28" s="598"/>
    </row>
    <row r="29" spans="2:50" ht="14.25" customHeight="1">
      <c r="B29" s="597"/>
      <c r="C29" s="179">
        <v>3</v>
      </c>
      <c r="D29" s="182" t="s">
        <v>341</v>
      </c>
      <c r="E29" s="179">
        <v>23</v>
      </c>
      <c r="F29" s="179">
        <v>2000</v>
      </c>
      <c r="G29" s="184">
        <f t="shared" si="17"/>
        <v>86.956521739130437</v>
      </c>
      <c r="H29" s="598"/>
      <c r="I29" s="185">
        <f t="shared" si="19"/>
        <v>23</v>
      </c>
      <c r="J29" s="185">
        <f t="shared" si="19"/>
        <v>1789.4606744690827</v>
      </c>
      <c r="K29" s="186">
        <f t="shared" si="19"/>
        <v>77.802638020394923</v>
      </c>
      <c r="L29" s="599"/>
      <c r="M29" s="185">
        <f>RANK(K29, K$27:$K$41)</f>
        <v>7</v>
      </c>
      <c r="N29" s="597"/>
      <c r="O29" s="597"/>
      <c r="P29" s="187">
        <v>23</v>
      </c>
      <c r="Q29" s="187">
        <v>1789.0716658094859</v>
      </c>
      <c r="R29" s="184">
        <f t="shared" si="20"/>
        <v>77.785724600412436</v>
      </c>
      <c r="S29" s="181">
        <f t="shared" si="21"/>
        <v>7</v>
      </c>
      <c r="T29" s="598"/>
      <c r="U29" s="187">
        <v>23</v>
      </c>
      <c r="V29" s="187">
        <v>1789.0716658094861</v>
      </c>
      <c r="W29" s="184">
        <f t="shared" si="18"/>
        <v>77.785724600412436</v>
      </c>
      <c r="X29" s="181">
        <f t="shared" si="22"/>
        <v>7</v>
      </c>
      <c r="Y29" s="598"/>
      <c r="Z29" s="187">
        <v>23</v>
      </c>
      <c r="AA29" s="187">
        <v>1788.0716658094859</v>
      </c>
      <c r="AB29" s="184">
        <f t="shared" si="23"/>
        <v>77.742246339542859</v>
      </c>
      <c r="AC29" s="181">
        <f t="shared" si="24"/>
        <v>7</v>
      </c>
      <c r="AD29" s="598"/>
      <c r="AE29" s="187">
        <v>23</v>
      </c>
      <c r="AF29" s="187">
        <v>1790.2524309637806</v>
      </c>
      <c r="AG29" s="184">
        <f t="shared" si="25"/>
        <v>77.837062215816545</v>
      </c>
      <c r="AH29" s="181">
        <f t="shared" si="26"/>
        <v>7</v>
      </c>
      <c r="AI29" s="598"/>
      <c r="AJ29" s="187">
        <v>23</v>
      </c>
      <c r="AK29" s="187">
        <v>1790.0524309637804</v>
      </c>
      <c r="AL29" s="184">
        <f t="shared" si="27"/>
        <v>77.828366563642618</v>
      </c>
      <c r="AM29" s="181">
        <f t="shared" si="28"/>
        <v>7</v>
      </c>
      <c r="AN29" s="598"/>
      <c r="AO29" s="187">
        <v>23</v>
      </c>
      <c r="AP29" s="187">
        <v>1789.8524309637805</v>
      </c>
      <c r="AQ29" s="184">
        <f t="shared" si="29"/>
        <v>77.81967091146872</v>
      </c>
      <c r="AR29" s="181">
        <f t="shared" si="30"/>
        <v>7</v>
      </c>
      <c r="AS29" s="598"/>
      <c r="AT29" s="187">
        <v>23</v>
      </c>
      <c r="AU29" s="187">
        <v>1789.8524309637805</v>
      </c>
      <c r="AV29" s="184">
        <f t="shared" si="31"/>
        <v>77.81967091146872</v>
      </c>
      <c r="AW29" s="181">
        <f t="shared" si="32"/>
        <v>7</v>
      </c>
      <c r="AX29" s="598"/>
    </row>
    <row r="30" spans="2:50" ht="14.25" customHeight="1">
      <c r="B30" s="597"/>
      <c r="C30" s="179">
        <v>4</v>
      </c>
      <c r="D30" s="182" t="s">
        <v>349</v>
      </c>
      <c r="E30" s="179">
        <v>23</v>
      </c>
      <c r="F30" s="179">
        <v>2000</v>
      </c>
      <c r="G30" s="184">
        <f t="shared" si="17"/>
        <v>86.956521739130437</v>
      </c>
      <c r="H30" s="598"/>
      <c r="I30" s="185">
        <f t="shared" si="19"/>
        <v>23</v>
      </c>
      <c r="J30" s="185">
        <f t="shared" si="19"/>
        <v>1791.4464754263674</v>
      </c>
      <c r="K30" s="186">
        <f t="shared" si="19"/>
        <v>77.888977192450753</v>
      </c>
      <c r="L30" s="599"/>
      <c r="M30" s="185">
        <f>RANK(K30, K$27:$K$41)</f>
        <v>6</v>
      </c>
      <c r="N30" s="597"/>
      <c r="O30" s="597"/>
      <c r="P30" s="187">
        <v>23</v>
      </c>
      <c r="Q30" s="187">
        <v>1791.5607611406531</v>
      </c>
      <c r="R30" s="184">
        <f t="shared" si="20"/>
        <v>77.893946136550127</v>
      </c>
      <c r="S30" s="181">
        <f t="shared" si="21"/>
        <v>6</v>
      </c>
      <c r="T30" s="598"/>
      <c r="U30" s="187">
        <v>23</v>
      </c>
      <c r="V30" s="187">
        <v>1791.5607611406529</v>
      </c>
      <c r="W30" s="184">
        <f t="shared" si="18"/>
        <v>77.893946136550127</v>
      </c>
      <c r="X30" s="181">
        <f t="shared" si="22"/>
        <v>6</v>
      </c>
      <c r="Y30" s="598"/>
      <c r="Z30" s="187">
        <v>23</v>
      </c>
      <c r="AA30" s="187">
        <v>1791.5607611406529</v>
      </c>
      <c r="AB30" s="184">
        <f t="shared" si="23"/>
        <v>77.893946136550127</v>
      </c>
      <c r="AC30" s="181">
        <f t="shared" si="24"/>
        <v>6</v>
      </c>
      <c r="AD30" s="598"/>
      <c r="AE30" s="187">
        <v>23</v>
      </c>
      <c r="AF30" s="187">
        <v>1790.5607611406531</v>
      </c>
      <c r="AG30" s="184">
        <f t="shared" si="25"/>
        <v>77.850467875680565</v>
      </c>
      <c r="AH30" s="181">
        <f t="shared" si="26"/>
        <v>6</v>
      </c>
      <c r="AI30" s="598"/>
      <c r="AJ30" s="187">
        <v>23</v>
      </c>
      <c r="AK30" s="187">
        <v>1791.3607611406526</v>
      </c>
      <c r="AL30" s="184">
        <f t="shared" si="27"/>
        <v>77.885250484376201</v>
      </c>
      <c r="AM30" s="181">
        <f t="shared" si="28"/>
        <v>6</v>
      </c>
      <c r="AN30" s="598"/>
      <c r="AO30" s="187">
        <v>23</v>
      </c>
      <c r="AP30" s="187">
        <v>1791.3607611406526</v>
      </c>
      <c r="AQ30" s="184">
        <f t="shared" si="29"/>
        <v>77.885250484376201</v>
      </c>
      <c r="AR30" s="181">
        <f t="shared" si="30"/>
        <v>6</v>
      </c>
      <c r="AS30" s="598"/>
      <c r="AT30" s="187">
        <v>23</v>
      </c>
      <c r="AU30" s="187">
        <v>1792.1607611406525</v>
      </c>
      <c r="AV30" s="184">
        <f t="shared" si="31"/>
        <v>77.920033093071851</v>
      </c>
      <c r="AW30" s="181">
        <f t="shared" si="32"/>
        <v>6</v>
      </c>
      <c r="AX30" s="598"/>
    </row>
    <row r="31" spans="2:50" ht="14.25" customHeight="1">
      <c r="B31" s="597"/>
      <c r="C31" s="179">
        <v>5</v>
      </c>
      <c r="D31" s="182" t="s">
        <v>343</v>
      </c>
      <c r="E31" s="179">
        <v>23</v>
      </c>
      <c r="F31" s="179">
        <v>2000</v>
      </c>
      <c r="G31" s="184">
        <f t="shared" si="17"/>
        <v>86.956521739130437</v>
      </c>
      <c r="H31" s="598"/>
      <c r="I31" s="185">
        <f t="shared" si="19"/>
        <v>23</v>
      </c>
      <c r="J31" s="185">
        <f t="shared" si="19"/>
        <v>1794.6703985573934</v>
      </c>
      <c r="K31" s="186">
        <f t="shared" si="19"/>
        <v>78.029147763364932</v>
      </c>
      <c r="L31" s="599"/>
      <c r="M31" s="185">
        <f>RANK(K31, K$27:$K$41)</f>
        <v>5</v>
      </c>
      <c r="N31" s="597"/>
      <c r="O31" s="597"/>
      <c r="P31" s="187">
        <v>23</v>
      </c>
      <c r="Q31" s="187">
        <v>1794.6132557002506</v>
      </c>
      <c r="R31" s="184">
        <f t="shared" si="20"/>
        <v>78.026663291315245</v>
      </c>
      <c r="S31" s="181">
        <f t="shared" si="21"/>
        <v>5</v>
      </c>
      <c r="T31" s="598"/>
      <c r="U31" s="187">
        <v>23</v>
      </c>
      <c r="V31" s="187">
        <v>1795.4132557002506</v>
      </c>
      <c r="W31" s="184">
        <f t="shared" si="18"/>
        <v>78.061445900010895</v>
      </c>
      <c r="X31" s="181">
        <f t="shared" si="22"/>
        <v>5</v>
      </c>
      <c r="Y31" s="598"/>
      <c r="Z31" s="187">
        <v>23</v>
      </c>
      <c r="AA31" s="187">
        <v>1794.8132557002505</v>
      </c>
      <c r="AB31" s="184">
        <f t="shared" si="23"/>
        <v>78.035358943489157</v>
      </c>
      <c r="AC31" s="181">
        <f t="shared" si="24"/>
        <v>5</v>
      </c>
      <c r="AD31" s="598"/>
      <c r="AE31" s="187">
        <v>23</v>
      </c>
      <c r="AF31" s="187">
        <v>1793.8132557002507</v>
      </c>
      <c r="AG31" s="184">
        <f t="shared" si="25"/>
        <v>77.991880682619595</v>
      </c>
      <c r="AH31" s="181">
        <f t="shared" si="26"/>
        <v>5</v>
      </c>
      <c r="AI31" s="598"/>
      <c r="AJ31" s="187">
        <v>23</v>
      </c>
      <c r="AK31" s="187">
        <v>1794.0132557002505</v>
      </c>
      <c r="AL31" s="184">
        <f t="shared" si="27"/>
        <v>78.000576334793507</v>
      </c>
      <c r="AM31" s="181">
        <f t="shared" si="28"/>
        <v>5</v>
      </c>
      <c r="AN31" s="598"/>
      <c r="AO31" s="187">
        <v>23</v>
      </c>
      <c r="AP31" s="187">
        <v>1794.6132557002506</v>
      </c>
      <c r="AQ31" s="184">
        <f t="shared" si="29"/>
        <v>78.026663291315245</v>
      </c>
      <c r="AR31" s="181">
        <f t="shared" si="30"/>
        <v>5</v>
      </c>
      <c r="AS31" s="598"/>
      <c r="AT31" s="187">
        <v>23</v>
      </c>
      <c r="AU31" s="187">
        <v>1795.4132557002506</v>
      </c>
      <c r="AV31" s="184">
        <f t="shared" si="31"/>
        <v>78.061445900010895</v>
      </c>
      <c r="AW31" s="181">
        <f t="shared" si="32"/>
        <v>5</v>
      </c>
      <c r="AX31" s="598"/>
    </row>
    <row r="32" spans="2:50" ht="14.25" customHeight="1">
      <c r="B32" s="597"/>
      <c r="C32" s="179">
        <v>6</v>
      </c>
      <c r="D32" s="182" t="s">
        <v>473</v>
      </c>
      <c r="E32" s="179">
        <v>20</v>
      </c>
      <c r="F32" s="179">
        <v>2000</v>
      </c>
      <c r="G32" s="184">
        <f t="shared" si="17"/>
        <v>100</v>
      </c>
      <c r="H32" s="598"/>
      <c r="I32" s="185">
        <f t="shared" si="19"/>
        <v>19</v>
      </c>
      <c r="J32" s="185">
        <f t="shared" si="19"/>
        <v>1790</v>
      </c>
      <c r="K32" s="186">
        <f t="shared" si="19"/>
        <v>94.21052631578948</v>
      </c>
      <c r="L32" s="599"/>
      <c r="M32" s="185">
        <f>RANK(K32, K$27:$K$41)</f>
        <v>3</v>
      </c>
      <c r="N32" s="597"/>
      <c r="O32" s="597"/>
      <c r="P32" s="187">
        <v>19</v>
      </c>
      <c r="Q32" s="187">
        <v>1790</v>
      </c>
      <c r="R32" s="184">
        <f t="shared" si="20"/>
        <v>94.21052631578948</v>
      </c>
      <c r="S32" s="181">
        <f t="shared" si="21"/>
        <v>3</v>
      </c>
      <c r="T32" s="598"/>
      <c r="U32" s="187">
        <v>19</v>
      </c>
      <c r="V32" s="187">
        <v>1790</v>
      </c>
      <c r="W32" s="184">
        <f t="shared" si="18"/>
        <v>94.21052631578948</v>
      </c>
      <c r="X32" s="181">
        <f t="shared" si="22"/>
        <v>3</v>
      </c>
      <c r="Y32" s="598"/>
      <c r="Z32" s="187">
        <v>19</v>
      </c>
      <c r="AA32" s="187">
        <v>1789.9999999999998</v>
      </c>
      <c r="AB32" s="184">
        <f t="shared" si="23"/>
        <v>94.210526315789465</v>
      </c>
      <c r="AC32" s="181">
        <f t="shared" si="24"/>
        <v>3</v>
      </c>
      <c r="AD32" s="598"/>
      <c r="AE32" s="187">
        <v>19</v>
      </c>
      <c r="AF32" s="187">
        <v>1790</v>
      </c>
      <c r="AG32" s="184">
        <f t="shared" si="25"/>
        <v>94.21052631578948</v>
      </c>
      <c r="AH32" s="181">
        <f t="shared" si="26"/>
        <v>3</v>
      </c>
      <c r="AI32" s="598"/>
      <c r="AJ32" s="187">
        <v>19</v>
      </c>
      <c r="AK32" s="187">
        <v>1790</v>
      </c>
      <c r="AL32" s="184">
        <f t="shared" si="27"/>
        <v>94.21052631578948</v>
      </c>
      <c r="AM32" s="181">
        <f t="shared" si="28"/>
        <v>3</v>
      </c>
      <c r="AN32" s="598"/>
      <c r="AO32" s="187">
        <v>19</v>
      </c>
      <c r="AP32" s="187">
        <v>1790</v>
      </c>
      <c r="AQ32" s="184">
        <f t="shared" si="29"/>
        <v>94.21052631578948</v>
      </c>
      <c r="AR32" s="181">
        <f t="shared" si="30"/>
        <v>3</v>
      </c>
      <c r="AS32" s="598"/>
      <c r="AT32" s="187">
        <v>19</v>
      </c>
      <c r="AU32" s="187">
        <v>1790</v>
      </c>
      <c r="AV32" s="184">
        <f t="shared" si="31"/>
        <v>94.21052631578948</v>
      </c>
      <c r="AW32" s="181">
        <f t="shared" si="32"/>
        <v>3</v>
      </c>
      <c r="AX32" s="598"/>
    </row>
    <row r="33" spans="2:50" ht="14.25" customHeight="1">
      <c r="B33" s="597"/>
      <c r="C33" s="179">
        <v>7</v>
      </c>
      <c r="D33" s="182" t="s">
        <v>566</v>
      </c>
      <c r="E33" s="179">
        <v>18</v>
      </c>
      <c r="F33" s="179">
        <v>2000</v>
      </c>
      <c r="G33" s="184">
        <f t="shared" si="17"/>
        <v>111.11111111111111</v>
      </c>
      <c r="H33" s="598"/>
      <c r="I33" s="185">
        <f t="shared" si="19"/>
        <v>17</v>
      </c>
      <c r="J33" s="185">
        <f t="shared" si="19"/>
        <v>1790</v>
      </c>
      <c r="K33" s="186">
        <f t="shared" si="19"/>
        <v>105.29411764705881</v>
      </c>
      <c r="L33" s="599"/>
      <c r="M33" s="185">
        <f>RANK(K33, K$27:$K$41)</f>
        <v>1</v>
      </c>
      <c r="N33" s="597"/>
      <c r="O33" s="597"/>
      <c r="P33" s="187">
        <v>17</v>
      </c>
      <c r="Q33" s="187">
        <v>1790.0000000000002</v>
      </c>
      <c r="R33" s="184">
        <f t="shared" si="20"/>
        <v>105.29411764705884</v>
      </c>
      <c r="S33" s="181">
        <f t="shared" si="21"/>
        <v>1</v>
      </c>
      <c r="T33" s="598"/>
      <c r="U33" s="187">
        <v>17</v>
      </c>
      <c r="V33" s="187">
        <v>1790</v>
      </c>
      <c r="W33" s="184">
        <f t="shared" si="18"/>
        <v>105.29411764705883</v>
      </c>
      <c r="X33" s="181">
        <f t="shared" si="22"/>
        <v>1</v>
      </c>
      <c r="Y33" s="598"/>
      <c r="Z33" s="187">
        <v>17</v>
      </c>
      <c r="AA33" s="187">
        <v>1789.9999999999998</v>
      </c>
      <c r="AB33" s="184">
        <f t="shared" si="23"/>
        <v>105.29411764705881</v>
      </c>
      <c r="AC33" s="181">
        <f t="shared" si="24"/>
        <v>1</v>
      </c>
      <c r="AD33" s="598"/>
      <c r="AE33" s="187">
        <v>17</v>
      </c>
      <c r="AF33" s="187">
        <v>1790.0000000000002</v>
      </c>
      <c r="AG33" s="184">
        <f t="shared" si="25"/>
        <v>105.29411764705884</v>
      </c>
      <c r="AH33" s="181">
        <f t="shared" si="26"/>
        <v>1</v>
      </c>
      <c r="AI33" s="598"/>
      <c r="AJ33" s="187">
        <v>17</v>
      </c>
      <c r="AK33" s="187">
        <v>1790</v>
      </c>
      <c r="AL33" s="184">
        <f t="shared" si="27"/>
        <v>105.29411764705883</v>
      </c>
      <c r="AM33" s="181">
        <f t="shared" si="28"/>
        <v>1</v>
      </c>
      <c r="AN33" s="598"/>
      <c r="AO33" s="187">
        <v>17</v>
      </c>
      <c r="AP33" s="187">
        <v>1790</v>
      </c>
      <c r="AQ33" s="184">
        <f t="shared" si="29"/>
        <v>105.29411764705883</v>
      </c>
      <c r="AR33" s="181">
        <f t="shared" si="30"/>
        <v>1</v>
      </c>
      <c r="AS33" s="598"/>
      <c r="AT33" s="187">
        <v>17</v>
      </c>
      <c r="AU33" s="187">
        <v>1790.0000000000002</v>
      </c>
      <c r="AV33" s="184">
        <f t="shared" si="31"/>
        <v>105.29411764705884</v>
      </c>
      <c r="AW33" s="181">
        <f t="shared" si="32"/>
        <v>1</v>
      </c>
      <c r="AX33" s="598"/>
    </row>
    <row r="34" spans="2:50" ht="14.25" customHeight="1">
      <c r="B34" s="597"/>
      <c r="C34" s="179">
        <v>8</v>
      </c>
      <c r="D34" s="182" t="s">
        <v>649</v>
      </c>
      <c r="E34" s="179">
        <v>18</v>
      </c>
      <c r="F34" s="179">
        <v>2000</v>
      </c>
      <c r="G34" s="184">
        <f t="shared" si="17"/>
        <v>111.11111111111111</v>
      </c>
      <c r="H34" s="598"/>
      <c r="I34" s="185">
        <f t="shared" si="19"/>
        <v>18</v>
      </c>
      <c r="J34" s="185">
        <f t="shared" si="19"/>
        <v>1789.5994276095537</v>
      </c>
      <c r="K34" s="186">
        <f t="shared" si="19"/>
        <v>99.42219042275299</v>
      </c>
      <c r="L34" s="599"/>
      <c r="M34" s="185">
        <f>RANK(K34, K$27:$K$41)</f>
        <v>2</v>
      </c>
      <c r="N34" s="597"/>
      <c r="O34" s="597"/>
      <c r="P34" s="187">
        <v>18</v>
      </c>
      <c r="Q34" s="187">
        <v>1789.1137133238396</v>
      </c>
      <c r="R34" s="184">
        <f t="shared" si="20"/>
        <v>99.395206295768872</v>
      </c>
      <c r="S34" s="181">
        <f t="shared" si="21"/>
        <v>2</v>
      </c>
      <c r="T34" s="598"/>
      <c r="U34" s="187">
        <v>18</v>
      </c>
      <c r="V34" s="187">
        <v>1789.9137133238396</v>
      </c>
      <c r="W34" s="184">
        <f t="shared" si="18"/>
        <v>99.43965074021331</v>
      </c>
      <c r="X34" s="181">
        <f t="shared" si="22"/>
        <v>2</v>
      </c>
      <c r="Y34" s="598"/>
      <c r="Z34" s="187">
        <v>18</v>
      </c>
      <c r="AA34" s="187">
        <v>1789.5137133238395</v>
      </c>
      <c r="AB34" s="184">
        <f t="shared" si="23"/>
        <v>99.417428517991084</v>
      </c>
      <c r="AC34" s="181">
        <f t="shared" si="24"/>
        <v>2</v>
      </c>
      <c r="AD34" s="598"/>
      <c r="AE34" s="187">
        <v>18</v>
      </c>
      <c r="AF34" s="187">
        <v>1789.1137133238394</v>
      </c>
      <c r="AG34" s="184">
        <f t="shared" si="25"/>
        <v>99.395206295768858</v>
      </c>
      <c r="AH34" s="181">
        <f t="shared" si="26"/>
        <v>2</v>
      </c>
      <c r="AI34" s="598"/>
      <c r="AJ34" s="187">
        <v>18</v>
      </c>
      <c r="AK34" s="187">
        <v>1789.5137133238395</v>
      </c>
      <c r="AL34" s="184">
        <f t="shared" si="27"/>
        <v>99.417428517991084</v>
      </c>
      <c r="AM34" s="181">
        <f t="shared" si="28"/>
        <v>2</v>
      </c>
      <c r="AN34" s="598"/>
      <c r="AO34" s="187">
        <v>18</v>
      </c>
      <c r="AP34" s="187">
        <v>1790.5137133238391</v>
      </c>
      <c r="AQ34" s="184">
        <f t="shared" si="29"/>
        <v>99.472984073546613</v>
      </c>
      <c r="AR34" s="181">
        <f t="shared" si="30"/>
        <v>2</v>
      </c>
      <c r="AS34" s="598"/>
      <c r="AT34" s="187">
        <v>18</v>
      </c>
      <c r="AU34" s="187">
        <v>1789.5137133238393</v>
      </c>
      <c r="AV34" s="184">
        <f t="shared" si="31"/>
        <v>99.41742851799107</v>
      </c>
      <c r="AW34" s="181">
        <f t="shared" si="32"/>
        <v>2</v>
      </c>
      <c r="AX34" s="598"/>
    </row>
    <row r="35" spans="2:50" ht="14.25" customHeight="1">
      <c r="B35" s="597"/>
      <c r="C35" s="179">
        <v>9</v>
      </c>
      <c r="D35" s="182" t="s">
        <v>664</v>
      </c>
      <c r="E35" s="179">
        <v>21</v>
      </c>
      <c r="F35" s="179">
        <v>2000</v>
      </c>
      <c r="G35" s="184">
        <f t="shared" si="17"/>
        <v>95.238095238095241</v>
      </c>
      <c r="H35" s="598"/>
      <c r="I35" s="185">
        <f t="shared" si="19"/>
        <v>20</v>
      </c>
      <c r="J35" s="185">
        <f t="shared" si="19"/>
        <v>1790</v>
      </c>
      <c r="K35" s="186">
        <f t="shared" si="19"/>
        <v>89.5</v>
      </c>
      <c r="L35" s="599"/>
      <c r="M35" s="185">
        <f>RANK(K35, K$27:$K$41)</f>
        <v>4</v>
      </c>
      <c r="N35" s="597"/>
      <c r="O35" s="597"/>
      <c r="P35" s="187">
        <v>20</v>
      </c>
      <c r="Q35" s="187">
        <v>1790.0000000000002</v>
      </c>
      <c r="R35" s="184">
        <f t="shared" si="20"/>
        <v>89.500000000000014</v>
      </c>
      <c r="S35" s="181">
        <f t="shared" si="21"/>
        <v>4</v>
      </c>
      <c r="T35" s="598"/>
      <c r="U35" s="187">
        <v>20</v>
      </c>
      <c r="V35" s="187">
        <v>1790.0000000000002</v>
      </c>
      <c r="W35" s="184">
        <f t="shared" si="18"/>
        <v>89.500000000000014</v>
      </c>
      <c r="X35" s="181">
        <f t="shared" si="22"/>
        <v>4</v>
      </c>
      <c r="Y35" s="598"/>
      <c r="Z35" s="187">
        <v>20</v>
      </c>
      <c r="AA35" s="187">
        <v>1789.9999999999998</v>
      </c>
      <c r="AB35" s="184">
        <f t="shared" si="23"/>
        <v>89.499999999999986</v>
      </c>
      <c r="AC35" s="181">
        <f t="shared" si="24"/>
        <v>4</v>
      </c>
      <c r="AD35" s="598"/>
      <c r="AE35" s="187">
        <v>20</v>
      </c>
      <c r="AF35" s="187">
        <v>1790</v>
      </c>
      <c r="AG35" s="184">
        <f t="shared" si="25"/>
        <v>89.5</v>
      </c>
      <c r="AH35" s="181">
        <f t="shared" si="26"/>
        <v>4</v>
      </c>
      <c r="AI35" s="598"/>
      <c r="AJ35" s="187">
        <v>20</v>
      </c>
      <c r="AK35" s="187">
        <v>1789.9999999999998</v>
      </c>
      <c r="AL35" s="184">
        <f t="shared" si="27"/>
        <v>89.499999999999986</v>
      </c>
      <c r="AM35" s="181">
        <f t="shared" si="28"/>
        <v>4</v>
      </c>
      <c r="AN35" s="598"/>
      <c r="AO35" s="187">
        <v>20</v>
      </c>
      <c r="AP35" s="187">
        <v>1790</v>
      </c>
      <c r="AQ35" s="184">
        <f t="shared" si="29"/>
        <v>89.5</v>
      </c>
      <c r="AR35" s="181">
        <f t="shared" si="30"/>
        <v>4</v>
      </c>
      <c r="AS35" s="598"/>
      <c r="AT35" s="187">
        <v>20</v>
      </c>
      <c r="AU35" s="187">
        <v>1790</v>
      </c>
      <c r="AV35" s="184">
        <f t="shared" si="31"/>
        <v>89.5</v>
      </c>
      <c r="AW35" s="181">
        <f t="shared" si="32"/>
        <v>4</v>
      </c>
      <c r="AX35" s="598"/>
    </row>
    <row r="36" spans="2:50" ht="14.25" customHeight="1">
      <c r="B36" s="597"/>
      <c r="C36" s="179">
        <v>10</v>
      </c>
      <c r="D36" s="182"/>
      <c r="E36" s="179"/>
      <c r="F36" s="179"/>
      <c r="G36" s="184"/>
      <c r="H36" s="598"/>
      <c r="I36" s="185"/>
      <c r="J36" s="185"/>
      <c r="K36" s="186"/>
      <c r="L36" s="599"/>
      <c r="M36" s="185"/>
      <c r="N36" s="597"/>
      <c r="O36" s="597"/>
      <c r="P36" s="187"/>
      <c r="Q36" s="187"/>
      <c r="R36" s="184"/>
      <c r="S36" s="181"/>
      <c r="T36" s="598"/>
      <c r="U36" s="187"/>
      <c r="V36" s="187"/>
      <c r="W36" s="184"/>
      <c r="X36" s="181"/>
      <c r="Y36" s="598"/>
      <c r="Z36" s="187"/>
      <c r="AA36" s="187"/>
      <c r="AB36" s="184"/>
      <c r="AC36" s="181"/>
      <c r="AD36" s="598"/>
      <c r="AE36" s="187"/>
      <c r="AF36" s="187"/>
      <c r="AG36" s="184"/>
      <c r="AH36" s="181"/>
      <c r="AI36" s="598"/>
      <c r="AJ36" s="187"/>
      <c r="AK36" s="187"/>
      <c r="AL36" s="184"/>
      <c r="AM36" s="181"/>
      <c r="AN36" s="598"/>
      <c r="AO36" s="187"/>
      <c r="AP36" s="187"/>
      <c r="AQ36" s="184"/>
      <c r="AR36" s="181"/>
      <c r="AS36" s="598"/>
      <c r="AT36" s="187"/>
      <c r="AU36" s="187"/>
      <c r="AV36" s="184"/>
      <c r="AW36" s="181"/>
      <c r="AX36" s="598"/>
    </row>
    <row r="37" spans="2:50" ht="14.25" customHeight="1">
      <c r="B37" s="597"/>
      <c r="C37" s="179">
        <v>11</v>
      </c>
      <c r="D37" s="182"/>
      <c r="E37" s="179"/>
      <c r="F37" s="179"/>
      <c r="G37" s="184"/>
      <c r="H37" s="598"/>
      <c r="I37" s="185"/>
      <c r="J37" s="185"/>
      <c r="K37" s="186"/>
      <c r="L37" s="599"/>
      <c r="M37" s="185"/>
      <c r="N37" s="597"/>
      <c r="O37" s="597"/>
      <c r="P37" s="187"/>
      <c r="Q37" s="187"/>
      <c r="R37" s="184"/>
      <c r="S37" s="181"/>
      <c r="T37" s="598"/>
      <c r="U37" s="187"/>
      <c r="V37" s="187"/>
      <c r="W37" s="184"/>
      <c r="X37" s="181"/>
      <c r="Y37" s="598"/>
      <c r="Z37" s="187"/>
      <c r="AA37" s="187"/>
      <c r="AB37" s="184"/>
      <c r="AC37" s="181"/>
      <c r="AD37" s="598"/>
      <c r="AE37" s="187"/>
      <c r="AF37" s="187"/>
      <c r="AG37" s="184"/>
      <c r="AH37" s="181"/>
      <c r="AI37" s="598"/>
      <c r="AJ37" s="187"/>
      <c r="AK37" s="187"/>
      <c r="AL37" s="184"/>
      <c r="AM37" s="181"/>
      <c r="AN37" s="598"/>
      <c r="AO37" s="187"/>
      <c r="AP37" s="187"/>
      <c r="AQ37" s="184"/>
      <c r="AR37" s="181"/>
      <c r="AS37" s="598"/>
      <c r="AT37" s="187"/>
      <c r="AU37" s="187"/>
      <c r="AV37" s="184"/>
      <c r="AW37" s="181"/>
      <c r="AX37" s="598"/>
    </row>
    <row r="38" spans="2:50" ht="14.25" customHeight="1">
      <c r="B38" s="597"/>
      <c r="C38" s="179">
        <v>12</v>
      </c>
      <c r="D38" s="182"/>
      <c r="E38" s="179"/>
      <c r="F38" s="179"/>
      <c r="G38" s="184"/>
      <c r="H38" s="598"/>
      <c r="I38" s="185"/>
      <c r="J38" s="185"/>
      <c r="K38" s="186"/>
      <c r="L38" s="599"/>
      <c r="M38" s="185"/>
      <c r="N38" s="597"/>
      <c r="O38" s="597"/>
      <c r="P38" s="187"/>
      <c r="Q38" s="187"/>
      <c r="R38" s="184"/>
      <c r="S38" s="181"/>
      <c r="T38" s="598"/>
      <c r="U38" s="187"/>
      <c r="V38" s="187"/>
      <c r="W38" s="184"/>
      <c r="X38" s="181"/>
      <c r="Y38" s="598"/>
      <c r="Z38" s="187"/>
      <c r="AA38" s="187"/>
      <c r="AB38" s="184"/>
      <c r="AC38" s="181"/>
      <c r="AD38" s="598"/>
      <c r="AE38" s="187"/>
      <c r="AF38" s="187"/>
      <c r="AG38" s="184"/>
      <c r="AH38" s="181"/>
      <c r="AI38" s="598"/>
      <c r="AJ38" s="187"/>
      <c r="AK38" s="187"/>
      <c r="AL38" s="184"/>
      <c r="AM38" s="181"/>
      <c r="AN38" s="598"/>
      <c r="AO38" s="187"/>
      <c r="AP38" s="187"/>
      <c r="AQ38" s="184"/>
      <c r="AR38" s="181"/>
      <c r="AS38" s="598"/>
      <c r="AT38" s="187"/>
      <c r="AU38" s="187"/>
      <c r="AV38" s="184"/>
      <c r="AW38" s="181"/>
      <c r="AX38" s="598"/>
    </row>
    <row r="39" spans="2:50" ht="14.25" customHeight="1">
      <c r="B39" s="597"/>
      <c r="C39" s="179">
        <v>13</v>
      </c>
      <c r="D39" s="182"/>
      <c r="E39" s="179"/>
      <c r="F39" s="179"/>
      <c r="G39" s="184"/>
      <c r="H39" s="598"/>
      <c r="I39" s="185"/>
      <c r="J39" s="185"/>
      <c r="K39" s="186"/>
      <c r="L39" s="599"/>
      <c r="M39" s="185"/>
      <c r="N39" s="597"/>
      <c r="O39" s="597"/>
      <c r="P39" s="187"/>
      <c r="Q39" s="187"/>
      <c r="R39" s="184"/>
      <c r="S39" s="181"/>
      <c r="T39" s="598"/>
      <c r="U39" s="187"/>
      <c r="V39" s="187"/>
      <c r="W39" s="184"/>
      <c r="X39" s="181"/>
      <c r="Y39" s="598"/>
      <c r="Z39" s="187"/>
      <c r="AA39" s="187"/>
      <c r="AB39" s="184"/>
      <c r="AC39" s="181"/>
      <c r="AD39" s="598"/>
      <c r="AE39" s="187"/>
      <c r="AF39" s="187"/>
      <c r="AG39" s="184"/>
      <c r="AH39" s="181"/>
      <c r="AI39" s="598"/>
      <c r="AJ39" s="187"/>
      <c r="AK39" s="187"/>
      <c r="AL39" s="184"/>
      <c r="AM39" s="181"/>
      <c r="AN39" s="598"/>
      <c r="AO39" s="187"/>
      <c r="AP39" s="187"/>
      <c r="AQ39" s="184"/>
      <c r="AR39" s="181"/>
      <c r="AS39" s="598"/>
      <c r="AT39" s="187"/>
      <c r="AU39" s="187"/>
      <c r="AV39" s="184"/>
      <c r="AW39" s="181"/>
      <c r="AX39" s="598"/>
    </row>
    <row r="40" spans="2:50" ht="14.25" customHeight="1">
      <c r="B40" s="597"/>
      <c r="C40" s="179">
        <v>14</v>
      </c>
      <c r="D40" s="182"/>
      <c r="E40" s="179"/>
      <c r="F40" s="179"/>
      <c r="G40" s="184"/>
      <c r="H40" s="598"/>
      <c r="I40" s="185"/>
      <c r="J40" s="185"/>
      <c r="K40" s="186"/>
      <c r="L40" s="599"/>
      <c r="M40" s="185"/>
      <c r="N40" s="597"/>
      <c r="O40" s="597"/>
      <c r="P40" s="187"/>
      <c r="Q40" s="187"/>
      <c r="R40" s="184"/>
      <c r="S40" s="181"/>
      <c r="T40" s="598"/>
      <c r="U40" s="187"/>
      <c r="V40" s="187"/>
      <c r="W40" s="184"/>
      <c r="X40" s="181"/>
      <c r="Y40" s="598"/>
      <c r="Z40" s="187"/>
      <c r="AA40" s="187"/>
      <c r="AB40" s="184"/>
      <c r="AC40" s="181"/>
      <c r="AD40" s="598"/>
      <c r="AE40" s="187"/>
      <c r="AF40" s="187"/>
      <c r="AG40" s="184"/>
      <c r="AH40" s="181"/>
      <c r="AI40" s="598"/>
      <c r="AJ40" s="187"/>
      <c r="AK40" s="187"/>
      <c r="AL40" s="184"/>
      <c r="AM40" s="181"/>
      <c r="AN40" s="598"/>
      <c r="AO40" s="187"/>
      <c r="AP40" s="187"/>
      <c r="AQ40" s="184"/>
      <c r="AR40" s="181"/>
      <c r="AS40" s="598"/>
      <c r="AT40" s="187"/>
      <c r="AU40" s="187"/>
      <c r="AV40" s="184"/>
      <c r="AW40" s="181"/>
      <c r="AX40" s="598"/>
    </row>
    <row r="41" spans="2:50" ht="14.25" customHeight="1">
      <c r="B41" s="597"/>
      <c r="C41" s="179">
        <v>15</v>
      </c>
      <c r="D41" s="182"/>
      <c r="E41" s="179"/>
      <c r="F41" s="179"/>
      <c r="G41" s="184"/>
      <c r="H41" s="598"/>
      <c r="I41" s="185"/>
      <c r="J41" s="185"/>
      <c r="K41" s="186"/>
      <c r="L41" s="599"/>
      <c r="M41" s="185"/>
      <c r="N41" s="597"/>
      <c r="O41" s="597"/>
      <c r="P41" s="187"/>
      <c r="Q41" s="187"/>
      <c r="R41" s="184"/>
      <c r="S41" s="181"/>
      <c r="T41" s="598"/>
      <c r="U41" s="187"/>
      <c r="V41" s="187"/>
      <c r="W41" s="184"/>
      <c r="X41" s="181"/>
      <c r="Y41" s="598"/>
      <c r="Z41" s="187"/>
      <c r="AA41" s="187"/>
      <c r="AB41" s="184"/>
      <c r="AC41" s="181"/>
      <c r="AD41" s="598"/>
      <c r="AE41" s="187"/>
      <c r="AF41" s="187"/>
      <c r="AG41" s="184"/>
      <c r="AH41" s="181"/>
      <c r="AI41" s="598"/>
      <c r="AJ41" s="187"/>
      <c r="AK41" s="187"/>
      <c r="AL41" s="184"/>
      <c r="AM41" s="181"/>
      <c r="AN41" s="598"/>
      <c r="AO41" s="187"/>
      <c r="AP41" s="187"/>
      <c r="AQ41" s="184"/>
      <c r="AR41" s="181"/>
      <c r="AS41" s="598"/>
      <c r="AT41" s="187"/>
      <c r="AU41" s="187"/>
      <c r="AV41" s="184"/>
      <c r="AW41" s="181"/>
      <c r="AX41" s="598"/>
    </row>
    <row r="42" spans="2:50" ht="14.25" customHeight="1">
      <c r="B42" s="625" t="s">
        <v>825</v>
      </c>
      <c r="C42" s="631"/>
      <c r="D42" s="631"/>
      <c r="E42" s="631"/>
      <c r="F42" s="631"/>
      <c r="G42" s="631"/>
      <c r="H42" s="631"/>
      <c r="I42" s="631"/>
      <c r="J42" s="631"/>
      <c r="K42" s="631"/>
      <c r="L42" s="631"/>
      <c r="M42" s="632"/>
      <c r="N42" s="629" t="s">
        <v>363</v>
      </c>
      <c r="O42" s="629" t="s">
        <v>105</v>
      </c>
      <c r="P42" s="617">
        <v>46217</v>
      </c>
      <c r="Q42" s="618"/>
      <c r="R42" s="618"/>
      <c r="S42" s="618"/>
      <c r="T42" s="618"/>
      <c r="U42" s="619">
        <v>46218</v>
      </c>
      <c r="V42" s="620"/>
      <c r="W42" s="620"/>
      <c r="X42" s="620"/>
      <c r="Y42" s="620"/>
      <c r="Z42" s="617">
        <v>46219</v>
      </c>
      <c r="AA42" s="618"/>
      <c r="AB42" s="618"/>
      <c r="AC42" s="618"/>
      <c r="AD42" s="618"/>
      <c r="AE42" s="619">
        <v>46220</v>
      </c>
      <c r="AF42" s="620"/>
      <c r="AG42" s="620"/>
      <c r="AH42" s="620"/>
      <c r="AI42" s="620"/>
      <c r="AJ42" s="602">
        <v>46221</v>
      </c>
      <c r="AK42" s="603"/>
      <c r="AL42" s="603"/>
      <c r="AM42" s="603"/>
      <c r="AN42" s="604"/>
      <c r="AO42" s="619">
        <v>46222</v>
      </c>
      <c r="AP42" s="620"/>
      <c r="AQ42" s="620"/>
      <c r="AR42" s="620"/>
      <c r="AS42" s="620"/>
      <c r="AT42" s="602">
        <v>46223</v>
      </c>
      <c r="AU42" s="603"/>
      <c r="AV42" s="603"/>
      <c r="AW42" s="603"/>
      <c r="AX42" s="604"/>
    </row>
    <row r="43" spans="2:50" ht="14.25" customHeight="1">
      <c r="B43" s="633"/>
      <c r="C43" s="633"/>
      <c r="D43" s="633"/>
      <c r="E43" s="633"/>
      <c r="F43" s="633"/>
      <c r="G43" s="633"/>
      <c r="H43" s="633"/>
      <c r="I43" s="633"/>
      <c r="J43" s="633"/>
      <c r="K43" s="633"/>
      <c r="L43" s="633"/>
      <c r="M43" s="634"/>
      <c r="N43" s="630"/>
      <c r="O43" s="630"/>
      <c r="P43" s="605">
        <v>46196</v>
      </c>
      <c r="Q43" s="605"/>
      <c r="R43" s="605"/>
      <c r="S43" s="605"/>
      <c r="T43" s="605"/>
      <c r="U43" s="606">
        <v>46197</v>
      </c>
      <c r="V43" s="606"/>
      <c r="W43" s="606"/>
      <c r="X43" s="606"/>
      <c r="Y43" s="606"/>
      <c r="Z43" s="605">
        <v>46198</v>
      </c>
      <c r="AA43" s="605"/>
      <c r="AB43" s="605"/>
      <c r="AC43" s="605"/>
      <c r="AD43" s="605"/>
      <c r="AE43" s="606">
        <v>46199</v>
      </c>
      <c r="AF43" s="606"/>
      <c r="AG43" s="606"/>
      <c r="AH43" s="606"/>
      <c r="AI43" s="606"/>
      <c r="AJ43" s="607">
        <v>46200</v>
      </c>
      <c r="AK43" s="608"/>
      <c r="AL43" s="608"/>
      <c r="AM43" s="608"/>
      <c r="AN43" s="609"/>
      <c r="AO43" s="606">
        <v>46201</v>
      </c>
      <c r="AP43" s="606"/>
      <c r="AQ43" s="606"/>
      <c r="AR43" s="606"/>
      <c r="AS43" s="606"/>
      <c r="AT43" s="607">
        <v>46202</v>
      </c>
      <c r="AU43" s="608"/>
      <c r="AV43" s="608"/>
      <c r="AW43" s="608"/>
      <c r="AX43" s="609"/>
    </row>
    <row r="44" spans="2:50" ht="14.25" customHeight="1">
      <c r="B44" s="597" t="s">
        <v>162</v>
      </c>
      <c r="C44" s="597" t="s">
        <v>157</v>
      </c>
      <c r="D44" s="597"/>
      <c r="E44" s="597" t="s">
        <v>158</v>
      </c>
      <c r="F44" s="597"/>
      <c r="G44" s="597"/>
      <c r="H44" s="597" t="s">
        <v>163</v>
      </c>
      <c r="I44" s="601" t="s">
        <v>364</v>
      </c>
      <c r="J44" s="601"/>
      <c r="K44" s="601"/>
      <c r="L44" s="601" t="s">
        <v>163</v>
      </c>
      <c r="M44" s="601" t="s">
        <v>165</v>
      </c>
      <c r="N44" s="597"/>
      <c r="O44" s="597" t="s">
        <v>164</v>
      </c>
      <c r="P44" s="597" t="s">
        <v>160</v>
      </c>
      <c r="Q44" s="597"/>
      <c r="R44" s="597"/>
      <c r="S44" s="597"/>
      <c r="T44" s="597" t="s">
        <v>163</v>
      </c>
      <c r="U44" s="597" t="s">
        <v>160</v>
      </c>
      <c r="V44" s="597"/>
      <c r="W44" s="597"/>
      <c r="X44" s="597"/>
      <c r="Y44" s="597" t="s">
        <v>163</v>
      </c>
      <c r="Z44" s="597" t="s">
        <v>160</v>
      </c>
      <c r="AA44" s="597"/>
      <c r="AB44" s="597"/>
      <c r="AC44" s="597"/>
      <c r="AD44" s="597" t="s">
        <v>163</v>
      </c>
      <c r="AE44" s="597" t="s">
        <v>160</v>
      </c>
      <c r="AF44" s="597"/>
      <c r="AG44" s="597"/>
      <c r="AH44" s="597"/>
      <c r="AI44" s="597" t="s">
        <v>163</v>
      </c>
      <c r="AJ44" s="597" t="s">
        <v>160</v>
      </c>
      <c r="AK44" s="597"/>
      <c r="AL44" s="597"/>
      <c r="AM44" s="597"/>
      <c r="AN44" s="597" t="s">
        <v>163</v>
      </c>
      <c r="AO44" s="597" t="s">
        <v>160</v>
      </c>
      <c r="AP44" s="597"/>
      <c r="AQ44" s="597"/>
      <c r="AR44" s="597"/>
      <c r="AS44" s="597" t="s">
        <v>163</v>
      </c>
      <c r="AT44" s="597" t="s">
        <v>160</v>
      </c>
      <c r="AU44" s="597"/>
      <c r="AV44" s="597"/>
      <c r="AW44" s="597"/>
      <c r="AX44" s="597" t="s">
        <v>163</v>
      </c>
    </row>
    <row r="45" spans="2:50" ht="14.25" customHeight="1">
      <c r="B45" s="597"/>
      <c r="C45" s="597"/>
      <c r="D45" s="597"/>
      <c r="E45" s="597" t="s">
        <v>365</v>
      </c>
      <c r="F45" s="597"/>
      <c r="G45" s="597"/>
      <c r="H45" s="597"/>
      <c r="I45" s="601" t="s">
        <v>365</v>
      </c>
      <c r="J45" s="601"/>
      <c r="K45" s="601"/>
      <c r="L45" s="601"/>
      <c r="M45" s="601"/>
      <c r="N45" s="597"/>
      <c r="O45" s="597"/>
      <c r="P45" s="597" t="s">
        <v>366</v>
      </c>
      <c r="Q45" s="597"/>
      <c r="R45" s="597"/>
      <c r="S45" s="597"/>
      <c r="T45" s="597"/>
      <c r="U45" s="597" t="s">
        <v>366</v>
      </c>
      <c r="V45" s="597"/>
      <c r="W45" s="597"/>
      <c r="X45" s="597"/>
      <c r="Y45" s="597"/>
      <c r="Z45" s="597" t="s">
        <v>366</v>
      </c>
      <c r="AA45" s="597"/>
      <c r="AB45" s="597"/>
      <c r="AC45" s="597"/>
      <c r="AD45" s="597"/>
      <c r="AE45" s="597" t="s">
        <v>366</v>
      </c>
      <c r="AF45" s="597"/>
      <c r="AG45" s="597"/>
      <c r="AH45" s="597"/>
      <c r="AI45" s="597"/>
      <c r="AJ45" s="597" t="s">
        <v>366</v>
      </c>
      <c r="AK45" s="597"/>
      <c r="AL45" s="597"/>
      <c r="AM45" s="597"/>
      <c r="AN45" s="597"/>
      <c r="AO45" s="597" t="s">
        <v>366</v>
      </c>
      <c r="AP45" s="597"/>
      <c r="AQ45" s="597"/>
      <c r="AR45" s="597"/>
      <c r="AS45" s="597"/>
      <c r="AT45" s="597" t="s">
        <v>366</v>
      </c>
      <c r="AU45" s="597"/>
      <c r="AV45" s="597"/>
      <c r="AW45" s="597"/>
      <c r="AX45" s="597"/>
    </row>
    <row r="46" spans="2:50" ht="14.25" customHeight="1">
      <c r="B46" s="597"/>
      <c r="C46" s="597"/>
      <c r="D46" s="597"/>
      <c r="E46" s="179" t="s">
        <v>159</v>
      </c>
      <c r="F46" s="179" t="s">
        <v>367</v>
      </c>
      <c r="G46" s="179" t="s">
        <v>161</v>
      </c>
      <c r="H46" s="597"/>
      <c r="I46" s="180" t="s">
        <v>159</v>
      </c>
      <c r="J46" s="180" t="s">
        <v>367</v>
      </c>
      <c r="K46" s="180" t="s">
        <v>161</v>
      </c>
      <c r="L46" s="601"/>
      <c r="M46" s="601"/>
      <c r="N46" s="597"/>
      <c r="O46" s="597"/>
      <c r="P46" s="179" t="s">
        <v>159</v>
      </c>
      <c r="Q46" s="179" t="s">
        <v>367</v>
      </c>
      <c r="R46" s="179" t="s">
        <v>161</v>
      </c>
      <c r="S46" s="181" t="s">
        <v>165</v>
      </c>
      <c r="T46" s="597"/>
      <c r="U46" s="179" t="s">
        <v>159</v>
      </c>
      <c r="V46" s="179" t="s">
        <v>367</v>
      </c>
      <c r="W46" s="179" t="s">
        <v>161</v>
      </c>
      <c r="X46" s="181" t="s">
        <v>165</v>
      </c>
      <c r="Y46" s="597"/>
      <c r="Z46" s="179" t="s">
        <v>159</v>
      </c>
      <c r="AA46" s="179" t="s">
        <v>367</v>
      </c>
      <c r="AB46" s="179" t="s">
        <v>161</v>
      </c>
      <c r="AC46" s="181" t="s">
        <v>165</v>
      </c>
      <c r="AD46" s="597"/>
      <c r="AE46" s="179" t="s">
        <v>159</v>
      </c>
      <c r="AF46" s="179" t="s">
        <v>367</v>
      </c>
      <c r="AG46" s="179" t="s">
        <v>161</v>
      </c>
      <c r="AH46" s="181" t="s">
        <v>165</v>
      </c>
      <c r="AI46" s="597"/>
      <c r="AJ46" s="179" t="s">
        <v>159</v>
      </c>
      <c r="AK46" s="179" t="s">
        <v>367</v>
      </c>
      <c r="AL46" s="179" t="s">
        <v>161</v>
      </c>
      <c r="AM46" s="181" t="s">
        <v>165</v>
      </c>
      <c r="AN46" s="597"/>
      <c r="AO46" s="179" t="s">
        <v>159</v>
      </c>
      <c r="AP46" s="179" t="s">
        <v>367</v>
      </c>
      <c r="AQ46" s="179" t="s">
        <v>161</v>
      </c>
      <c r="AR46" s="181" t="s">
        <v>165</v>
      </c>
      <c r="AS46" s="597"/>
      <c r="AT46" s="179" t="s">
        <v>159</v>
      </c>
      <c r="AU46" s="179" t="s">
        <v>367</v>
      </c>
      <c r="AV46" s="179" t="s">
        <v>161</v>
      </c>
      <c r="AW46" s="181" t="s">
        <v>165</v>
      </c>
      <c r="AX46" s="597"/>
    </row>
    <row r="47" spans="2:50" ht="14.25" customHeight="1">
      <c r="B47" s="597" t="s">
        <v>348</v>
      </c>
      <c r="C47" s="179">
        <v>1</v>
      </c>
      <c r="D47" s="182" t="s">
        <v>342</v>
      </c>
      <c r="E47" s="183">
        <v>24</v>
      </c>
      <c r="F47" s="179">
        <v>2000</v>
      </c>
      <c r="G47" s="184">
        <f t="shared" ref="G47:G55" si="33">IFERROR(F47/E47,"")</f>
        <v>83.333333333333329</v>
      </c>
      <c r="H47" s="598">
        <f>AVERAGE(G47:G61)</f>
        <v>94.153055747258634</v>
      </c>
      <c r="I47" s="185">
        <f>AVERAGE(P47,U47,Z47,AE47,AJ47,AO47,AT47)</f>
        <v>24</v>
      </c>
      <c r="J47" s="185">
        <f>AVERAGE(Q47,V47,AA47,AF47,AK47,AP47,AU47)</f>
        <v>1789.0260157321027</v>
      </c>
      <c r="K47" s="186">
        <f>AVERAGE(R47,W47,AB47,AG47,AL47,AQ47,AV47)</f>
        <v>74.542750655504278</v>
      </c>
      <c r="L47" s="599">
        <f>IFERROR(AVERAGE(K47:K61),"-")</f>
        <v>85.849102045717643</v>
      </c>
      <c r="M47" s="185">
        <f>RANK(K47, K$47:$K$61)</f>
        <v>9</v>
      </c>
      <c r="N47" s="597"/>
      <c r="O47" s="597"/>
      <c r="P47" s="187">
        <v>24</v>
      </c>
      <c r="Q47" s="187">
        <v>1789.740301446388</v>
      </c>
      <c r="R47" s="184">
        <f>IFERROR(Q47/P47,"")</f>
        <v>74.572512560266162</v>
      </c>
      <c r="S47" s="181">
        <f>RANK(R47, R$47:R$61)</f>
        <v>8</v>
      </c>
      <c r="T47" s="598">
        <f>AVERAGE(R47:R61)</f>
        <v>85.48297910173676</v>
      </c>
      <c r="U47" s="187">
        <v>24</v>
      </c>
      <c r="V47" s="187">
        <v>1790.540301446388</v>
      </c>
      <c r="W47" s="184">
        <f t="shared" ref="W47:W55" si="34">IFERROR(V47/U47,"")</f>
        <v>74.605845893599493</v>
      </c>
      <c r="X47" s="181">
        <f>RANK(W47, W$47:W$61)</f>
        <v>7</v>
      </c>
      <c r="Y47" s="598">
        <f>AVERAGE(W47:W61)</f>
        <v>83.94556116021495</v>
      </c>
      <c r="Z47" s="187">
        <v>24</v>
      </c>
      <c r="AA47" s="187">
        <v>1789.740301446388</v>
      </c>
      <c r="AB47" s="184">
        <f>IFERROR(AA47/Z47,"")</f>
        <v>74.572512560266162</v>
      </c>
      <c r="AC47" s="181">
        <f>RANK(AB47, AB$47:AB$61)</f>
        <v>8</v>
      </c>
      <c r="AD47" s="598">
        <f>AVERAGE(AB47:AB61)</f>
        <v>84.163126812775005</v>
      </c>
      <c r="AE47" s="187">
        <v>24</v>
      </c>
      <c r="AF47" s="187">
        <v>1789.3403014463879</v>
      </c>
      <c r="AG47" s="184">
        <f>IFERROR(AF47/AE47,"")</f>
        <v>74.555845893599496</v>
      </c>
      <c r="AH47" s="181">
        <f>RANK(AG47, AG$47:AG$61)</f>
        <v>8</v>
      </c>
      <c r="AI47" s="598">
        <f>AVERAGE(AG47:AG61)</f>
        <v>84.297821713700827</v>
      </c>
      <c r="AJ47" s="187">
        <v>24</v>
      </c>
      <c r="AK47" s="187">
        <v>1788.3403014463888</v>
      </c>
      <c r="AL47" s="184">
        <f>IFERROR(AK47/AJ47,"")</f>
        <v>74.514179226932868</v>
      </c>
      <c r="AM47" s="181">
        <f>RANK(AL47, AL$47:AL$61)</f>
        <v>8</v>
      </c>
      <c r="AN47" s="598">
        <f>AVERAGE(AL47:AL61)</f>
        <v>84.31637044519708</v>
      </c>
      <c r="AO47" s="187">
        <v>24</v>
      </c>
      <c r="AP47" s="187">
        <v>1788.1403014463888</v>
      </c>
      <c r="AQ47" s="184">
        <f>IFERROR(AP47/AO47,"")</f>
        <v>74.505845893599528</v>
      </c>
      <c r="AR47" s="181">
        <f>RANK(AQ47, AQ$47:AQ$61)</f>
        <v>8</v>
      </c>
      <c r="AS47" s="598">
        <f>AVERAGE(AQ47:AQ61)</f>
        <v>84.321914585550985</v>
      </c>
      <c r="AT47" s="187">
        <v>24</v>
      </c>
      <c r="AU47" s="187">
        <v>1787.3403014463888</v>
      </c>
      <c r="AV47" s="184">
        <f>IFERROR(AU47/AT47,"")</f>
        <v>74.472512560266196</v>
      </c>
      <c r="AW47" s="181">
        <f>RANK(AV47, AV$47:AV$61)</f>
        <v>8</v>
      </c>
      <c r="AX47" s="598">
        <f>AVERAGE(AV47:AV61)</f>
        <v>84.327127681307033</v>
      </c>
    </row>
    <row r="48" spans="2:50" ht="14.25" customHeight="1">
      <c r="B48" s="597"/>
      <c r="C48" s="179">
        <v>2</v>
      </c>
      <c r="D48" s="182" t="s">
        <v>775</v>
      </c>
      <c r="E48" s="179">
        <v>21</v>
      </c>
      <c r="F48" s="179">
        <v>1800</v>
      </c>
      <c r="G48" s="184">
        <f t="shared" si="33"/>
        <v>85.714285714285708</v>
      </c>
      <c r="H48" s="598"/>
      <c r="I48" s="185">
        <f t="shared" ref="I48:K55" si="35">AVERAGE(P48,U48,Z48,AE48,AJ48,AO48,AT48)</f>
        <v>21</v>
      </c>
      <c r="J48" s="185">
        <f t="shared" si="35"/>
        <v>1593.4397803180686</v>
      </c>
      <c r="K48" s="186">
        <f t="shared" si="35"/>
        <v>75.878084777050873</v>
      </c>
      <c r="L48" s="599"/>
      <c r="M48" s="185">
        <f>RANK(K48, K$47:$K$61)</f>
        <v>8</v>
      </c>
      <c r="N48" s="597"/>
      <c r="O48" s="597"/>
      <c r="P48" s="187">
        <v>21</v>
      </c>
      <c r="Q48" s="187">
        <v>1523.826239557857</v>
      </c>
      <c r="R48" s="184">
        <f t="shared" ref="R48:R55" si="36">IFERROR(Q48/P48,"")</f>
        <v>72.563154264659858</v>
      </c>
      <c r="S48" s="181">
        <f>RANK(R48, R$47:R$61)</f>
        <v>9</v>
      </c>
      <c r="T48" s="598"/>
      <c r="U48" s="187">
        <v>21</v>
      </c>
      <c r="V48" s="187">
        <v>1556.8446225438238</v>
      </c>
      <c r="W48" s="184">
        <f t="shared" si="34"/>
        <v>74.135458216372555</v>
      </c>
      <c r="X48" s="181">
        <f>RANK(W48, W$47:W$61)</f>
        <v>8</v>
      </c>
      <c r="Y48" s="598"/>
      <c r="Z48" s="187">
        <v>21</v>
      </c>
      <c r="AA48" s="187">
        <v>1593</v>
      </c>
      <c r="AB48" s="184">
        <f t="shared" ref="AB48:AB55" si="37">IFERROR(AA48/Z48,"")</f>
        <v>75.857142857142861</v>
      </c>
      <c r="AC48" s="181">
        <f>RANK(AB48, AB$47:AB$61)</f>
        <v>7</v>
      </c>
      <c r="AD48" s="598"/>
      <c r="AE48" s="187">
        <v>21</v>
      </c>
      <c r="AF48" s="187">
        <v>1616.891786833799</v>
      </c>
      <c r="AG48" s="184">
        <f t="shared" ref="AG48:AG55" si="38">IFERROR(AF48/AE48,"")</f>
        <v>76.99484699208567</v>
      </c>
      <c r="AH48" s="181">
        <f>RANK(AG48, AG$47:AG$61)</f>
        <v>7</v>
      </c>
      <c r="AI48" s="598"/>
      <c r="AJ48" s="187">
        <v>21</v>
      </c>
      <c r="AK48" s="187">
        <v>1620.8829737251697</v>
      </c>
      <c r="AL48" s="184">
        <f t="shared" ref="AL48:AL55" si="39">IFERROR(AK48/AJ48,"")</f>
        <v>77.184903510722364</v>
      </c>
      <c r="AM48" s="181">
        <f>RANK(AL48, AL$47:AL$61)</f>
        <v>7</v>
      </c>
      <c r="AN48" s="598"/>
      <c r="AO48" s="187">
        <v>21</v>
      </c>
      <c r="AP48" s="187">
        <v>1621.2589545220158</v>
      </c>
      <c r="AQ48" s="184">
        <f t="shared" ref="AQ48:AQ55" si="40">IFERROR(AP48/AO48,"")</f>
        <v>77.202807358191222</v>
      </c>
      <c r="AR48" s="181">
        <f>RANK(AQ48, AQ$47:AQ$61)</f>
        <v>7</v>
      </c>
      <c r="AS48" s="598"/>
      <c r="AT48" s="187">
        <v>21</v>
      </c>
      <c r="AU48" s="187">
        <v>1621.3738850438153</v>
      </c>
      <c r="AV48" s="184">
        <f t="shared" ref="AV48:AV55" si="41">IFERROR(AU48/AT48,"")</f>
        <v>77.208280240181679</v>
      </c>
      <c r="AW48" s="181">
        <f>RANK(AV48, AV$47:AV$61)</f>
        <v>7</v>
      </c>
      <c r="AX48" s="598"/>
    </row>
    <row r="49" spans="2:50" ht="14.25" customHeight="1">
      <c r="B49" s="597"/>
      <c r="C49" s="179">
        <v>3</v>
      </c>
      <c r="D49" s="182" t="s">
        <v>341</v>
      </c>
      <c r="E49" s="179">
        <v>23</v>
      </c>
      <c r="F49" s="179">
        <v>2000</v>
      </c>
      <c r="G49" s="184">
        <f t="shared" si="33"/>
        <v>86.956521739130437</v>
      </c>
      <c r="H49" s="598"/>
      <c r="I49" s="185">
        <f t="shared" si="35"/>
        <v>23</v>
      </c>
      <c r="J49" s="185">
        <f t="shared" si="35"/>
        <v>1791.1952881066375</v>
      </c>
      <c r="K49" s="186">
        <f t="shared" si="35"/>
        <v>77.878056004636392</v>
      </c>
      <c r="L49" s="599"/>
      <c r="M49" s="185">
        <f>RANK(K49, K$47:$K$61)</f>
        <v>7</v>
      </c>
      <c r="N49" s="597"/>
      <c r="O49" s="597"/>
      <c r="P49" s="187">
        <v>23</v>
      </c>
      <c r="Q49" s="187">
        <v>1789.8524309637805</v>
      </c>
      <c r="R49" s="184">
        <f t="shared" si="36"/>
        <v>77.81967091146872</v>
      </c>
      <c r="S49" s="181">
        <f t="shared" ref="S49:S51" si="42">RANK(R49, R$47:R$61)</f>
        <v>7</v>
      </c>
      <c r="T49" s="598"/>
      <c r="U49" s="187">
        <v>23</v>
      </c>
      <c r="V49" s="187">
        <v>1790.0524309637804</v>
      </c>
      <c r="W49" s="184">
        <f t="shared" si="34"/>
        <v>77.828366563642618</v>
      </c>
      <c r="X49" s="181">
        <f t="shared" ref="X49:X51" si="43">RANK(W49, W$47:W$61)</f>
        <v>6</v>
      </c>
      <c r="Y49" s="598"/>
      <c r="Z49" s="187">
        <v>23</v>
      </c>
      <c r="AA49" s="187">
        <v>1791.0524309637801</v>
      </c>
      <c r="AB49" s="184">
        <f t="shared" si="37"/>
        <v>77.871844824512181</v>
      </c>
      <c r="AC49" s="181">
        <f t="shared" ref="AC49:AC51" si="44">RANK(AB49, AB$47:AB$61)</f>
        <v>6</v>
      </c>
      <c r="AD49" s="598"/>
      <c r="AE49" s="187">
        <v>23</v>
      </c>
      <c r="AF49" s="187">
        <v>1790.8524309637801</v>
      </c>
      <c r="AG49" s="184">
        <f t="shared" si="38"/>
        <v>77.863149172338268</v>
      </c>
      <c r="AH49" s="181">
        <f t="shared" ref="AH49:AH51" si="45">RANK(AG49, AG$47:AG$61)</f>
        <v>6</v>
      </c>
      <c r="AI49" s="598"/>
      <c r="AJ49" s="187">
        <v>23</v>
      </c>
      <c r="AK49" s="187">
        <v>1791.65243096378</v>
      </c>
      <c r="AL49" s="184">
        <f t="shared" si="39"/>
        <v>77.897931781033918</v>
      </c>
      <c r="AM49" s="181">
        <f t="shared" ref="AM49:AM51" si="46">RANK(AL49, AL$47:AL$61)</f>
        <v>6</v>
      </c>
      <c r="AN49" s="598"/>
      <c r="AO49" s="187">
        <v>23</v>
      </c>
      <c r="AP49" s="187">
        <v>1792.4524309637798</v>
      </c>
      <c r="AQ49" s="184">
        <f t="shared" si="40"/>
        <v>77.932714389729554</v>
      </c>
      <c r="AR49" s="181">
        <f t="shared" ref="AR49:AR51" si="47">RANK(AQ49, AQ$47:AQ$61)</f>
        <v>5</v>
      </c>
      <c r="AS49" s="598"/>
      <c r="AT49" s="187">
        <v>23</v>
      </c>
      <c r="AU49" s="187">
        <v>1792.4524309637798</v>
      </c>
      <c r="AV49" s="184">
        <f t="shared" si="41"/>
        <v>77.932714389729554</v>
      </c>
      <c r="AW49" s="181">
        <f t="shared" ref="AW49:AW51" si="48">RANK(AV49, AV$47:AV$61)</f>
        <v>6</v>
      </c>
      <c r="AX49" s="598"/>
    </row>
    <row r="50" spans="2:50" ht="14.25" customHeight="1">
      <c r="B50" s="597"/>
      <c r="C50" s="179">
        <v>4</v>
      </c>
      <c r="D50" s="182" t="s">
        <v>349</v>
      </c>
      <c r="E50" s="179">
        <v>23</v>
      </c>
      <c r="F50" s="179">
        <v>2000</v>
      </c>
      <c r="G50" s="184">
        <f t="shared" si="33"/>
        <v>86.956521739130437</v>
      </c>
      <c r="H50" s="598"/>
      <c r="I50" s="185">
        <f t="shared" si="35"/>
        <v>23</v>
      </c>
      <c r="J50" s="185">
        <f t="shared" si="35"/>
        <v>1792.4464754263661</v>
      </c>
      <c r="K50" s="186">
        <f t="shared" si="35"/>
        <v>77.932455453320273</v>
      </c>
      <c r="L50" s="599"/>
      <c r="M50" s="185">
        <f>RANK(K50, K$47:$K$61)</f>
        <v>6</v>
      </c>
      <c r="N50" s="597"/>
      <c r="O50" s="597"/>
      <c r="P50" s="187">
        <v>23</v>
      </c>
      <c r="Q50" s="187">
        <v>1792.3607611406526</v>
      </c>
      <c r="R50" s="184">
        <f t="shared" si="36"/>
        <v>77.928728745245763</v>
      </c>
      <c r="S50" s="181">
        <f t="shared" si="42"/>
        <v>6</v>
      </c>
      <c r="T50" s="598"/>
      <c r="U50" s="187">
        <v>23</v>
      </c>
      <c r="V50" s="187">
        <v>1792.3607611406521</v>
      </c>
      <c r="W50" s="184">
        <f t="shared" si="34"/>
        <v>77.928728745245749</v>
      </c>
      <c r="X50" s="181">
        <f t="shared" si="43"/>
        <v>5</v>
      </c>
      <c r="Y50" s="598"/>
      <c r="Z50" s="187">
        <v>23</v>
      </c>
      <c r="AA50" s="187">
        <v>1793.1607611406521</v>
      </c>
      <c r="AB50" s="184">
        <f t="shared" si="37"/>
        <v>77.963511353941399</v>
      </c>
      <c r="AC50" s="181">
        <f t="shared" si="44"/>
        <v>5</v>
      </c>
      <c r="AD50" s="598"/>
      <c r="AE50" s="187">
        <v>23</v>
      </c>
      <c r="AF50" s="187">
        <v>1792.760761140652</v>
      </c>
      <c r="AG50" s="184">
        <f t="shared" si="38"/>
        <v>77.94612004959356</v>
      </c>
      <c r="AH50" s="181">
        <f t="shared" si="45"/>
        <v>5</v>
      </c>
      <c r="AI50" s="598"/>
      <c r="AJ50" s="187">
        <v>23</v>
      </c>
      <c r="AK50" s="187">
        <v>1791.9607611406518</v>
      </c>
      <c r="AL50" s="184">
        <f t="shared" si="39"/>
        <v>77.91133744089791</v>
      </c>
      <c r="AM50" s="181">
        <f t="shared" si="46"/>
        <v>5</v>
      </c>
      <c r="AN50" s="598"/>
      <c r="AO50" s="187">
        <v>23</v>
      </c>
      <c r="AP50" s="187">
        <v>1791.7607611406518</v>
      </c>
      <c r="AQ50" s="184">
        <f t="shared" si="40"/>
        <v>77.902641788723983</v>
      </c>
      <c r="AR50" s="181">
        <f t="shared" si="47"/>
        <v>6</v>
      </c>
      <c r="AS50" s="598"/>
      <c r="AT50" s="187">
        <v>23</v>
      </c>
      <c r="AU50" s="187">
        <v>1792.7607611406515</v>
      </c>
      <c r="AV50" s="184">
        <f t="shared" si="41"/>
        <v>77.946120049593546</v>
      </c>
      <c r="AW50" s="181">
        <f t="shared" si="48"/>
        <v>5</v>
      </c>
      <c r="AX50" s="598"/>
    </row>
    <row r="51" spans="2:50" ht="14.25" customHeight="1">
      <c r="B51" s="597"/>
      <c r="C51" s="179">
        <v>5</v>
      </c>
      <c r="D51" s="182" t="s">
        <v>343</v>
      </c>
      <c r="E51" s="179">
        <v>23</v>
      </c>
      <c r="F51" s="179">
        <v>2000</v>
      </c>
      <c r="G51" s="184">
        <f t="shared" si="33"/>
        <v>86.956521739130437</v>
      </c>
      <c r="H51" s="598"/>
      <c r="I51" s="185">
        <f t="shared" si="35"/>
        <v>23</v>
      </c>
      <c r="J51" s="185">
        <f t="shared" si="35"/>
        <v>1795.0132557002505</v>
      </c>
      <c r="K51" s="186">
        <f t="shared" si="35"/>
        <v>78.044054595663056</v>
      </c>
      <c r="L51" s="599"/>
      <c r="M51" s="185">
        <f>RANK(K51, K$47:$K$61)</f>
        <v>5</v>
      </c>
      <c r="N51" s="597"/>
      <c r="O51" s="597"/>
      <c r="P51" s="187">
        <v>23</v>
      </c>
      <c r="Q51" s="187">
        <v>1796.2132557002503</v>
      </c>
      <c r="R51" s="184">
        <f t="shared" si="36"/>
        <v>78.096228508706531</v>
      </c>
      <c r="S51" s="181">
        <f t="shared" si="42"/>
        <v>5</v>
      </c>
      <c r="T51" s="598"/>
      <c r="U51" s="187">
        <v>23</v>
      </c>
      <c r="V51" s="187">
        <v>1795.4132557002501</v>
      </c>
      <c r="W51" s="184">
        <f t="shared" si="34"/>
        <v>78.061445900010881</v>
      </c>
      <c r="X51" s="181">
        <f t="shared" si="43"/>
        <v>4</v>
      </c>
      <c r="Y51" s="598"/>
      <c r="Z51" s="187">
        <v>23</v>
      </c>
      <c r="AA51" s="187">
        <v>1794.8132557002502</v>
      </c>
      <c r="AB51" s="184">
        <f t="shared" si="37"/>
        <v>78.035358943489143</v>
      </c>
      <c r="AC51" s="181">
        <f t="shared" si="44"/>
        <v>4</v>
      </c>
      <c r="AD51" s="598"/>
      <c r="AE51" s="187">
        <v>23</v>
      </c>
      <c r="AF51" s="187">
        <v>1794.4132557002506</v>
      </c>
      <c r="AG51" s="184">
        <f t="shared" si="38"/>
        <v>78.017967639141332</v>
      </c>
      <c r="AH51" s="181">
        <f t="shared" si="45"/>
        <v>4</v>
      </c>
      <c r="AI51" s="598"/>
      <c r="AJ51" s="187">
        <v>23</v>
      </c>
      <c r="AK51" s="187">
        <v>1794.4132557002508</v>
      </c>
      <c r="AL51" s="184">
        <f t="shared" si="39"/>
        <v>78.017967639141347</v>
      </c>
      <c r="AM51" s="181">
        <f t="shared" si="46"/>
        <v>4</v>
      </c>
      <c r="AN51" s="598"/>
      <c r="AO51" s="187">
        <v>23</v>
      </c>
      <c r="AP51" s="187">
        <v>1794.6132557002506</v>
      </c>
      <c r="AQ51" s="184">
        <f t="shared" si="40"/>
        <v>78.026663291315245</v>
      </c>
      <c r="AR51" s="181">
        <f t="shared" si="47"/>
        <v>4</v>
      </c>
      <c r="AS51" s="598"/>
      <c r="AT51" s="187">
        <v>23</v>
      </c>
      <c r="AU51" s="187">
        <v>1795.2132557002503</v>
      </c>
      <c r="AV51" s="184">
        <f t="shared" si="41"/>
        <v>78.052750247836968</v>
      </c>
      <c r="AW51" s="181">
        <f t="shared" si="48"/>
        <v>4</v>
      </c>
      <c r="AX51" s="598"/>
    </row>
    <row r="52" spans="2:50" ht="14.25" customHeight="1">
      <c r="B52" s="597"/>
      <c r="C52" s="179">
        <v>6</v>
      </c>
      <c r="D52" s="182" t="s">
        <v>473</v>
      </c>
      <c r="E52" s="179">
        <v>20</v>
      </c>
      <c r="F52" s="179">
        <v>2000</v>
      </c>
      <c r="G52" s="184">
        <f t="shared" si="33"/>
        <v>100</v>
      </c>
      <c r="H52" s="598"/>
      <c r="I52" s="185">
        <f t="shared" si="35"/>
        <v>19</v>
      </c>
      <c r="J52" s="185">
        <f t="shared" si="35"/>
        <v>1790</v>
      </c>
      <c r="K52" s="186">
        <f t="shared" si="35"/>
        <v>94.21052631578948</v>
      </c>
      <c r="L52" s="599"/>
      <c r="M52" s="185">
        <f>RANK(K52, K$47:$K$61)</f>
        <v>3</v>
      </c>
      <c r="N52" s="597"/>
      <c r="O52" s="597"/>
      <c r="P52" s="187">
        <v>19</v>
      </c>
      <c r="Q52" s="187">
        <v>1790.0000000000002</v>
      </c>
      <c r="R52" s="184">
        <f t="shared" si="36"/>
        <v>94.21052631578948</v>
      </c>
      <c r="S52" s="181">
        <f>RANK(R52, R$47:R$61)</f>
        <v>3</v>
      </c>
      <c r="T52" s="598"/>
      <c r="U52" s="187">
        <v>19</v>
      </c>
      <c r="V52" s="187">
        <v>1790.0000000000002</v>
      </c>
      <c r="W52" s="184">
        <f t="shared" si="34"/>
        <v>94.21052631578948</v>
      </c>
      <c r="X52" s="181">
        <f>RANK(W52, W$47:W$61)</f>
        <v>2</v>
      </c>
      <c r="Y52" s="598"/>
      <c r="Z52" s="187">
        <v>19</v>
      </c>
      <c r="AA52" s="187">
        <v>1790</v>
      </c>
      <c r="AB52" s="184">
        <f t="shared" si="37"/>
        <v>94.21052631578948</v>
      </c>
      <c r="AC52" s="181">
        <f>RANK(AB52, AB$47:AB$61)</f>
        <v>2</v>
      </c>
      <c r="AD52" s="598"/>
      <c r="AE52" s="187">
        <v>19</v>
      </c>
      <c r="AF52" s="187">
        <v>1790</v>
      </c>
      <c r="AG52" s="184">
        <f t="shared" si="38"/>
        <v>94.21052631578948</v>
      </c>
      <c r="AH52" s="181">
        <f>RANK(AG52, AG$47:AG$61)</f>
        <v>2</v>
      </c>
      <c r="AI52" s="598"/>
      <c r="AJ52" s="187">
        <v>19</v>
      </c>
      <c r="AK52" s="187">
        <v>1790</v>
      </c>
      <c r="AL52" s="184">
        <f t="shared" si="39"/>
        <v>94.21052631578948</v>
      </c>
      <c r="AM52" s="181">
        <f>RANK(AL52, AL$47:AL$61)</f>
        <v>2</v>
      </c>
      <c r="AN52" s="598"/>
      <c r="AO52" s="187">
        <v>19</v>
      </c>
      <c r="AP52" s="187">
        <v>1790</v>
      </c>
      <c r="AQ52" s="184">
        <f t="shared" si="40"/>
        <v>94.21052631578948</v>
      </c>
      <c r="AR52" s="181">
        <f>RANK(AQ52, AQ$47:AQ$61)</f>
        <v>2</v>
      </c>
      <c r="AS52" s="598"/>
      <c r="AT52" s="187">
        <v>19</v>
      </c>
      <c r="AU52" s="187">
        <v>1790.0000000000002</v>
      </c>
      <c r="AV52" s="184">
        <f t="shared" si="41"/>
        <v>94.21052631578948</v>
      </c>
      <c r="AW52" s="181">
        <f>RANK(AV52, AV$47:AV$61)</f>
        <v>2</v>
      </c>
      <c r="AX52" s="598"/>
    </row>
    <row r="53" spans="2:50" ht="14.25" customHeight="1">
      <c r="B53" s="597"/>
      <c r="C53" s="179">
        <v>7</v>
      </c>
      <c r="D53" s="182" t="s">
        <v>566</v>
      </c>
      <c r="E53" s="179">
        <v>18</v>
      </c>
      <c r="F53" s="179">
        <v>2000</v>
      </c>
      <c r="G53" s="184">
        <f t="shared" si="33"/>
        <v>111.11111111111111</v>
      </c>
      <c r="H53" s="598"/>
      <c r="I53" s="185">
        <f t="shared" si="35"/>
        <v>17</v>
      </c>
      <c r="J53" s="185">
        <f t="shared" si="35"/>
        <v>1790</v>
      </c>
      <c r="K53" s="186">
        <f t="shared" si="35"/>
        <v>105.29411764705881</v>
      </c>
      <c r="L53" s="599"/>
      <c r="M53" s="185">
        <f>RANK(K53, K$47:$K$61)</f>
        <v>1</v>
      </c>
      <c r="N53" s="597"/>
      <c r="O53" s="597"/>
      <c r="P53" s="187">
        <v>17</v>
      </c>
      <c r="Q53" s="187">
        <v>1790</v>
      </c>
      <c r="R53" s="184">
        <f t="shared" si="36"/>
        <v>105.29411764705883</v>
      </c>
      <c r="S53" s="181">
        <f>RANK(R53, R$47:R$61)</f>
        <v>1</v>
      </c>
      <c r="T53" s="598"/>
      <c r="U53" s="187">
        <v>17</v>
      </c>
      <c r="V53" s="187">
        <v>1790</v>
      </c>
      <c r="W53" s="184">
        <f t="shared" si="34"/>
        <v>105.29411764705883</v>
      </c>
      <c r="X53" s="181">
        <f>RANK(W53, W$47:W$61)</f>
        <v>1</v>
      </c>
      <c r="Y53" s="598"/>
      <c r="Z53" s="187">
        <v>17</v>
      </c>
      <c r="AA53" s="187">
        <v>1789.9999999999998</v>
      </c>
      <c r="AB53" s="184">
        <f t="shared" si="37"/>
        <v>105.29411764705881</v>
      </c>
      <c r="AC53" s="181">
        <f>RANK(AB53, AB$47:AB$61)</f>
        <v>1</v>
      </c>
      <c r="AD53" s="598"/>
      <c r="AE53" s="187">
        <v>17</v>
      </c>
      <c r="AF53" s="187">
        <v>1790</v>
      </c>
      <c r="AG53" s="184">
        <f t="shared" si="38"/>
        <v>105.29411764705883</v>
      </c>
      <c r="AH53" s="181">
        <f>RANK(AG53, AG$47:AG$61)</f>
        <v>1</v>
      </c>
      <c r="AI53" s="598"/>
      <c r="AJ53" s="187">
        <v>17</v>
      </c>
      <c r="AK53" s="187">
        <v>1790</v>
      </c>
      <c r="AL53" s="184">
        <f t="shared" si="39"/>
        <v>105.29411764705883</v>
      </c>
      <c r="AM53" s="181">
        <f>RANK(AL53, AL$47:AL$61)</f>
        <v>1</v>
      </c>
      <c r="AN53" s="598"/>
      <c r="AO53" s="187">
        <v>17</v>
      </c>
      <c r="AP53" s="187">
        <v>1790.0000000000002</v>
      </c>
      <c r="AQ53" s="184">
        <f t="shared" si="40"/>
        <v>105.29411764705884</v>
      </c>
      <c r="AR53" s="181">
        <f>RANK(AQ53, AQ$47:AQ$61)</f>
        <v>1</v>
      </c>
      <c r="AS53" s="598"/>
      <c r="AT53" s="187">
        <v>17</v>
      </c>
      <c r="AU53" s="187">
        <v>1789.9999999999998</v>
      </c>
      <c r="AV53" s="184">
        <f t="shared" si="41"/>
        <v>105.29411764705881</v>
      </c>
      <c r="AW53" s="181">
        <f>RANK(AV53, AV$47:AV$61)</f>
        <v>1</v>
      </c>
      <c r="AX53" s="598"/>
    </row>
    <row r="54" spans="2:50" ht="14.25" customHeight="1">
      <c r="B54" s="597"/>
      <c r="C54" s="179">
        <v>8</v>
      </c>
      <c r="D54" s="182" t="s">
        <v>649</v>
      </c>
      <c r="E54" s="179">
        <v>18</v>
      </c>
      <c r="F54" s="179">
        <v>2000</v>
      </c>
      <c r="G54" s="184">
        <f t="shared" si="33"/>
        <v>111.11111111111111</v>
      </c>
      <c r="H54" s="598"/>
      <c r="I54" s="185">
        <f t="shared" si="35"/>
        <v>18</v>
      </c>
      <c r="J54" s="185">
        <f t="shared" si="35"/>
        <v>1788.5137133238395</v>
      </c>
      <c r="K54" s="186">
        <f t="shared" si="35"/>
        <v>99.361872962435527</v>
      </c>
      <c r="L54" s="599"/>
      <c r="M54" s="185">
        <f>RANK(K54, K$47:$K$61)</f>
        <v>2</v>
      </c>
      <c r="N54" s="597"/>
      <c r="O54" s="597"/>
      <c r="P54" s="187">
        <v>18</v>
      </c>
      <c r="Q54" s="187">
        <v>1788.5137133238395</v>
      </c>
      <c r="R54" s="184">
        <f t="shared" si="36"/>
        <v>99.361872962435527</v>
      </c>
      <c r="S54" s="181">
        <f t="shared" ref="S54:S55" si="49">RANK(R54, R$47:R$61)</f>
        <v>2</v>
      </c>
      <c r="T54" s="598"/>
      <c r="U54" s="187"/>
      <c r="V54" s="187"/>
      <c r="W54" s="184"/>
      <c r="X54" s="181"/>
      <c r="Y54" s="598"/>
      <c r="Z54" s="187"/>
      <c r="AA54" s="187"/>
      <c r="AB54" s="184"/>
      <c r="AC54" s="181"/>
      <c r="AD54" s="598"/>
      <c r="AE54" s="187"/>
      <c r="AF54" s="187"/>
      <c r="AG54" s="184"/>
      <c r="AH54" s="181"/>
      <c r="AI54" s="598"/>
      <c r="AJ54" s="187"/>
      <c r="AK54" s="187"/>
      <c r="AL54" s="184"/>
      <c r="AM54" s="181"/>
      <c r="AN54" s="598"/>
      <c r="AO54" s="187"/>
      <c r="AP54" s="187"/>
      <c r="AQ54" s="184"/>
      <c r="AR54" s="181"/>
      <c r="AS54" s="598"/>
      <c r="AT54" s="187"/>
      <c r="AU54" s="187"/>
      <c r="AV54" s="184"/>
      <c r="AW54" s="181"/>
      <c r="AX54" s="598"/>
    </row>
    <row r="55" spans="2:50" ht="14.25" customHeight="1">
      <c r="B55" s="597"/>
      <c r="C55" s="179">
        <v>9</v>
      </c>
      <c r="D55" s="182" t="s">
        <v>664</v>
      </c>
      <c r="E55" s="179">
        <v>21</v>
      </c>
      <c r="F55" s="179">
        <v>2000</v>
      </c>
      <c r="G55" s="184">
        <f t="shared" si="33"/>
        <v>95.238095238095241</v>
      </c>
      <c r="H55" s="598"/>
      <c r="I55" s="185">
        <f t="shared" si="35"/>
        <v>20</v>
      </c>
      <c r="J55" s="185">
        <f t="shared" si="35"/>
        <v>1790</v>
      </c>
      <c r="K55" s="186">
        <f t="shared" si="35"/>
        <v>89.5</v>
      </c>
      <c r="L55" s="599"/>
      <c r="M55" s="185">
        <f>RANK(K55, K$47:$K$61)</f>
        <v>4</v>
      </c>
      <c r="N55" s="597"/>
      <c r="O55" s="597"/>
      <c r="P55" s="187">
        <v>20</v>
      </c>
      <c r="Q55" s="187">
        <v>1790</v>
      </c>
      <c r="R55" s="184">
        <f t="shared" si="36"/>
        <v>89.5</v>
      </c>
      <c r="S55" s="181">
        <f t="shared" si="49"/>
        <v>4</v>
      </c>
      <c r="T55" s="598"/>
      <c r="U55" s="187">
        <v>20</v>
      </c>
      <c r="V55" s="187">
        <v>1790.0000000000002</v>
      </c>
      <c r="W55" s="184">
        <f t="shared" si="34"/>
        <v>89.500000000000014</v>
      </c>
      <c r="X55" s="181">
        <f t="shared" ref="X55" si="50">RANK(W55, W$47:W$61)</f>
        <v>3</v>
      </c>
      <c r="Y55" s="598"/>
      <c r="Z55" s="187">
        <v>20</v>
      </c>
      <c r="AA55" s="187">
        <v>1790</v>
      </c>
      <c r="AB55" s="184">
        <f t="shared" si="37"/>
        <v>89.5</v>
      </c>
      <c r="AC55" s="181">
        <f t="shared" ref="AC55" si="51">RANK(AB55, AB$47:AB$61)</f>
        <v>3</v>
      </c>
      <c r="AD55" s="598"/>
      <c r="AE55" s="187">
        <v>20</v>
      </c>
      <c r="AF55" s="187">
        <v>1790</v>
      </c>
      <c r="AG55" s="184">
        <f t="shared" si="38"/>
        <v>89.5</v>
      </c>
      <c r="AH55" s="181">
        <f t="shared" ref="AH55" si="52">RANK(AG55, AG$47:AG$61)</f>
        <v>3</v>
      </c>
      <c r="AI55" s="598"/>
      <c r="AJ55" s="187">
        <v>20</v>
      </c>
      <c r="AK55" s="187">
        <v>1789.9999999999998</v>
      </c>
      <c r="AL55" s="184">
        <f t="shared" si="39"/>
        <v>89.499999999999986</v>
      </c>
      <c r="AM55" s="181">
        <f t="shared" ref="AM55" si="53">RANK(AL55, AL$47:AL$61)</f>
        <v>3</v>
      </c>
      <c r="AN55" s="598"/>
      <c r="AO55" s="187">
        <v>20</v>
      </c>
      <c r="AP55" s="187">
        <v>1790.0000000000002</v>
      </c>
      <c r="AQ55" s="184">
        <f t="shared" si="40"/>
        <v>89.500000000000014</v>
      </c>
      <c r="AR55" s="181">
        <f t="shared" ref="AR55" si="54">RANK(AQ55, AQ$47:AQ$61)</f>
        <v>3</v>
      </c>
      <c r="AS55" s="598"/>
      <c r="AT55" s="187">
        <v>20</v>
      </c>
      <c r="AU55" s="187">
        <v>1790.0000000000005</v>
      </c>
      <c r="AV55" s="184">
        <f t="shared" si="41"/>
        <v>89.500000000000028</v>
      </c>
      <c r="AW55" s="181">
        <f t="shared" ref="AW55" si="55">RANK(AV55, AV$47:AV$61)</f>
        <v>3</v>
      </c>
      <c r="AX55" s="598"/>
    </row>
    <row r="56" spans="2:50" ht="14.25" customHeight="1">
      <c r="B56" s="597"/>
      <c r="C56" s="179">
        <v>10</v>
      </c>
      <c r="D56" s="182"/>
      <c r="E56" s="179"/>
      <c r="F56" s="179"/>
      <c r="G56" s="184"/>
      <c r="H56" s="598"/>
      <c r="I56" s="185"/>
      <c r="J56" s="185"/>
      <c r="K56" s="186"/>
      <c r="L56" s="599"/>
      <c r="M56" s="185"/>
      <c r="N56" s="597"/>
      <c r="O56" s="597"/>
      <c r="P56" s="187"/>
      <c r="Q56" s="187"/>
      <c r="R56" s="184"/>
      <c r="S56" s="181"/>
      <c r="T56" s="598"/>
      <c r="U56" s="187"/>
      <c r="V56" s="187"/>
      <c r="W56" s="184"/>
      <c r="X56" s="181"/>
      <c r="Y56" s="598"/>
      <c r="Z56" s="187"/>
      <c r="AA56" s="187"/>
      <c r="AB56" s="184"/>
      <c r="AC56" s="181"/>
      <c r="AD56" s="598"/>
      <c r="AE56" s="187"/>
      <c r="AF56" s="187"/>
      <c r="AG56" s="184"/>
      <c r="AH56" s="181"/>
      <c r="AI56" s="598"/>
      <c r="AJ56" s="187"/>
      <c r="AK56" s="187"/>
      <c r="AL56" s="184"/>
      <c r="AM56" s="181"/>
      <c r="AN56" s="598"/>
      <c r="AO56" s="187"/>
      <c r="AP56" s="187"/>
      <c r="AQ56" s="184"/>
      <c r="AR56" s="181"/>
      <c r="AS56" s="598"/>
      <c r="AT56" s="187"/>
      <c r="AU56" s="187"/>
      <c r="AV56" s="184"/>
      <c r="AW56" s="181"/>
      <c r="AX56" s="598"/>
    </row>
    <row r="57" spans="2:50" ht="14.25" customHeight="1">
      <c r="B57" s="597"/>
      <c r="C57" s="179">
        <v>11</v>
      </c>
      <c r="D57" s="182"/>
      <c r="E57" s="179"/>
      <c r="F57" s="179"/>
      <c r="G57" s="184"/>
      <c r="H57" s="598"/>
      <c r="I57" s="185"/>
      <c r="J57" s="185"/>
      <c r="K57" s="186"/>
      <c r="L57" s="599"/>
      <c r="M57" s="185"/>
      <c r="N57" s="597"/>
      <c r="O57" s="597"/>
      <c r="P57" s="187"/>
      <c r="Q57" s="187"/>
      <c r="R57" s="184"/>
      <c r="S57" s="181"/>
      <c r="T57" s="598"/>
      <c r="U57" s="187"/>
      <c r="V57" s="187"/>
      <c r="W57" s="184"/>
      <c r="X57" s="181"/>
      <c r="Y57" s="598"/>
      <c r="Z57" s="187"/>
      <c r="AA57" s="187"/>
      <c r="AB57" s="184"/>
      <c r="AC57" s="181"/>
      <c r="AD57" s="598"/>
      <c r="AE57" s="187"/>
      <c r="AF57" s="187"/>
      <c r="AG57" s="184"/>
      <c r="AH57" s="181"/>
      <c r="AI57" s="598"/>
      <c r="AJ57" s="187"/>
      <c r="AK57" s="187"/>
      <c r="AL57" s="184"/>
      <c r="AM57" s="181"/>
      <c r="AN57" s="598"/>
      <c r="AO57" s="187"/>
      <c r="AP57" s="187"/>
      <c r="AQ57" s="184"/>
      <c r="AR57" s="181"/>
      <c r="AS57" s="598"/>
      <c r="AT57" s="187"/>
      <c r="AU57" s="187"/>
      <c r="AV57" s="184"/>
      <c r="AW57" s="181"/>
      <c r="AX57" s="598"/>
    </row>
    <row r="58" spans="2:50" ht="14.25" customHeight="1">
      <c r="B58" s="597"/>
      <c r="C58" s="179">
        <v>12</v>
      </c>
      <c r="D58" s="182"/>
      <c r="E58" s="179"/>
      <c r="F58" s="179"/>
      <c r="G58" s="184"/>
      <c r="H58" s="598"/>
      <c r="I58" s="185"/>
      <c r="J58" s="185"/>
      <c r="K58" s="186"/>
      <c r="L58" s="599"/>
      <c r="M58" s="185"/>
      <c r="N58" s="597"/>
      <c r="O58" s="597"/>
      <c r="P58" s="187"/>
      <c r="Q58" s="187"/>
      <c r="R58" s="184"/>
      <c r="S58" s="181"/>
      <c r="T58" s="598"/>
      <c r="U58" s="187"/>
      <c r="V58" s="187"/>
      <c r="W58" s="184"/>
      <c r="X58" s="181"/>
      <c r="Y58" s="598"/>
      <c r="Z58" s="187"/>
      <c r="AA58" s="187"/>
      <c r="AB58" s="184"/>
      <c r="AC58" s="181"/>
      <c r="AD58" s="598"/>
      <c r="AE58" s="187"/>
      <c r="AF58" s="187"/>
      <c r="AG58" s="184"/>
      <c r="AH58" s="181"/>
      <c r="AI58" s="598"/>
      <c r="AJ58" s="187"/>
      <c r="AK58" s="187"/>
      <c r="AL58" s="184"/>
      <c r="AM58" s="181"/>
      <c r="AN58" s="598"/>
      <c r="AO58" s="187"/>
      <c r="AP58" s="187"/>
      <c r="AQ58" s="184"/>
      <c r="AR58" s="181"/>
      <c r="AS58" s="598"/>
      <c r="AT58" s="187"/>
      <c r="AU58" s="187"/>
      <c r="AV58" s="184"/>
      <c r="AW58" s="181"/>
      <c r="AX58" s="598"/>
    </row>
    <row r="59" spans="2:50" ht="14.25" customHeight="1">
      <c r="B59" s="597"/>
      <c r="C59" s="179">
        <v>13</v>
      </c>
      <c r="D59" s="182"/>
      <c r="E59" s="179"/>
      <c r="F59" s="179"/>
      <c r="G59" s="184"/>
      <c r="H59" s="598"/>
      <c r="I59" s="185"/>
      <c r="J59" s="185"/>
      <c r="K59" s="186"/>
      <c r="L59" s="599"/>
      <c r="M59" s="185"/>
      <c r="N59" s="597"/>
      <c r="O59" s="597"/>
      <c r="P59" s="187"/>
      <c r="Q59" s="187"/>
      <c r="R59" s="184"/>
      <c r="S59" s="181"/>
      <c r="T59" s="598"/>
      <c r="U59" s="187"/>
      <c r="V59" s="187"/>
      <c r="W59" s="184"/>
      <c r="X59" s="181"/>
      <c r="Y59" s="598"/>
      <c r="Z59" s="187"/>
      <c r="AA59" s="187"/>
      <c r="AB59" s="184"/>
      <c r="AC59" s="181"/>
      <c r="AD59" s="598"/>
      <c r="AE59" s="187"/>
      <c r="AF59" s="187"/>
      <c r="AG59" s="184"/>
      <c r="AH59" s="181"/>
      <c r="AI59" s="598"/>
      <c r="AJ59" s="187"/>
      <c r="AK59" s="187"/>
      <c r="AL59" s="184"/>
      <c r="AM59" s="181"/>
      <c r="AN59" s="598"/>
      <c r="AO59" s="187"/>
      <c r="AP59" s="187"/>
      <c r="AQ59" s="184"/>
      <c r="AR59" s="181"/>
      <c r="AS59" s="598"/>
      <c r="AT59" s="187"/>
      <c r="AU59" s="187"/>
      <c r="AV59" s="184"/>
      <c r="AW59" s="181"/>
      <c r="AX59" s="598"/>
    </row>
    <row r="60" spans="2:50" ht="14.25" customHeight="1">
      <c r="B60" s="597"/>
      <c r="C60" s="179">
        <v>14</v>
      </c>
      <c r="D60" s="182"/>
      <c r="E60" s="179"/>
      <c r="F60" s="179"/>
      <c r="G60" s="184"/>
      <c r="H60" s="598"/>
      <c r="I60" s="185"/>
      <c r="J60" s="185"/>
      <c r="K60" s="186"/>
      <c r="L60" s="599"/>
      <c r="M60" s="185"/>
      <c r="N60" s="597"/>
      <c r="O60" s="597"/>
      <c r="P60" s="187"/>
      <c r="Q60" s="187"/>
      <c r="R60" s="184"/>
      <c r="S60" s="181"/>
      <c r="T60" s="598"/>
      <c r="U60" s="187"/>
      <c r="V60" s="187"/>
      <c r="W60" s="184"/>
      <c r="X60" s="181"/>
      <c r="Y60" s="598"/>
      <c r="Z60" s="187"/>
      <c r="AA60" s="187"/>
      <c r="AB60" s="184"/>
      <c r="AC60" s="181"/>
      <c r="AD60" s="598"/>
      <c r="AE60" s="187"/>
      <c r="AF60" s="187"/>
      <c r="AG60" s="184"/>
      <c r="AH60" s="181"/>
      <c r="AI60" s="598"/>
      <c r="AJ60" s="187"/>
      <c r="AK60" s="187"/>
      <c r="AL60" s="184"/>
      <c r="AM60" s="181"/>
      <c r="AN60" s="598"/>
      <c r="AO60" s="187"/>
      <c r="AP60" s="187"/>
      <c r="AQ60" s="184"/>
      <c r="AR60" s="181"/>
      <c r="AS60" s="598"/>
      <c r="AT60" s="187"/>
      <c r="AU60" s="187"/>
      <c r="AV60" s="184"/>
      <c r="AW60" s="181"/>
      <c r="AX60" s="598"/>
    </row>
    <row r="61" spans="2:50" ht="14.25" customHeight="1">
      <c r="B61" s="597"/>
      <c r="C61" s="179">
        <v>15</v>
      </c>
      <c r="D61" s="182"/>
      <c r="E61" s="179"/>
      <c r="F61" s="179"/>
      <c r="G61" s="184"/>
      <c r="H61" s="598"/>
      <c r="I61" s="185"/>
      <c r="J61" s="185"/>
      <c r="K61" s="186"/>
      <c r="L61" s="599"/>
      <c r="M61" s="185"/>
      <c r="N61" s="597"/>
      <c r="O61" s="597"/>
      <c r="P61" s="187"/>
      <c r="Q61" s="187"/>
      <c r="R61" s="184"/>
      <c r="S61" s="181"/>
      <c r="T61" s="598"/>
      <c r="U61" s="187"/>
      <c r="V61" s="187"/>
      <c r="W61" s="184"/>
      <c r="X61" s="181"/>
      <c r="Y61" s="598"/>
      <c r="Z61" s="187"/>
      <c r="AA61" s="187"/>
      <c r="AB61" s="184"/>
      <c r="AC61" s="181"/>
      <c r="AD61" s="598"/>
      <c r="AE61" s="187"/>
      <c r="AF61" s="187"/>
      <c r="AG61" s="184"/>
      <c r="AH61" s="181"/>
      <c r="AI61" s="598"/>
      <c r="AJ61" s="187"/>
      <c r="AK61" s="187"/>
      <c r="AL61" s="184"/>
      <c r="AM61" s="181"/>
      <c r="AN61" s="598"/>
      <c r="AO61" s="187"/>
      <c r="AP61" s="187"/>
      <c r="AQ61" s="184"/>
      <c r="AR61" s="181"/>
      <c r="AS61" s="598"/>
      <c r="AT61" s="187"/>
      <c r="AU61" s="187"/>
      <c r="AV61" s="184"/>
      <c r="AW61" s="181"/>
      <c r="AX61" s="598"/>
    </row>
    <row r="86" spans="2:50" ht="14.25" customHeight="1">
      <c r="B86" s="521" t="s">
        <v>825</v>
      </c>
      <c r="C86" s="522"/>
      <c r="D86" s="523"/>
      <c r="E86" s="522"/>
      <c r="F86" s="522"/>
      <c r="G86" s="522"/>
      <c r="H86" s="522"/>
      <c r="I86" s="524"/>
      <c r="J86" s="524"/>
      <c r="K86" s="524"/>
      <c r="L86" s="524"/>
      <c r="M86" s="524"/>
      <c r="N86" s="629" t="s">
        <v>363</v>
      </c>
      <c r="O86" s="629" t="s">
        <v>105</v>
      </c>
      <c r="P86" s="617">
        <v>46217</v>
      </c>
      <c r="Q86" s="618"/>
      <c r="R86" s="618"/>
      <c r="S86" s="618"/>
      <c r="T86" s="618"/>
      <c r="U86" s="619">
        <v>46218</v>
      </c>
      <c r="V86" s="620"/>
      <c r="W86" s="620"/>
      <c r="X86" s="620"/>
      <c r="Y86" s="620"/>
      <c r="Z86" s="617">
        <v>46219</v>
      </c>
      <c r="AA86" s="618"/>
      <c r="AB86" s="618"/>
      <c r="AC86" s="618"/>
      <c r="AD86" s="618"/>
      <c r="AE86" s="619">
        <v>46220</v>
      </c>
      <c r="AF86" s="620"/>
      <c r="AG86" s="620"/>
      <c r="AH86" s="620"/>
      <c r="AI86" s="620"/>
      <c r="AJ86" s="602">
        <v>46221</v>
      </c>
      <c r="AK86" s="603"/>
      <c r="AL86" s="603"/>
      <c r="AM86" s="603"/>
      <c r="AN86" s="604"/>
      <c r="AO86" s="619">
        <v>46222</v>
      </c>
      <c r="AP86" s="620"/>
      <c r="AQ86" s="620"/>
      <c r="AR86" s="620"/>
      <c r="AS86" s="620"/>
      <c r="AT86" s="602">
        <v>46223</v>
      </c>
      <c r="AU86" s="603"/>
      <c r="AV86" s="603"/>
      <c r="AW86" s="603"/>
      <c r="AX86" s="604"/>
    </row>
    <row r="87" spans="2:50" ht="14.25" customHeight="1">
      <c r="B87" s="521"/>
      <c r="C87" s="522"/>
      <c r="D87" s="523"/>
      <c r="E87" s="522"/>
      <c r="F87" s="522"/>
      <c r="G87" s="522"/>
      <c r="H87" s="522"/>
      <c r="I87" s="524"/>
      <c r="J87" s="524"/>
      <c r="K87" s="524"/>
      <c r="L87" s="524"/>
      <c r="M87" s="524"/>
      <c r="N87" s="630"/>
      <c r="O87" s="630"/>
      <c r="P87" s="605">
        <v>46196</v>
      </c>
      <c r="Q87" s="605"/>
      <c r="R87" s="605"/>
      <c r="S87" s="605"/>
      <c r="T87" s="605"/>
      <c r="U87" s="606">
        <v>46197</v>
      </c>
      <c r="V87" s="606"/>
      <c r="W87" s="606"/>
      <c r="X87" s="606"/>
      <c r="Y87" s="606"/>
      <c r="Z87" s="605">
        <v>46198</v>
      </c>
      <c r="AA87" s="605"/>
      <c r="AB87" s="605"/>
      <c r="AC87" s="605"/>
      <c r="AD87" s="605"/>
      <c r="AE87" s="606">
        <v>46199</v>
      </c>
      <c r="AF87" s="606"/>
      <c r="AG87" s="606"/>
      <c r="AH87" s="606"/>
      <c r="AI87" s="606"/>
      <c r="AJ87" s="607">
        <v>46200</v>
      </c>
      <c r="AK87" s="608"/>
      <c r="AL87" s="608"/>
      <c r="AM87" s="608"/>
      <c r="AN87" s="609"/>
      <c r="AO87" s="606">
        <v>46201</v>
      </c>
      <c r="AP87" s="606"/>
      <c r="AQ87" s="606"/>
      <c r="AR87" s="606"/>
      <c r="AS87" s="606"/>
      <c r="AT87" s="607">
        <v>46202</v>
      </c>
      <c r="AU87" s="608"/>
      <c r="AV87" s="608"/>
      <c r="AW87" s="608"/>
      <c r="AX87" s="609"/>
    </row>
    <row r="88" spans="2:50" ht="14.25" customHeight="1">
      <c r="B88" s="597" t="s">
        <v>162</v>
      </c>
      <c r="C88" s="597" t="s">
        <v>157</v>
      </c>
      <c r="D88" s="597"/>
      <c r="E88" s="597" t="s">
        <v>158</v>
      </c>
      <c r="F88" s="597"/>
      <c r="G88" s="597"/>
      <c r="H88" s="597" t="s">
        <v>163</v>
      </c>
      <c r="I88" s="601" t="s">
        <v>364</v>
      </c>
      <c r="J88" s="601"/>
      <c r="K88" s="601"/>
      <c r="L88" s="601" t="s">
        <v>163</v>
      </c>
      <c r="M88" s="601" t="s">
        <v>165</v>
      </c>
      <c r="N88" s="597"/>
      <c r="O88" s="597" t="s">
        <v>164</v>
      </c>
      <c r="P88" s="597" t="s">
        <v>160</v>
      </c>
      <c r="Q88" s="597"/>
      <c r="R88" s="597"/>
      <c r="S88" s="597"/>
      <c r="T88" s="597" t="s">
        <v>163</v>
      </c>
      <c r="U88" s="597" t="s">
        <v>160</v>
      </c>
      <c r="V88" s="597"/>
      <c r="W88" s="597"/>
      <c r="X88" s="597"/>
      <c r="Y88" s="597" t="s">
        <v>163</v>
      </c>
      <c r="Z88" s="597" t="s">
        <v>160</v>
      </c>
      <c r="AA88" s="597"/>
      <c r="AB88" s="597"/>
      <c r="AC88" s="597"/>
      <c r="AD88" s="597" t="s">
        <v>163</v>
      </c>
      <c r="AE88" s="597" t="s">
        <v>160</v>
      </c>
      <c r="AF88" s="597"/>
      <c r="AG88" s="597"/>
      <c r="AH88" s="597"/>
      <c r="AI88" s="597" t="s">
        <v>163</v>
      </c>
      <c r="AJ88" s="597" t="s">
        <v>160</v>
      </c>
      <c r="AK88" s="597"/>
      <c r="AL88" s="597"/>
      <c r="AM88" s="597"/>
      <c r="AN88" s="597" t="s">
        <v>163</v>
      </c>
      <c r="AO88" s="597" t="s">
        <v>160</v>
      </c>
      <c r="AP88" s="597"/>
      <c r="AQ88" s="597"/>
      <c r="AR88" s="597"/>
      <c r="AS88" s="597" t="s">
        <v>163</v>
      </c>
      <c r="AT88" s="597" t="s">
        <v>160</v>
      </c>
      <c r="AU88" s="597"/>
      <c r="AV88" s="597"/>
      <c r="AW88" s="597"/>
      <c r="AX88" s="597" t="s">
        <v>163</v>
      </c>
    </row>
    <row r="89" spans="2:50" ht="14.25" customHeight="1">
      <c r="B89" s="597"/>
      <c r="C89" s="597"/>
      <c r="D89" s="597"/>
      <c r="E89" s="597" t="s">
        <v>365</v>
      </c>
      <c r="F89" s="597"/>
      <c r="G89" s="597"/>
      <c r="H89" s="597"/>
      <c r="I89" s="601" t="s">
        <v>365</v>
      </c>
      <c r="J89" s="601"/>
      <c r="K89" s="601"/>
      <c r="L89" s="601"/>
      <c r="M89" s="601"/>
      <c r="N89" s="597"/>
      <c r="O89" s="597"/>
      <c r="P89" s="597" t="s">
        <v>366</v>
      </c>
      <c r="Q89" s="597"/>
      <c r="R89" s="597"/>
      <c r="S89" s="597"/>
      <c r="T89" s="597"/>
      <c r="U89" s="597" t="s">
        <v>366</v>
      </c>
      <c r="V89" s="597"/>
      <c r="W89" s="597"/>
      <c r="X89" s="597"/>
      <c r="Y89" s="597"/>
      <c r="Z89" s="597" t="s">
        <v>366</v>
      </c>
      <c r="AA89" s="597"/>
      <c r="AB89" s="597"/>
      <c r="AC89" s="597"/>
      <c r="AD89" s="597"/>
      <c r="AE89" s="597" t="s">
        <v>366</v>
      </c>
      <c r="AF89" s="597"/>
      <c r="AG89" s="597"/>
      <c r="AH89" s="597"/>
      <c r="AI89" s="597"/>
      <c r="AJ89" s="597" t="s">
        <v>366</v>
      </c>
      <c r="AK89" s="597"/>
      <c r="AL89" s="597"/>
      <c r="AM89" s="597"/>
      <c r="AN89" s="597"/>
      <c r="AO89" s="597" t="s">
        <v>366</v>
      </c>
      <c r="AP89" s="597"/>
      <c r="AQ89" s="597"/>
      <c r="AR89" s="597"/>
      <c r="AS89" s="597"/>
      <c r="AT89" s="597" t="s">
        <v>366</v>
      </c>
      <c r="AU89" s="597"/>
      <c r="AV89" s="597"/>
      <c r="AW89" s="597"/>
      <c r="AX89" s="597"/>
    </row>
    <row r="90" spans="2:50" ht="14.25" customHeight="1">
      <c r="B90" s="597"/>
      <c r="C90" s="597"/>
      <c r="D90" s="597"/>
      <c r="E90" s="179" t="s">
        <v>159</v>
      </c>
      <c r="F90" s="179" t="s">
        <v>367</v>
      </c>
      <c r="G90" s="179" t="s">
        <v>161</v>
      </c>
      <c r="H90" s="597"/>
      <c r="I90" s="180" t="s">
        <v>159</v>
      </c>
      <c r="J90" s="180" t="s">
        <v>367</v>
      </c>
      <c r="K90" s="180" t="s">
        <v>161</v>
      </c>
      <c r="L90" s="601"/>
      <c r="M90" s="601"/>
      <c r="N90" s="597"/>
      <c r="O90" s="597"/>
      <c r="P90" s="179" t="s">
        <v>159</v>
      </c>
      <c r="Q90" s="179" t="s">
        <v>367</v>
      </c>
      <c r="R90" s="179" t="s">
        <v>161</v>
      </c>
      <c r="S90" s="181" t="s">
        <v>165</v>
      </c>
      <c r="T90" s="597"/>
      <c r="U90" s="179" t="s">
        <v>159</v>
      </c>
      <c r="V90" s="179" t="s">
        <v>367</v>
      </c>
      <c r="W90" s="179" t="s">
        <v>161</v>
      </c>
      <c r="X90" s="181" t="s">
        <v>165</v>
      </c>
      <c r="Y90" s="597"/>
      <c r="Z90" s="179" t="s">
        <v>159</v>
      </c>
      <c r="AA90" s="179" t="s">
        <v>367</v>
      </c>
      <c r="AB90" s="179" t="s">
        <v>161</v>
      </c>
      <c r="AC90" s="181" t="s">
        <v>165</v>
      </c>
      <c r="AD90" s="597"/>
      <c r="AE90" s="179" t="s">
        <v>159</v>
      </c>
      <c r="AF90" s="179" t="s">
        <v>367</v>
      </c>
      <c r="AG90" s="179" t="s">
        <v>161</v>
      </c>
      <c r="AH90" s="181" t="s">
        <v>165</v>
      </c>
      <c r="AI90" s="597"/>
      <c r="AJ90" s="179" t="s">
        <v>159</v>
      </c>
      <c r="AK90" s="179" t="s">
        <v>367</v>
      </c>
      <c r="AL90" s="179" t="s">
        <v>161</v>
      </c>
      <c r="AM90" s="181" t="s">
        <v>165</v>
      </c>
      <c r="AN90" s="597"/>
      <c r="AO90" s="179" t="s">
        <v>159</v>
      </c>
      <c r="AP90" s="179" t="s">
        <v>367</v>
      </c>
      <c r="AQ90" s="179" t="s">
        <v>161</v>
      </c>
      <c r="AR90" s="181" t="s">
        <v>165</v>
      </c>
      <c r="AS90" s="597"/>
      <c r="AT90" s="179" t="s">
        <v>159</v>
      </c>
      <c r="AU90" s="179" t="s">
        <v>367</v>
      </c>
      <c r="AV90" s="179" t="s">
        <v>161</v>
      </c>
      <c r="AW90" s="181" t="s">
        <v>165</v>
      </c>
      <c r="AX90" s="597"/>
    </row>
    <row r="91" spans="2:50" ht="14.25" customHeight="1">
      <c r="B91" s="597" t="s">
        <v>348</v>
      </c>
      <c r="C91" s="179">
        <v>1</v>
      </c>
      <c r="D91" s="182" t="s">
        <v>342</v>
      </c>
      <c r="E91" s="183">
        <v>24</v>
      </c>
      <c r="F91" s="179">
        <v>2000</v>
      </c>
      <c r="G91" s="184">
        <f t="shared" ref="G91:G99" si="56">IFERROR(F91/E91,"")</f>
        <v>83.333333333333329</v>
      </c>
      <c r="H91" s="598">
        <f>AVERAGE(G91:G105)</f>
        <v>94.153055747258634</v>
      </c>
      <c r="I91" s="185">
        <f>AVERAGE(P91,U91,Z91,AE91,AJ91,AO91,AT91)</f>
        <v>24</v>
      </c>
      <c r="J91" s="185">
        <f>AVERAGE(Q91,V91,AA91,AF91,AK91,AP91,AU91)</f>
        <v>1789.0260157321027</v>
      </c>
      <c r="K91" s="186">
        <f>AVERAGE(R91,W91,AB91,AG91,AL91,AQ91,AV91)</f>
        <v>74.542750655504278</v>
      </c>
      <c r="L91" s="599">
        <f>IFERROR(AVERAGE(K91:K105),"-")</f>
        <v>85.849102045717643</v>
      </c>
      <c r="M91" s="185">
        <f>RANK(K91, K$91:$K$127)</f>
        <v>9</v>
      </c>
      <c r="N91" s="597"/>
      <c r="O91" s="597"/>
      <c r="P91" s="187">
        <v>24</v>
      </c>
      <c r="Q91" s="187">
        <v>1789.740301446388</v>
      </c>
      <c r="R91" s="184">
        <f>IFERROR(Q91/P91,"")</f>
        <v>74.572512560266162</v>
      </c>
      <c r="S91" s="181">
        <f>RANK(R91, R$91:R$127)</f>
        <v>8</v>
      </c>
      <c r="T91" s="598">
        <f>AVERAGE(R91:R105)</f>
        <v>85.48297910173676</v>
      </c>
      <c r="U91" s="187">
        <v>24</v>
      </c>
      <c r="V91" s="187">
        <v>1790.540301446388</v>
      </c>
      <c r="W91" s="184">
        <f t="shared" ref="W91:W99" si="57">IFERROR(V91/U91,"")</f>
        <v>74.605845893599493</v>
      </c>
      <c r="X91" s="181">
        <f>RANK(W91, W$91:W$127)</f>
        <v>7</v>
      </c>
      <c r="Y91" s="598">
        <f>AVERAGE(W91:W105)</f>
        <v>83.94556116021495</v>
      </c>
      <c r="Z91" s="187">
        <v>24</v>
      </c>
      <c r="AA91" s="187">
        <v>1789.740301446388</v>
      </c>
      <c r="AB91" s="184">
        <f>IFERROR(AA91/Z91,"")</f>
        <v>74.572512560266162</v>
      </c>
      <c r="AC91" s="181">
        <f>RANK(AB91, AB$91:AB$127)</f>
        <v>8</v>
      </c>
      <c r="AD91" s="598">
        <f>AVERAGE(AB91:AB105)</f>
        <v>84.163126812775005</v>
      </c>
      <c r="AE91" s="187">
        <v>24</v>
      </c>
      <c r="AF91" s="187">
        <v>1789.3403014463879</v>
      </c>
      <c r="AG91" s="184">
        <f>IFERROR(AF91/AE91,"")</f>
        <v>74.555845893599496</v>
      </c>
      <c r="AH91" s="181">
        <f>RANK(AG91, AG$91:AG$127)</f>
        <v>8</v>
      </c>
      <c r="AI91" s="598">
        <f>AVERAGE(AG91:AG105)</f>
        <v>84.297821713700827</v>
      </c>
      <c r="AJ91" s="187">
        <v>24</v>
      </c>
      <c r="AK91" s="187">
        <v>1788.3403014463888</v>
      </c>
      <c r="AL91" s="184">
        <f>IFERROR(AK91/AJ91,"")</f>
        <v>74.514179226932868</v>
      </c>
      <c r="AM91" s="181">
        <f>RANK(AL91, AL$91:AL$127)</f>
        <v>8</v>
      </c>
      <c r="AN91" s="598">
        <f>AVERAGE(AL91:AL105)</f>
        <v>84.31637044519708</v>
      </c>
      <c r="AO91" s="187">
        <v>24</v>
      </c>
      <c r="AP91" s="187">
        <v>1788.1403014463888</v>
      </c>
      <c r="AQ91" s="184">
        <f>IFERROR(AP91/AO91,"")</f>
        <v>74.505845893599528</v>
      </c>
      <c r="AR91" s="181">
        <f>RANK(AQ91, AQ$91:AQ$127)</f>
        <v>8</v>
      </c>
      <c r="AS91" s="598">
        <f>AVERAGE(AQ91:AQ105)</f>
        <v>84.321914585550985</v>
      </c>
      <c r="AT91" s="187">
        <v>24</v>
      </c>
      <c r="AU91" s="187">
        <v>1787.3403014463888</v>
      </c>
      <c r="AV91" s="184">
        <f>IFERROR(AU91/AT91,"")</f>
        <v>74.472512560266196</v>
      </c>
      <c r="AW91" s="181">
        <f>RANK(AV91, AV$91:AV$127)</f>
        <v>8</v>
      </c>
      <c r="AX91" s="598">
        <f>AVERAGE(AV91:AV105)</f>
        <v>84.327127681307033</v>
      </c>
    </row>
    <row r="92" spans="2:50" ht="14.25" customHeight="1">
      <c r="B92" s="597"/>
      <c r="C92" s="179">
        <v>2</v>
      </c>
      <c r="D92" s="182" t="s">
        <v>775</v>
      </c>
      <c r="E92" s="179">
        <v>21</v>
      </c>
      <c r="F92" s="179">
        <v>1800</v>
      </c>
      <c r="G92" s="184">
        <f t="shared" si="56"/>
        <v>85.714285714285708</v>
      </c>
      <c r="H92" s="598"/>
      <c r="I92" s="185">
        <f t="shared" ref="I92:K99" si="58">AVERAGE(P92,U92,Z92,AE92,AJ92,AO92,AT92)</f>
        <v>21</v>
      </c>
      <c r="J92" s="185">
        <f t="shared" si="58"/>
        <v>1593.4397803180686</v>
      </c>
      <c r="K92" s="186">
        <f t="shared" si="58"/>
        <v>75.878084777050873</v>
      </c>
      <c r="L92" s="599"/>
      <c r="M92" s="185">
        <f>RANK(K92, K$91:$K$127)</f>
        <v>8</v>
      </c>
      <c r="N92" s="597"/>
      <c r="O92" s="597"/>
      <c r="P92" s="187">
        <v>21</v>
      </c>
      <c r="Q92" s="187">
        <v>1523.826239557857</v>
      </c>
      <c r="R92" s="184">
        <f t="shared" ref="R92:R99" si="59">IFERROR(Q92/P92,"")</f>
        <v>72.563154264659858</v>
      </c>
      <c r="S92" s="181">
        <f t="shared" ref="S92:S126" si="60">RANK(R92, R$91:R$127)</f>
        <v>9</v>
      </c>
      <c r="T92" s="598"/>
      <c r="U92" s="187">
        <v>21</v>
      </c>
      <c r="V92" s="187">
        <v>1556.8446225438238</v>
      </c>
      <c r="W92" s="184">
        <f t="shared" si="57"/>
        <v>74.135458216372555</v>
      </c>
      <c r="X92" s="181">
        <f t="shared" ref="X92:X126" si="61">RANK(W92, W$91:W$127)</f>
        <v>8</v>
      </c>
      <c r="Y92" s="598"/>
      <c r="Z92" s="187">
        <v>21</v>
      </c>
      <c r="AA92" s="187">
        <v>1593</v>
      </c>
      <c r="AB92" s="184">
        <f t="shared" ref="AB92:AB99" si="62">IFERROR(AA92/Z92,"")</f>
        <v>75.857142857142861</v>
      </c>
      <c r="AC92" s="181">
        <f t="shared" ref="AC92:AC126" si="63">RANK(AB92, AB$91:AB$127)</f>
        <v>7</v>
      </c>
      <c r="AD92" s="598"/>
      <c r="AE92" s="187">
        <v>21</v>
      </c>
      <c r="AF92" s="187">
        <v>1616.891786833799</v>
      </c>
      <c r="AG92" s="184">
        <f t="shared" ref="AG92:AG99" si="64">IFERROR(AF92/AE92,"")</f>
        <v>76.99484699208567</v>
      </c>
      <c r="AH92" s="181">
        <f t="shared" ref="AH92:AH126" si="65">RANK(AG92, AG$91:AG$127)</f>
        <v>7</v>
      </c>
      <c r="AI92" s="598"/>
      <c r="AJ92" s="187">
        <v>21</v>
      </c>
      <c r="AK92" s="187">
        <v>1620.8829737251697</v>
      </c>
      <c r="AL92" s="184">
        <f t="shared" ref="AL92:AL99" si="66">IFERROR(AK92/AJ92,"")</f>
        <v>77.184903510722364</v>
      </c>
      <c r="AM92" s="181">
        <f t="shared" ref="AM92:AM126" si="67">RANK(AL92, AL$91:AL$127)</f>
        <v>7</v>
      </c>
      <c r="AN92" s="598"/>
      <c r="AO92" s="187">
        <v>21</v>
      </c>
      <c r="AP92" s="187">
        <v>1621.2589545220158</v>
      </c>
      <c r="AQ92" s="184">
        <f t="shared" ref="AQ92:AQ99" si="68">IFERROR(AP92/AO92,"")</f>
        <v>77.202807358191222</v>
      </c>
      <c r="AR92" s="181">
        <f t="shared" ref="AR92:AR126" si="69">RANK(AQ92, AQ$91:AQ$127)</f>
        <v>7</v>
      </c>
      <c r="AS92" s="598"/>
      <c r="AT92" s="187">
        <v>21</v>
      </c>
      <c r="AU92" s="187">
        <v>1621.3738850438153</v>
      </c>
      <c r="AV92" s="184">
        <f t="shared" ref="AV92:AV99" si="70">IFERROR(AU92/AT92,"")</f>
        <v>77.208280240181679</v>
      </c>
      <c r="AW92" s="181">
        <f t="shared" ref="AW92:AW126" si="71">RANK(AV92, AV$91:AV$127)</f>
        <v>7</v>
      </c>
      <c r="AX92" s="598"/>
    </row>
    <row r="93" spans="2:50" ht="14.25" customHeight="1">
      <c r="B93" s="597"/>
      <c r="C93" s="179">
        <v>3</v>
      </c>
      <c r="D93" s="182" t="s">
        <v>341</v>
      </c>
      <c r="E93" s="179">
        <v>23</v>
      </c>
      <c r="F93" s="179">
        <v>2000</v>
      </c>
      <c r="G93" s="184">
        <f t="shared" si="56"/>
        <v>86.956521739130437</v>
      </c>
      <c r="H93" s="598"/>
      <c r="I93" s="185">
        <f t="shared" si="58"/>
        <v>23</v>
      </c>
      <c r="J93" s="185">
        <f t="shared" si="58"/>
        <v>1791.1952881066375</v>
      </c>
      <c r="K93" s="186">
        <f t="shared" si="58"/>
        <v>77.878056004636392</v>
      </c>
      <c r="L93" s="599"/>
      <c r="M93" s="185">
        <f>RANK(K93, K$91:$K$127)</f>
        <v>7</v>
      </c>
      <c r="N93" s="597"/>
      <c r="O93" s="597"/>
      <c r="P93" s="187">
        <v>23</v>
      </c>
      <c r="Q93" s="187">
        <v>1789.8524309637805</v>
      </c>
      <c r="R93" s="184">
        <f t="shared" si="59"/>
        <v>77.81967091146872</v>
      </c>
      <c r="S93" s="181">
        <f t="shared" si="60"/>
        <v>7</v>
      </c>
      <c r="T93" s="598"/>
      <c r="U93" s="187">
        <v>23</v>
      </c>
      <c r="V93" s="187">
        <v>1790.0524309637804</v>
      </c>
      <c r="W93" s="184">
        <f t="shared" si="57"/>
        <v>77.828366563642618</v>
      </c>
      <c r="X93" s="181">
        <f t="shared" si="61"/>
        <v>6</v>
      </c>
      <c r="Y93" s="598"/>
      <c r="Z93" s="187">
        <v>23</v>
      </c>
      <c r="AA93" s="187">
        <v>1791.0524309637801</v>
      </c>
      <c r="AB93" s="184">
        <f t="shared" si="62"/>
        <v>77.871844824512181</v>
      </c>
      <c r="AC93" s="181">
        <f t="shared" si="63"/>
        <v>6</v>
      </c>
      <c r="AD93" s="598"/>
      <c r="AE93" s="187">
        <v>23</v>
      </c>
      <c r="AF93" s="187">
        <v>1790.8524309637801</v>
      </c>
      <c r="AG93" s="184">
        <f t="shared" si="64"/>
        <v>77.863149172338268</v>
      </c>
      <c r="AH93" s="181">
        <f t="shared" si="65"/>
        <v>6</v>
      </c>
      <c r="AI93" s="598"/>
      <c r="AJ93" s="187">
        <v>23</v>
      </c>
      <c r="AK93" s="187">
        <v>1791.65243096378</v>
      </c>
      <c r="AL93" s="184">
        <f t="shared" si="66"/>
        <v>77.897931781033918</v>
      </c>
      <c r="AM93" s="181">
        <f t="shared" si="67"/>
        <v>6</v>
      </c>
      <c r="AN93" s="598"/>
      <c r="AO93" s="187">
        <v>23</v>
      </c>
      <c r="AP93" s="187">
        <v>1792.4524309637798</v>
      </c>
      <c r="AQ93" s="184">
        <f t="shared" si="68"/>
        <v>77.932714389729554</v>
      </c>
      <c r="AR93" s="181">
        <f t="shared" si="69"/>
        <v>5</v>
      </c>
      <c r="AS93" s="598"/>
      <c r="AT93" s="187">
        <v>23</v>
      </c>
      <c r="AU93" s="187">
        <v>1792.4524309637798</v>
      </c>
      <c r="AV93" s="184">
        <f t="shared" si="70"/>
        <v>77.932714389729554</v>
      </c>
      <c r="AW93" s="181">
        <f t="shared" si="71"/>
        <v>6</v>
      </c>
      <c r="AX93" s="598"/>
    </row>
    <row r="94" spans="2:50" ht="14.25" customHeight="1">
      <c r="B94" s="597"/>
      <c r="C94" s="179">
        <v>4</v>
      </c>
      <c r="D94" s="182" t="s">
        <v>349</v>
      </c>
      <c r="E94" s="179">
        <v>23</v>
      </c>
      <c r="F94" s="179">
        <v>2000</v>
      </c>
      <c r="G94" s="184">
        <f t="shared" si="56"/>
        <v>86.956521739130437</v>
      </c>
      <c r="H94" s="598"/>
      <c r="I94" s="185">
        <f t="shared" si="58"/>
        <v>23</v>
      </c>
      <c r="J94" s="185">
        <f t="shared" si="58"/>
        <v>1792.4464754263661</v>
      </c>
      <c r="K94" s="186">
        <f t="shared" si="58"/>
        <v>77.932455453320273</v>
      </c>
      <c r="L94" s="599"/>
      <c r="M94" s="185">
        <f>RANK(K94, K$91:$K$127)</f>
        <v>6</v>
      </c>
      <c r="N94" s="597"/>
      <c r="O94" s="597"/>
      <c r="P94" s="187">
        <v>23</v>
      </c>
      <c r="Q94" s="187">
        <v>1792.3607611406526</v>
      </c>
      <c r="R94" s="184">
        <f t="shared" si="59"/>
        <v>77.928728745245763</v>
      </c>
      <c r="S94" s="181">
        <f t="shared" si="60"/>
        <v>6</v>
      </c>
      <c r="T94" s="598"/>
      <c r="U94" s="187">
        <v>23</v>
      </c>
      <c r="V94" s="187">
        <v>1792.3607611406521</v>
      </c>
      <c r="W94" s="184">
        <f t="shared" si="57"/>
        <v>77.928728745245749</v>
      </c>
      <c r="X94" s="181">
        <f t="shared" si="61"/>
        <v>5</v>
      </c>
      <c r="Y94" s="598"/>
      <c r="Z94" s="187">
        <v>23</v>
      </c>
      <c r="AA94" s="187">
        <v>1793.1607611406521</v>
      </c>
      <c r="AB94" s="184">
        <f t="shared" si="62"/>
        <v>77.963511353941399</v>
      </c>
      <c r="AC94" s="181">
        <f t="shared" si="63"/>
        <v>5</v>
      </c>
      <c r="AD94" s="598"/>
      <c r="AE94" s="187">
        <v>23</v>
      </c>
      <c r="AF94" s="187">
        <v>1792.760761140652</v>
      </c>
      <c r="AG94" s="184">
        <f t="shared" si="64"/>
        <v>77.94612004959356</v>
      </c>
      <c r="AH94" s="181">
        <f t="shared" si="65"/>
        <v>5</v>
      </c>
      <c r="AI94" s="598"/>
      <c r="AJ94" s="187">
        <v>23</v>
      </c>
      <c r="AK94" s="187">
        <v>1791.9607611406518</v>
      </c>
      <c r="AL94" s="184">
        <f t="shared" si="66"/>
        <v>77.91133744089791</v>
      </c>
      <c r="AM94" s="181">
        <f t="shared" si="67"/>
        <v>5</v>
      </c>
      <c r="AN94" s="598"/>
      <c r="AO94" s="187">
        <v>23</v>
      </c>
      <c r="AP94" s="187">
        <v>1791.7607611406518</v>
      </c>
      <c r="AQ94" s="184">
        <f t="shared" si="68"/>
        <v>77.902641788723983</v>
      </c>
      <c r="AR94" s="181">
        <f t="shared" si="69"/>
        <v>6</v>
      </c>
      <c r="AS94" s="598"/>
      <c r="AT94" s="187">
        <v>23</v>
      </c>
      <c r="AU94" s="187">
        <v>1792.7607611406515</v>
      </c>
      <c r="AV94" s="184">
        <f t="shared" si="70"/>
        <v>77.946120049593546</v>
      </c>
      <c r="AW94" s="181">
        <f t="shared" si="71"/>
        <v>5</v>
      </c>
      <c r="AX94" s="598"/>
    </row>
    <row r="95" spans="2:50" ht="14.25" customHeight="1">
      <c r="B95" s="597"/>
      <c r="C95" s="179">
        <v>5</v>
      </c>
      <c r="D95" s="182" t="s">
        <v>343</v>
      </c>
      <c r="E95" s="179">
        <v>23</v>
      </c>
      <c r="F95" s="179">
        <v>2000</v>
      </c>
      <c r="G95" s="184">
        <f t="shared" si="56"/>
        <v>86.956521739130437</v>
      </c>
      <c r="H95" s="598"/>
      <c r="I95" s="185">
        <f t="shared" si="58"/>
        <v>23</v>
      </c>
      <c r="J95" s="185">
        <f t="shared" si="58"/>
        <v>1795.0132557002505</v>
      </c>
      <c r="K95" s="186">
        <f t="shared" si="58"/>
        <v>78.044054595663056</v>
      </c>
      <c r="L95" s="599"/>
      <c r="M95" s="185">
        <f>RANK(K95, K$91:$K$127)</f>
        <v>5</v>
      </c>
      <c r="N95" s="597"/>
      <c r="O95" s="597"/>
      <c r="P95" s="187">
        <v>23</v>
      </c>
      <c r="Q95" s="187">
        <v>1796.2132557002503</v>
      </c>
      <c r="R95" s="184">
        <f t="shared" si="59"/>
        <v>78.096228508706531</v>
      </c>
      <c r="S95" s="181">
        <f t="shared" si="60"/>
        <v>5</v>
      </c>
      <c r="T95" s="598"/>
      <c r="U95" s="187">
        <v>23</v>
      </c>
      <c r="V95" s="187">
        <v>1795.4132557002501</v>
      </c>
      <c r="W95" s="184">
        <f t="shared" si="57"/>
        <v>78.061445900010881</v>
      </c>
      <c r="X95" s="181">
        <f t="shared" si="61"/>
        <v>4</v>
      </c>
      <c r="Y95" s="598"/>
      <c r="Z95" s="187">
        <v>23</v>
      </c>
      <c r="AA95" s="187">
        <v>1794.8132557002502</v>
      </c>
      <c r="AB95" s="184">
        <f t="shared" si="62"/>
        <v>78.035358943489143</v>
      </c>
      <c r="AC95" s="181">
        <f t="shared" si="63"/>
        <v>4</v>
      </c>
      <c r="AD95" s="598"/>
      <c r="AE95" s="187">
        <v>23</v>
      </c>
      <c r="AF95" s="187">
        <v>1794.4132557002506</v>
      </c>
      <c r="AG95" s="184">
        <f t="shared" si="64"/>
        <v>78.017967639141332</v>
      </c>
      <c r="AH95" s="181">
        <f t="shared" si="65"/>
        <v>4</v>
      </c>
      <c r="AI95" s="598"/>
      <c r="AJ95" s="187">
        <v>23</v>
      </c>
      <c r="AK95" s="187">
        <v>1794.4132557002508</v>
      </c>
      <c r="AL95" s="184">
        <f t="shared" si="66"/>
        <v>78.017967639141347</v>
      </c>
      <c r="AM95" s="181">
        <f t="shared" si="67"/>
        <v>4</v>
      </c>
      <c r="AN95" s="598"/>
      <c r="AO95" s="187">
        <v>23</v>
      </c>
      <c r="AP95" s="187">
        <v>1794.6132557002506</v>
      </c>
      <c r="AQ95" s="184">
        <f t="shared" si="68"/>
        <v>78.026663291315245</v>
      </c>
      <c r="AR95" s="181">
        <f t="shared" si="69"/>
        <v>4</v>
      </c>
      <c r="AS95" s="598"/>
      <c r="AT95" s="187">
        <v>23</v>
      </c>
      <c r="AU95" s="187">
        <v>1795.2132557002503</v>
      </c>
      <c r="AV95" s="184">
        <f t="shared" si="70"/>
        <v>78.052750247836968</v>
      </c>
      <c r="AW95" s="181">
        <f t="shared" si="71"/>
        <v>4</v>
      </c>
      <c r="AX95" s="598"/>
    </row>
    <row r="96" spans="2:50" ht="14.25" customHeight="1">
      <c r="B96" s="597"/>
      <c r="C96" s="179">
        <v>6</v>
      </c>
      <c r="D96" s="182" t="s">
        <v>473</v>
      </c>
      <c r="E96" s="179">
        <v>20</v>
      </c>
      <c r="F96" s="179">
        <v>2000</v>
      </c>
      <c r="G96" s="184">
        <f t="shared" si="56"/>
        <v>100</v>
      </c>
      <c r="H96" s="598"/>
      <c r="I96" s="185">
        <f t="shared" si="58"/>
        <v>19</v>
      </c>
      <c r="J96" s="185">
        <f t="shared" si="58"/>
        <v>1790</v>
      </c>
      <c r="K96" s="186">
        <f t="shared" si="58"/>
        <v>94.21052631578948</v>
      </c>
      <c r="L96" s="599"/>
      <c r="M96" s="185">
        <f>RANK(K96, K$91:$K$127)</f>
        <v>3</v>
      </c>
      <c r="N96" s="597"/>
      <c r="O96" s="597"/>
      <c r="P96" s="187">
        <v>19</v>
      </c>
      <c r="Q96" s="187">
        <v>1790.0000000000002</v>
      </c>
      <c r="R96" s="184">
        <f t="shared" si="59"/>
        <v>94.21052631578948</v>
      </c>
      <c r="S96" s="181">
        <f t="shared" si="60"/>
        <v>3</v>
      </c>
      <c r="T96" s="598"/>
      <c r="U96" s="187">
        <v>19</v>
      </c>
      <c r="V96" s="187">
        <v>1790.0000000000002</v>
      </c>
      <c r="W96" s="184">
        <f t="shared" si="57"/>
        <v>94.21052631578948</v>
      </c>
      <c r="X96" s="181">
        <f t="shared" si="61"/>
        <v>2</v>
      </c>
      <c r="Y96" s="598"/>
      <c r="Z96" s="187">
        <v>19</v>
      </c>
      <c r="AA96" s="187">
        <v>1790</v>
      </c>
      <c r="AB96" s="184">
        <f t="shared" si="62"/>
        <v>94.21052631578948</v>
      </c>
      <c r="AC96" s="181">
        <f t="shared" si="63"/>
        <v>2</v>
      </c>
      <c r="AD96" s="598"/>
      <c r="AE96" s="187">
        <v>19</v>
      </c>
      <c r="AF96" s="187">
        <v>1790</v>
      </c>
      <c r="AG96" s="184">
        <f t="shared" si="64"/>
        <v>94.21052631578948</v>
      </c>
      <c r="AH96" s="181">
        <f t="shared" si="65"/>
        <v>2</v>
      </c>
      <c r="AI96" s="598"/>
      <c r="AJ96" s="187">
        <v>19</v>
      </c>
      <c r="AK96" s="187">
        <v>1790</v>
      </c>
      <c r="AL96" s="184">
        <f t="shared" si="66"/>
        <v>94.21052631578948</v>
      </c>
      <c r="AM96" s="181">
        <f t="shared" si="67"/>
        <v>2</v>
      </c>
      <c r="AN96" s="598"/>
      <c r="AO96" s="187">
        <v>19</v>
      </c>
      <c r="AP96" s="187">
        <v>1790</v>
      </c>
      <c r="AQ96" s="184">
        <f t="shared" si="68"/>
        <v>94.21052631578948</v>
      </c>
      <c r="AR96" s="181">
        <f t="shared" si="69"/>
        <v>2</v>
      </c>
      <c r="AS96" s="598"/>
      <c r="AT96" s="187">
        <v>19</v>
      </c>
      <c r="AU96" s="187">
        <v>1790.0000000000002</v>
      </c>
      <c r="AV96" s="184">
        <f t="shared" si="70"/>
        <v>94.21052631578948</v>
      </c>
      <c r="AW96" s="181">
        <f t="shared" si="71"/>
        <v>2</v>
      </c>
      <c r="AX96" s="598"/>
    </row>
    <row r="97" spans="2:50" ht="14.25" customHeight="1">
      <c r="B97" s="597"/>
      <c r="C97" s="179">
        <v>7</v>
      </c>
      <c r="D97" s="182" t="s">
        <v>566</v>
      </c>
      <c r="E97" s="179">
        <v>18</v>
      </c>
      <c r="F97" s="179">
        <v>2000</v>
      </c>
      <c r="G97" s="184">
        <f t="shared" si="56"/>
        <v>111.11111111111111</v>
      </c>
      <c r="H97" s="598"/>
      <c r="I97" s="185">
        <f t="shared" si="58"/>
        <v>17</v>
      </c>
      <c r="J97" s="185">
        <f t="shared" si="58"/>
        <v>1790</v>
      </c>
      <c r="K97" s="186">
        <f t="shared" si="58"/>
        <v>105.29411764705881</v>
      </c>
      <c r="L97" s="599"/>
      <c r="M97" s="185">
        <f>RANK(K97, K$91:$K$127)</f>
        <v>1</v>
      </c>
      <c r="N97" s="597"/>
      <c r="O97" s="597"/>
      <c r="P97" s="187">
        <v>17</v>
      </c>
      <c r="Q97" s="187">
        <v>1790</v>
      </c>
      <c r="R97" s="184">
        <f t="shared" si="59"/>
        <v>105.29411764705883</v>
      </c>
      <c r="S97" s="181">
        <f t="shared" si="60"/>
        <v>1</v>
      </c>
      <c r="T97" s="598"/>
      <c r="U97" s="187">
        <v>17</v>
      </c>
      <c r="V97" s="187">
        <v>1790</v>
      </c>
      <c r="W97" s="184">
        <f t="shared" si="57"/>
        <v>105.29411764705883</v>
      </c>
      <c r="X97" s="181">
        <f t="shared" si="61"/>
        <v>1</v>
      </c>
      <c r="Y97" s="598"/>
      <c r="Z97" s="187">
        <v>17</v>
      </c>
      <c r="AA97" s="187">
        <v>1789.9999999999998</v>
      </c>
      <c r="AB97" s="184">
        <f t="shared" si="62"/>
        <v>105.29411764705881</v>
      </c>
      <c r="AC97" s="181">
        <f t="shared" si="63"/>
        <v>1</v>
      </c>
      <c r="AD97" s="598"/>
      <c r="AE97" s="187">
        <v>17</v>
      </c>
      <c r="AF97" s="187">
        <v>1790</v>
      </c>
      <c r="AG97" s="184">
        <f t="shared" si="64"/>
        <v>105.29411764705883</v>
      </c>
      <c r="AH97" s="181">
        <f t="shared" si="65"/>
        <v>1</v>
      </c>
      <c r="AI97" s="598"/>
      <c r="AJ97" s="187">
        <v>17</v>
      </c>
      <c r="AK97" s="187">
        <v>1790</v>
      </c>
      <c r="AL97" s="184">
        <f t="shared" si="66"/>
        <v>105.29411764705883</v>
      </c>
      <c r="AM97" s="181">
        <f t="shared" si="67"/>
        <v>1</v>
      </c>
      <c r="AN97" s="598"/>
      <c r="AO97" s="187">
        <v>17</v>
      </c>
      <c r="AP97" s="187">
        <v>1790.0000000000002</v>
      </c>
      <c r="AQ97" s="184">
        <f t="shared" si="68"/>
        <v>105.29411764705884</v>
      </c>
      <c r="AR97" s="181">
        <f t="shared" si="69"/>
        <v>1</v>
      </c>
      <c r="AS97" s="598"/>
      <c r="AT97" s="187">
        <v>17</v>
      </c>
      <c r="AU97" s="187">
        <v>1789.9999999999998</v>
      </c>
      <c r="AV97" s="184">
        <f t="shared" si="70"/>
        <v>105.29411764705881</v>
      </c>
      <c r="AW97" s="181">
        <f t="shared" si="71"/>
        <v>1</v>
      </c>
      <c r="AX97" s="598"/>
    </row>
    <row r="98" spans="2:50" ht="14.25" customHeight="1">
      <c r="B98" s="597"/>
      <c r="C98" s="179">
        <v>8</v>
      </c>
      <c r="D98" s="182" t="s">
        <v>649</v>
      </c>
      <c r="E98" s="179">
        <v>18</v>
      </c>
      <c r="F98" s="179">
        <v>2000</v>
      </c>
      <c r="G98" s="184">
        <f t="shared" si="56"/>
        <v>111.11111111111111</v>
      </c>
      <c r="H98" s="598"/>
      <c r="I98" s="185">
        <f t="shared" si="58"/>
        <v>18</v>
      </c>
      <c r="J98" s="185">
        <f t="shared" si="58"/>
        <v>1788.5137133238395</v>
      </c>
      <c r="K98" s="186">
        <f t="shared" si="58"/>
        <v>99.361872962435527</v>
      </c>
      <c r="L98" s="599"/>
      <c r="M98" s="185">
        <f>RANK(K98, K$91:$K$127)</f>
        <v>2</v>
      </c>
      <c r="N98" s="597"/>
      <c r="O98" s="597"/>
      <c r="P98" s="187">
        <v>18</v>
      </c>
      <c r="Q98" s="187">
        <v>1788.5137133238395</v>
      </c>
      <c r="R98" s="184">
        <f t="shared" si="59"/>
        <v>99.361872962435527</v>
      </c>
      <c r="S98" s="181">
        <f t="shared" si="60"/>
        <v>2</v>
      </c>
      <c r="T98" s="598"/>
      <c r="U98" s="187"/>
      <c r="V98" s="187"/>
      <c r="W98" s="184"/>
      <c r="X98" s="181" t="e">
        <f t="shared" si="61"/>
        <v>#N/A</v>
      </c>
      <c r="Y98" s="598"/>
      <c r="Z98" s="187"/>
      <c r="AA98" s="187"/>
      <c r="AB98" s="184"/>
      <c r="AC98" s="181" t="e">
        <f t="shared" si="63"/>
        <v>#N/A</v>
      </c>
      <c r="AD98" s="598"/>
      <c r="AE98" s="187"/>
      <c r="AF98" s="187"/>
      <c r="AG98" s="184"/>
      <c r="AH98" s="181" t="e">
        <f t="shared" si="65"/>
        <v>#N/A</v>
      </c>
      <c r="AI98" s="598"/>
      <c r="AJ98" s="187"/>
      <c r="AK98" s="187"/>
      <c r="AL98" s="184"/>
      <c r="AM98" s="181" t="e">
        <f t="shared" si="67"/>
        <v>#N/A</v>
      </c>
      <c r="AN98" s="598"/>
      <c r="AO98" s="187"/>
      <c r="AP98" s="187"/>
      <c r="AQ98" s="184"/>
      <c r="AR98" s="181" t="e">
        <f t="shared" si="69"/>
        <v>#N/A</v>
      </c>
      <c r="AS98" s="598"/>
      <c r="AT98" s="187"/>
      <c r="AU98" s="187"/>
      <c r="AV98" s="184"/>
      <c r="AW98" s="181" t="e">
        <f t="shared" si="71"/>
        <v>#N/A</v>
      </c>
      <c r="AX98" s="598"/>
    </row>
    <row r="99" spans="2:50" ht="14.25" customHeight="1">
      <c r="B99" s="597"/>
      <c r="C99" s="179">
        <v>9</v>
      </c>
      <c r="D99" s="182" t="s">
        <v>664</v>
      </c>
      <c r="E99" s="179">
        <v>21</v>
      </c>
      <c r="F99" s="179">
        <v>2000</v>
      </c>
      <c r="G99" s="184">
        <f t="shared" si="56"/>
        <v>95.238095238095241</v>
      </c>
      <c r="H99" s="598"/>
      <c r="I99" s="185">
        <f t="shared" si="58"/>
        <v>20</v>
      </c>
      <c r="J99" s="185">
        <f t="shared" si="58"/>
        <v>1790</v>
      </c>
      <c r="K99" s="186">
        <f t="shared" si="58"/>
        <v>89.5</v>
      </c>
      <c r="L99" s="599"/>
      <c r="M99" s="185">
        <f>RANK(K99, K$91:$K$127)</f>
        <v>4</v>
      </c>
      <c r="N99" s="597"/>
      <c r="O99" s="597"/>
      <c r="P99" s="187">
        <v>20</v>
      </c>
      <c r="Q99" s="187">
        <v>1790</v>
      </c>
      <c r="R99" s="184">
        <f t="shared" si="59"/>
        <v>89.5</v>
      </c>
      <c r="S99" s="181">
        <f t="shared" si="60"/>
        <v>4</v>
      </c>
      <c r="T99" s="598"/>
      <c r="U99" s="187">
        <v>20</v>
      </c>
      <c r="V99" s="187">
        <v>1790.0000000000002</v>
      </c>
      <c r="W99" s="184">
        <f t="shared" si="57"/>
        <v>89.500000000000014</v>
      </c>
      <c r="X99" s="181">
        <f t="shared" si="61"/>
        <v>3</v>
      </c>
      <c r="Y99" s="598"/>
      <c r="Z99" s="187">
        <v>20</v>
      </c>
      <c r="AA99" s="187">
        <v>1790</v>
      </c>
      <c r="AB99" s="184">
        <f t="shared" si="62"/>
        <v>89.5</v>
      </c>
      <c r="AC99" s="181">
        <f t="shared" si="63"/>
        <v>3</v>
      </c>
      <c r="AD99" s="598"/>
      <c r="AE99" s="187">
        <v>20</v>
      </c>
      <c r="AF99" s="187">
        <v>1790</v>
      </c>
      <c r="AG99" s="184">
        <f t="shared" si="64"/>
        <v>89.5</v>
      </c>
      <c r="AH99" s="181">
        <f t="shared" si="65"/>
        <v>3</v>
      </c>
      <c r="AI99" s="598"/>
      <c r="AJ99" s="187">
        <v>20</v>
      </c>
      <c r="AK99" s="187">
        <v>1789.9999999999998</v>
      </c>
      <c r="AL99" s="184">
        <f t="shared" si="66"/>
        <v>89.499999999999986</v>
      </c>
      <c r="AM99" s="181">
        <f t="shared" si="67"/>
        <v>3</v>
      </c>
      <c r="AN99" s="598"/>
      <c r="AO99" s="187">
        <v>20</v>
      </c>
      <c r="AP99" s="187">
        <v>1790.0000000000002</v>
      </c>
      <c r="AQ99" s="184">
        <f t="shared" si="68"/>
        <v>89.500000000000014</v>
      </c>
      <c r="AR99" s="181">
        <f t="shared" si="69"/>
        <v>3</v>
      </c>
      <c r="AS99" s="598"/>
      <c r="AT99" s="187">
        <v>20</v>
      </c>
      <c r="AU99" s="187">
        <v>1790.0000000000005</v>
      </c>
      <c r="AV99" s="184">
        <f t="shared" si="70"/>
        <v>89.500000000000028</v>
      </c>
      <c r="AW99" s="181">
        <f t="shared" si="71"/>
        <v>3</v>
      </c>
      <c r="AX99" s="598"/>
    </row>
    <row r="100" spans="2:50" ht="14.25" customHeight="1">
      <c r="B100" s="597"/>
      <c r="C100" s="179">
        <v>10</v>
      </c>
      <c r="D100" s="182"/>
      <c r="E100" s="179"/>
      <c r="F100" s="179"/>
      <c r="G100" s="184"/>
      <c r="H100" s="598"/>
      <c r="I100" s="185"/>
      <c r="J100" s="185"/>
      <c r="K100" s="186"/>
      <c r="L100" s="599"/>
      <c r="M100" s="185" t="e">
        <f>RANK(K100, K$91:$K$127)</f>
        <v>#N/A</v>
      </c>
      <c r="N100" s="597"/>
      <c r="O100" s="597"/>
      <c r="P100" s="187"/>
      <c r="Q100" s="187"/>
      <c r="R100" s="184"/>
      <c r="S100" s="181" t="e">
        <f t="shared" si="60"/>
        <v>#N/A</v>
      </c>
      <c r="T100" s="598"/>
      <c r="U100" s="187"/>
      <c r="V100" s="187"/>
      <c r="W100" s="184"/>
      <c r="X100" s="181" t="e">
        <f t="shared" si="61"/>
        <v>#N/A</v>
      </c>
      <c r="Y100" s="598"/>
      <c r="Z100" s="187"/>
      <c r="AA100" s="187"/>
      <c r="AB100" s="184"/>
      <c r="AC100" s="181" t="e">
        <f t="shared" si="63"/>
        <v>#N/A</v>
      </c>
      <c r="AD100" s="598"/>
      <c r="AE100" s="187"/>
      <c r="AF100" s="187"/>
      <c r="AG100" s="184"/>
      <c r="AH100" s="181" t="e">
        <f t="shared" si="65"/>
        <v>#N/A</v>
      </c>
      <c r="AI100" s="598"/>
      <c r="AJ100" s="187"/>
      <c r="AK100" s="187"/>
      <c r="AL100" s="184"/>
      <c r="AM100" s="181" t="e">
        <f t="shared" si="67"/>
        <v>#N/A</v>
      </c>
      <c r="AN100" s="598"/>
      <c r="AO100" s="187"/>
      <c r="AP100" s="187"/>
      <c r="AQ100" s="184"/>
      <c r="AR100" s="181" t="e">
        <f t="shared" si="69"/>
        <v>#N/A</v>
      </c>
      <c r="AS100" s="598"/>
      <c r="AT100" s="187"/>
      <c r="AU100" s="187"/>
      <c r="AV100" s="184"/>
      <c r="AW100" s="181" t="e">
        <f t="shared" si="71"/>
        <v>#N/A</v>
      </c>
      <c r="AX100" s="598"/>
    </row>
    <row r="101" spans="2:50" ht="14.25" customHeight="1">
      <c r="B101" s="597"/>
      <c r="C101" s="179">
        <v>11</v>
      </c>
      <c r="D101" s="182"/>
      <c r="E101" s="179"/>
      <c r="F101" s="179"/>
      <c r="G101" s="184"/>
      <c r="H101" s="598"/>
      <c r="I101" s="185"/>
      <c r="J101" s="185"/>
      <c r="K101" s="186"/>
      <c r="L101" s="599"/>
      <c r="M101" s="185" t="e">
        <f>RANK(K101, K$91:$K$127)</f>
        <v>#N/A</v>
      </c>
      <c r="N101" s="597"/>
      <c r="O101" s="597"/>
      <c r="P101" s="187"/>
      <c r="Q101" s="187"/>
      <c r="R101" s="184"/>
      <c r="S101" s="181" t="e">
        <f t="shared" si="60"/>
        <v>#N/A</v>
      </c>
      <c r="T101" s="598"/>
      <c r="U101" s="187"/>
      <c r="V101" s="187"/>
      <c r="W101" s="184"/>
      <c r="X101" s="181" t="e">
        <f t="shared" si="61"/>
        <v>#N/A</v>
      </c>
      <c r="Y101" s="598"/>
      <c r="Z101" s="187"/>
      <c r="AA101" s="187"/>
      <c r="AB101" s="184"/>
      <c r="AC101" s="181" t="e">
        <f t="shared" si="63"/>
        <v>#N/A</v>
      </c>
      <c r="AD101" s="598"/>
      <c r="AE101" s="187"/>
      <c r="AF101" s="187"/>
      <c r="AG101" s="184"/>
      <c r="AH101" s="181" t="e">
        <f t="shared" si="65"/>
        <v>#N/A</v>
      </c>
      <c r="AI101" s="598"/>
      <c r="AJ101" s="187"/>
      <c r="AK101" s="187"/>
      <c r="AL101" s="184"/>
      <c r="AM101" s="181" t="e">
        <f t="shared" si="67"/>
        <v>#N/A</v>
      </c>
      <c r="AN101" s="598"/>
      <c r="AO101" s="187"/>
      <c r="AP101" s="187"/>
      <c r="AQ101" s="184"/>
      <c r="AR101" s="181" t="e">
        <f t="shared" si="69"/>
        <v>#N/A</v>
      </c>
      <c r="AS101" s="598"/>
      <c r="AT101" s="187"/>
      <c r="AU101" s="187"/>
      <c r="AV101" s="184"/>
      <c r="AW101" s="181" t="e">
        <f t="shared" si="71"/>
        <v>#N/A</v>
      </c>
      <c r="AX101" s="598"/>
    </row>
    <row r="102" spans="2:50" ht="14.25" customHeight="1">
      <c r="B102" s="597"/>
      <c r="C102" s="179">
        <v>12</v>
      </c>
      <c r="D102" s="182"/>
      <c r="E102" s="179"/>
      <c r="F102" s="179"/>
      <c r="G102" s="184"/>
      <c r="H102" s="598"/>
      <c r="I102" s="185"/>
      <c r="J102" s="185"/>
      <c r="K102" s="186"/>
      <c r="L102" s="599"/>
      <c r="M102" s="185" t="e">
        <f>RANK(K102, K$91:$K$127)</f>
        <v>#N/A</v>
      </c>
      <c r="N102" s="597"/>
      <c r="O102" s="597"/>
      <c r="P102" s="187"/>
      <c r="Q102" s="187"/>
      <c r="R102" s="184"/>
      <c r="S102" s="181" t="e">
        <f t="shared" si="60"/>
        <v>#N/A</v>
      </c>
      <c r="T102" s="598"/>
      <c r="U102" s="187"/>
      <c r="V102" s="187"/>
      <c r="W102" s="184"/>
      <c r="X102" s="181" t="e">
        <f t="shared" si="61"/>
        <v>#N/A</v>
      </c>
      <c r="Y102" s="598"/>
      <c r="Z102" s="187"/>
      <c r="AA102" s="187"/>
      <c r="AB102" s="184"/>
      <c r="AC102" s="181" t="e">
        <f t="shared" si="63"/>
        <v>#N/A</v>
      </c>
      <c r="AD102" s="598"/>
      <c r="AE102" s="187"/>
      <c r="AF102" s="187"/>
      <c r="AG102" s="184"/>
      <c r="AH102" s="181" t="e">
        <f t="shared" si="65"/>
        <v>#N/A</v>
      </c>
      <c r="AI102" s="598"/>
      <c r="AJ102" s="187"/>
      <c r="AK102" s="187"/>
      <c r="AL102" s="184"/>
      <c r="AM102" s="181" t="e">
        <f t="shared" si="67"/>
        <v>#N/A</v>
      </c>
      <c r="AN102" s="598"/>
      <c r="AO102" s="187"/>
      <c r="AP102" s="187"/>
      <c r="AQ102" s="184"/>
      <c r="AR102" s="181" t="e">
        <f t="shared" si="69"/>
        <v>#N/A</v>
      </c>
      <c r="AS102" s="598"/>
      <c r="AT102" s="187"/>
      <c r="AU102" s="187"/>
      <c r="AV102" s="184"/>
      <c r="AW102" s="181" t="e">
        <f t="shared" si="71"/>
        <v>#N/A</v>
      </c>
      <c r="AX102" s="598"/>
    </row>
    <row r="103" spans="2:50" ht="14.25" customHeight="1">
      <c r="B103" s="597"/>
      <c r="C103" s="179">
        <v>13</v>
      </c>
      <c r="D103" s="182"/>
      <c r="E103" s="179"/>
      <c r="F103" s="179"/>
      <c r="G103" s="184"/>
      <c r="H103" s="598"/>
      <c r="I103" s="185"/>
      <c r="J103" s="185"/>
      <c r="K103" s="186"/>
      <c r="L103" s="599"/>
      <c r="M103" s="185" t="e">
        <f>RANK(K103, K$91:$K$127)</f>
        <v>#N/A</v>
      </c>
      <c r="N103" s="597"/>
      <c r="O103" s="597"/>
      <c r="P103" s="187"/>
      <c r="Q103" s="187"/>
      <c r="R103" s="184"/>
      <c r="S103" s="181" t="e">
        <f t="shared" si="60"/>
        <v>#N/A</v>
      </c>
      <c r="T103" s="598"/>
      <c r="U103" s="187"/>
      <c r="V103" s="187"/>
      <c r="W103" s="184"/>
      <c r="X103" s="181"/>
      <c r="Y103" s="598"/>
      <c r="Z103" s="187"/>
      <c r="AA103" s="187"/>
      <c r="AB103" s="184"/>
      <c r="AC103" s="181"/>
      <c r="AD103" s="598"/>
      <c r="AE103" s="187"/>
      <c r="AF103" s="187"/>
      <c r="AG103" s="184"/>
      <c r="AH103" s="181"/>
      <c r="AI103" s="598"/>
      <c r="AJ103" s="187"/>
      <c r="AK103" s="187"/>
      <c r="AL103" s="184"/>
      <c r="AM103" s="181"/>
      <c r="AN103" s="598"/>
      <c r="AO103" s="187"/>
      <c r="AP103" s="187"/>
      <c r="AQ103" s="184"/>
      <c r="AR103" s="181"/>
      <c r="AS103" s="598"/>
      <c r="AT103" s="187"/>
      <c r="AU103" s="187"/>
      <c r="AV103" s="184"/>
      <c r="AW103" s="181"/>
      <c r="AX103" s="598"/>
    </row>
    <row r="104" spans="2:50" ht="14.25" customHeight="1">
      <c r="B104" s="597"/>
      <c r="C104" s="179">
        <v>14</v>
      </c>
      <c r="D104" s="182"/>
      <c r="E104" s="179"/>
      <c r="F104" s="179"/>
      <c r="G104" s="184"/>
      <c r="H104" s="598"/>
      <c r="I104" s="185"/>
      <c r="J104" s="185"/>
      <c r="K104" s="186"/>
      <c r="L104" s="599"/>
      <c r="M104" s="185" t="e">
        <f>RANK(K104, K$91:$K$127)</f>
        <v>#N/A</v>
      </c>
      <c r="N104" s="597"/>
      <c r="O104" s="597"/>
      <c r="P104" s="187"/>
      <c r="Q104" s="187"/>
      <c r="R104" s="184"/>
      <c r="S104" s="181" t="e">
        <f t="shared" si="60"/>
        <v>#N/A</v>
      </c>
      <c r="T104" s="598"/>
      <c r="U104" s="187"/>
      <c r="V104" s="187"/>
      <c r="W104" s="184"/>
      <c r="X104" s="181" t="e">
        <f t="shared" si="61"/>
        <v>#N/A</v>
      </c>
      <c r="Y104" s="598"/>
      <c r="Z104" s="187"/>
      <c r="AA104" s="187"/>
      <c r="AB104" s="184"/>
      <c r="AC104" s="181" t="e">
        <f t="shared" si="63"/>
        <v>#N/A</v>
      </c>
      <c r="AD104" s="598"/>
      <c r="AE104" s="187"/>
      <c r="AF104" s="187"/>
      <c r="AG104" s="184"/>
      <c r="AH104" s="181" t="e">
        <f t="shared" si="65"/>
        <v>#N/A</v>
      </c>
      <c r="AI104" s="598"/>
      <c r="AJ104" s="187"/>
      <c r="AK104" s="187"/>
      <c r="AL104" s="184"/>
      <c r="AM104" s="181" t="e">
        <f t="shared" si="67"/>
        <v>#N/A</v>
      </c>
      <c r="AN104" s="598"/>
      <c r="AO104" s="187"/>
      <c r="AP104" s="187"/>
      <c r="AQ104" s="184"/>
      <c r="AR104" s="181" t="e">
        <f t="shared" si="69"/>
        <v>#N/A</v>
      </c>
      <c r="AS104" s="598"/>
      <c r="AT104" s="187"/>
      <c r="AU104" s="187"/>
      <c r="AV104" s="184"/>
      <c r="AW104" s="181" t="e">
        <f t="shared" si="71"/>
        <v>#N/A</v>
      </c>
      <c r="AX104" s="598"/>
    </row>
    <row r="105" spans="2:50" ht="14.25" customHeight="1">
      <c r="B105" s="597"/>
      <c r="C105" s="179">
        <v>15</v>
      </c>
      <c r="D105" s="182"/>
      <c r="E105" s="179"/>
      <c r="F105" s="179"/>
      <c r="G105" s="184"/>
      <c r="H105" s="598"/>
      <c r="I105" s="185"/>
      <c r="J105" s="185"/>
      <c r="K105" s="186"/>
      <c r="L105" s="599"/>
      <c r="M105" s="185" t="e">
        <f>RANK(K105, K$91:$K$127)</f>
        <v>#N/A</v>
      </c>
      <c r="N105" s="597"/>
      <c r="O105" s="597"/>
      <c r="P105" s="187"/>
      <c r="Q105" s="187"/>
      <c r="R105" s="184"/>
      <c r="S105" s="181" t="e">
        <f t="shared" si="60"/>
        <v>#N/A</v>
      </c>
      <c r="T105" s="598"/>
      <c r="U105" s="187"/>
      <c r="V105" s="187"/>
      <c r="W105" s="184"/>
      <c r="X105" s="181" t="e">
        <f t="shared" si="61"/>
        <v>#N/A</v>
      </c>
      <c r="Y105" s="598"/>
      <c r="Z105" s="187"/>
      <c r="AA105" s="187"/>
      <c r="AB105" s="184"/>
      <c r="AC105" s="181" t="e">
        <f t="shared" si="63"/>
        <v>#N/A</v>
      </c>
      <c r="AD105" s="598"/>
      <c r="AE105" s="187"/>
      <c r="AF105" s="187"/>
      <c r="AG105" s="184"/>
      <c r="AH105" s="181" t="e">
        <f t="shared" si="65"/>
        <v>#N/A</v>
      </c>
      <c r="AI105" s="598"/>
      <c r="AJ105" s="187"/>
      <c r="AK105" s="187"/>
      <c r="AL105" s="184"/>
      <c r="AM105" s="181" t="e">
        <f t="shared" si="67"/>
        <v>#N/A</v>
      </c>
      <c r="AN105" s="598"/>
      <c r="AO105" s="187"/>
      <c r="AP105" s="187"/>
      <c r="AQ105" s="184"/>
      <c r="AR105" s="181" t="e">
        <f t="shared" si="69"/>
        <v>#N/A</v>
      </c>
      <c r="AS105" s="598"/>
      <c r="AT105" s="187"/>
      <c r="AU105" s="187"/>
      <c r="AV105" s="184"/>
      <c r="AW105" s="181" t="e">
        <f t="shared" si="71"/>
        <v>#N/A</v>
      </c>
      <c r="AX105" s="598"/>
    </row>
    <row r="106" spans="2:50">
      <c r="M106" s="185" t="e">
        <f>RANK(K106, K$91:$K$127)</f>
        <v>#N/A</v>
      </c>
      <c r="S106" s="181" t="e">
        <f t="shared" si="60"/>
        <v>#N/A</v>
      </c>
      <c r="X106" s="181" t="e">
        <f t="shared" si="61"/>
        <v>#N/A</v>
      </c>
      <c r="AC106" s="181" t="e">
        <f t="shared" si="63"/>
        <v>#N/A</v>
      </c>
      <c r="AH106" s="181" t="e">
        <f t="shared" si="65"/>
        <v>#N/A</v>
      </c>
      <c r="AM106" s="181" t="e">
        <f t="shared" si="67"/>
        <v>#N/A</v>
      </c>
      <c r="AR106" s="181" t="e">
        <f t="shared" si="69"/>
        <v>#N/A</v>
      </c>
      <c r="AW106" s="181" t="e">
        <f t="shared" si="71"/>
        <v>#N/A</v>
      </c>
    </row>
    <row r="107" spans="2:50">
      <c r="M107" s="185" t="e">
        <f>RANK(K107, K$91:$K$127)</f>
        <v>#N/A</v>
      </c>
      <c r="S107" s="181" t="e">
        <f t="shared" si="60"/>
        <v>#N/A</v>
      </c>
      <c r="X107" s="181" t="e">
        <f t="shared" si="61"/>
        <v>#N/A</v>
      </c>
      <c r="AC107" s="181" t="e">
        <f t="shared" si="63"/>
        <v>#N/A</v>
      </c>
      <c r="AH107" s="181" t="e">
        <f t="shared" si="65"/>
        <v>#N/A</v>
      </c>
      <c r="AM107" s="181" t="e">
        <f t="shared" si="67"/>
        <v>#N/A</v>
      </c>
      <c r="AR107" s="181" t="e">
        <f t="shared" si="69"/>
        <v>#N/A</v>
      </c>
      <c r="AW107" s="181" t="e">
        <f t="shared" si="71"/>
        <v>#N/A</v>
      </c>
    </row>
    <row r="108" spans="2:50">
      <c r="M108" s="185" t="e">
        <f>RANK(K108, K$91:$K$127)</f>
        <v>#N/A</v>
      </c>
      <c r="S108" s="181" t="e">
        <f t="shared" si="60"/>
        <v>#N/A</v>
      </c>
      <c r="X108" s="181" t="e">
        <f t="shared" si="61"/>
        <v>#N/A</v>
      </c>
      <c r="AC108" s="181" t="e">
        <f t="shared" si="63"/>
        <v>#N/A</v>
      </c>
      <c r="AH108" s="181" t="e">
        <f t="shared" si="65"/>
        <v>#N/A</v>
      </c>
      <c r="AM108" s="181" t="e">
        <f t="shared" si="67"/>
        <v>#N/A</v>
      </c>
      <c r="AR108" s="181" t="e">
        <f t="shared" si="69"/>
        <v>#N/A</v>
      </c>
      <c r="AW108" s="181" t="e">
        <f t="shared" si="71"/>
        <v>#N/A</v>
      </c>
    </row>
    <row r="109" spans="2:50">
      <c r="M109" s="185" t="e">
        <f>RANK(K109, K$91:$K$127)</f>
        <v>#N/A</v>
      </c>
      <c r="S109" s="181" t="e">
        <f t="shared" si="60"/>
        <v>#N/A</v>
      </c>
      <c r="X109" s="181" t="e">
        <f t="shared" si="61"/>
        <v>#N/A</v>
      </c>
      <c r="AC109" s="181" t="e">
        <f t="shared" si="63"/>
        <v>#N/A</v>
      </c>
      <c r="AH109" s="181" t="e">
        <f t="shared" si="65"/>
        <v>#N/A</v>
      </c>
      <c r="AM109" s="181" t="e">
        <f t="shared" si="67"/>
        <v>#N/A</v>
      </c>
      <c r="AR109" s="181" t="e">
        <f t="shared" si="69"/>
        <v>#N/A</v>
      </c>
      <c r="AW109" s="181" t="e">
        <f t="shared" si="71"/>
        <v>#N/A</v>
      </c>
    </row>
    <row r="110" spans="2:50">
      <c r="M110" s="185" t="e">
        <f>RANK(K110, K$91:$K$127)</f>
        <v>#N/A</v>
      </c>
      <c r="S110" s="181" t="e">
        <f t="shared" si="60"/>
        <v>#N/A</v>
      </c>
      <c r="X110" s="181" t="e">
        <f t="shared" si="61"/>
        <v>#N/A</v>
      </c>
      <c r="AC110" s="181" t="e">
        <f t="shared" si="63"/>
        <v>#N/A</v>
      </c>
      <c r="AH110" s="181" t="e">
        <f t="shared" si="65"/>
        <v>#N/A</v>
      </c>
      <c r="AM110" s="181" t="e">
        <f t="shared" si="67"/>
        <v>#N/A</v>
      </c>
      <c r="AR110" s="181" t="e">
        <f t="shared" si="69"/>
        <v>#N/A</v>
      </c>
      <c r="AW110" s="181" t="e">
        <f t="shared" si="71"/>
        <v>#N/A</v>
      </c>
    </row>
    <row r="111" spans="2:50">
      <c r="M111" s="185" t="e">
        <f>RANK(K111, K$91:$K$127)</f>
        <v>#N/A</v>
      </c>
      <c r="S111" s="181" t="e">
        <f t="shared" si="60"/>
        <v>#N/A</v>
      </c>
      <c r="X111" s="181" t="e">
        <f t="shared" si="61"/>
        <v>#N/A</v>
      </c>
      <c r="AC111" s="181" t="e">
        <f t="shared" si="63"/>
        <v>#N/A</v>
      </c>
      <c r="AH111" s="181" t="e">
        <f t="shared" si="65"/>
        <v>#N/A</v>
      </c>
      <c r="AM111" s="181" t="e">
        <f t="shared" si="67"/>
        <v>#N/A</v>
      </c>
      <c r="AR111" s="181" t="e">
        <f t="shared" si="69"/>
        <v>#N/A</v>
      </c>
      <c r="AW111" s="181" t="e">
        <f t="shared" si="71"/>
        <v>#N/A</v>
      </c>
    </row>
    <row r="112" spans="2:50">
      <c r="M112" s="185" t="e">
        <f>RANK(K112, K$91:$K$127)</f>
        <v>#N/A</v>
      </c>
      <c r="S112" s="181" t="e">
        <f t="shared" si="60"/>
        <v>#N/A</v>
      </c>
      <c r="X112" s="181" t="e">
        <f t="shared" si="61"/>
        <v>#N/A</v>
      </c>
      <c r="AC112" s="181" t="e">
        <f t="shared" si="63"/>
        <v>#N/A</v>
      </c>
      <c r="AH112" s="181" t="e">
        <f t="shared" si="65"/>
        <v>#N/A</v>
      </c>
      <c r="AM112" s="181" t="e">
        <f t="shared" si="67"/>
        <v>#N/A</v>
      </c>
      <c r="AR112" s="181" t="e">
        <f t="shared" si="69"/>
        <v>#N/A</v>
      </c>
      <c r="AW112" s="181" t="e">
        <f t="shared" si="71"/>
        <v>#N/A</v>
      </c>
    </row>
    <row r="113" spans="13:49">
      <c r="M113" s="185" t="e">
        <f>RANK(K113, K$91:$K$127)</f>
        <v>#N/A</v>
      </c>
      <c r="S113" s="181" t="e">
        <f t="shared" si="60"/>
        <v>#N/A</v>
      </c>
      <c r="X113" s="181" t="e">
        <f t="shared" si="61"/>
        <v>#N/A</v>
      </c>
      <c r="AC113" s="181" t="e">
        <f t="shared" si="63"/>
        <v>#N/A</v>
      </c>
      <c r="AH113" s="181" t="e">
        <f t="shared" si="65"/>
        <v>#N/A</v>
      </c>
      <c r="AM113" s="181" t="e">
        <f t="shared" si="67"/>
        <v>#N/A</v>
      </c>
      <c r="AR113" s="181" t="e">
        <f t="shared" si="69"/>
        <v>#N/A</v>
      </c>
      <c r="AW113" s="181" t="e">
        <f t="shared" si="71"/>
        <v>#N/A</v>
      </c>
    </row>
    <row r="114" spans="13:49">
      <c r="M114" s="185" t="e">
        <f>RANK(K114, K$91:$K$127)</f>
        <v>#N/A</v>
      </c>
      <c r="S114" s="181" t="e">
        <f t="shared" si="60"/>
        <v>#N/A</v>
      </c>
      <c r="X114" s="181" t="e">
        <f t="shared" si="61"/>
        <v>#N/A</v>
      </c>
      <c r="AC114" s="181" t="e">
        <f t="shared" si="63"/>
        <v>#N/A</v>
      </c>
      <c r="AH114" s="181" t="e">
        <f t="shared" si="65"/>
        <v>#N/A</v>
      </c>
      <c r="AM114" s="181" t="e">
        <f t="shared" si="67"/>
        <v>#N/A</v>
      </c>
      <c r="AR114" s="181" t="e">
        <f t="shared" si="69"/>
        <v>#N/A</v>
      </c>
      <c r="AW114" s="181" t="e">
        <f t="shared" si="71"/>
        <v>#N/A</v>
      </c>
    </row>
    <row r="115" spans="13:49">
      <c r="M115" s="185" t="e">
        <f>RANK(K115, K$91:$K$127)</f>
        <v>#N/A</v>
      </c>
      <c r="S115" s="181" t="e">
        <f t="shared" si="60"/>
        <v>#N/A</v>
      </c>
      <c r="X115" s="181" t="e">
        <f t="shared" si="61"/>
        <v>#N/A</v>
      </c>
      <c r="AC115" s="181" t="e">
        <f t="shared" si="63"/>
        <v>#N/A</v>
      </c>
      <c r="AH115" s="181" t="e">
        <f t="shared" si="65"/>
        <v>#N/A</v>
      </c>
      <c r="AM115" s="181" t="e">
        <f t="shared" si="67"/>
        <v>#N/A</v>
      </c>
      <c r="AR115" s="181" t="e">
        <f t="shared" si="69"/>
        <v>#N/A</v>
      </c>
      <c r="AW115" s="181" t="e">
        <f t="shared" si="71"/>
        <v>#N/A</v>
      </c>
    </row>
    <row r="116" spans="13:49">
      <c r="M116" s="185" t="e">
        <f>RANK(K116, K$91:$K$127)</f>
        <v>#N/A</v>
      </c>
      <c r="S116" s="181" t="e">
        <f t="shared" si="60"/>
        <v>#N/A</v>
      </c>
      <c r="X116" s="181" t="e">
        <f t="shared" si="61"/>
        <v>#N/A</v>
      </c>
      <c r="AC116" s="181" t="e">
        <f t="shared" si="63"/>
        <v>#N/A</v>
      </c>
      <c r="AH116" s="181" t="e">
        <f t="shared" si="65"/>
        <v>#N/A</v>
      </c>
      <c r="AM116" s="181" t="e">
        <f t="shared" si="67"/>
        <v>#N/A</v>
      </c>
      <c r="AR116" s="181" t="e">
        <f t="shared" si="69"/>
        <v>#N/A</v>
      </c>
      <c r="AW116" s="181" t="e">
        <f t="shared" si="71"/>
        <v>#N/A</v>
      </c>
    </row>
    <row r="117" spans="13:49">
      <c r="M117" s="185" t="e">
        <f>RANK(K117, K$91:$K$127)</f>
        <v>#N/A</v>
      </c>
      <c r="S117" s="181" t="e">
        <f t="shared" si="60"/>
        <v>#N/A</v>
      </c>
      <c r="X117" s="181" t="e">
        <f t="shared" si="61"/>
        <v>#N/A</v>
      </c>
      <c r="AC117" s="181" t="e">
        <f t="shared" si="63"/>
        <v>#N/A</v>
      </c>
      <c r="AH117" s="181" t="e">
        <f t="shared" si="65"/>
        <v>#N/A</v>
      </c>
      <c r="AM117" s="181" t="e">
        <f t="shared" si="67"/>
        <v>#N/A</v>
      </c>
      <c r="AR117" s="181" t="e">
        <f t="shared" si="69"/>
        <v>#N/A</v>
      </c>
      <c r="AW117" s="181" t="e">
        <f t="shared" si="71"/>
        <v>#N/A</v>
      </c>
    </row>
    <row r="118" spans="13:49">
      <c r="M118" s="185" t="e">
        <f>RANK(K118, K$91:$K$127)</f>
        <v>#N/A</v>
      </c>
      <c r="S118" s="181" t="e">
        <f t="shared" si="60"/>
        <v>#N/A</v>
      </c>
      <c r="X118" s="181" t="e">
        <f t="shared" si="61"/>
        <v>#N/A</v>
      </c>
      <c r="AC118" s="181" t="e">
        <f t="shared" si="63"/>
        <v>#N/A</v>
      </c>
      <c r="AH118" s="181" t="e">
        <f t="shared" si="65"/>
        <v>#N/A</v>
      </c>
      <c r="AM118" s="181" t="e">
        <f t="shared" si="67"/>
        <v>#N/A</v>
      </c>
      <c r="AR118" s="181" t="e">
        <f t="shared" si="69"/>
        <v>#N/A</v>
      </c>
      <c r="AW118" s="181" t="e">
        <f t="shared" si="71"/>
        <v>#N/A</v>
      </c>
    </row>
    <row r="119" spans="13:49">
      <c r="M119" s="185" t="e">
        <f>RANK(K119, K$91:$K$127)</f>
        <v>#N/A</v>
      </c>
      <c r="S119" s="181" t="e">
        <f t="shared" si="60"/>
        <v>#N/A</v>
      </c>
      <c r="X119" s="181" t="e">
        <f t="shared" si="61"/>
        <v>#N/A</v>
      </c>
      <c r="AC119" s="181" t="e">
        <f t="shared" si="63"/>
        <v>#N/A</v>
      </c>
      <c r="AH119" s="181" t="e">
        <f t="shared" si="65"/>
        <v>#N/A</v>
      </c>
      <c r="AM119" s="181" t="e">
        <f t="shared" si="67"/>
        <v>#N/A</v>
      </c>
      <c r="AR119" s="181" t="e">
        <f t="shared" si="69"/>
        <v>#N/A</v>
      </c>
      <c r="AW119" s="181" t="e">
        <f t="shared" si="71"/>
        <v>#N/A</v>
      </c>
    </row>
    <row r="120" spans="13:49">
      <c r="M120" s="185" t="e">
        <f>RANK(K120, K$91:$K$127)</f>
        <v>#N/A</v>
      </c>
      <c r="S120" s="181" t="e">
        <f t="shared" si="60"/>
        <v>#N/A</v>
      </c>
      <c r="X120" s="181" t="e">
        <f t="shared" si="61"/>
        <v>#N/A</v>
      </c>
      <c r="AC120" s="181" t="e">
        <f t="shared" si="63"/>
        <v>#N/A</v>
      </c>
      <c r="AH120" s="181" t="e">
        <f t="shared" si="65"/>
        <v>#N/A</v>
      </c>
      <c r="AM120" s="181" t="e">
        <f t="shared" si="67"/>
        <v>#N/A</v>
      </c>
      <c r="AR120" s="181" t="e">
        <f t="shared" si="69"/>
        <v>#N/A</v>
      </c>
      <c r="AW120" s="181" t="e">
        <f t="shared" si="71"/>
        <v>#N/A</v>
      </c>
    </row>
    <row r="121" spans="13:49">
      <c r="M121" s="185" t="e">
        <f>RANK(K121, K$91:$K$127)</f>
        <v>#N/A</v>
      </c>
      <c r="S121" s="181" t="e">
        <f t="shared" si="60"/>
        <v>#N/A</v>
      </c>
      <c r="X121" s="181" t="e">
        <f t="shared" si="61"/>
        <v>#N/A</v>
      </c>
      <c r="AC121" s="181" t="e">
        <f t="shared" si="63"/>
        <v>#N/A</v>
      </c>
      <c r="AH121" s="181" t="e">
        <f t="shared" si="65"/>
        <v>#N/A</v>
      </c>
      <c r="AM121" s="181" t="e">
        <f t="shared" si="67"/>
        <v>#N/A</v>
      </c>
      <c r="AR121" s="181" t="e">
        <f t="shared" si="69"/>
        <v>#N/A</v>
      </c>
      <c r="AW121" s="181" t="e">
        <f t="shared" si="71"/>
        <v>#N/A</v>
      </c>
    </row>
    <row r="122" spans="13:49">
      <c r="M122" s="185" t="e">
        <f>RANK(K122, K$91:$K$127)</f>
        <v>#N/A</v>
      </c>
      <c r="S122" s="181" t="e">
        <f t="shared" si="60"/>
        <v>#N/A</v>
      </c>
      <c r="X122" s="181" t="e">
        <f t="shared" si="61"/>
        <v>#N/A</v>
      </c>
      <c r="AC122" s="181" t="e">
        <f t="shared" si="63"/>
        <v>#N/A</v>
      </c>
      <c r="AH122" s="181" t="e">
        <f t="shared" si="65"/>
        <v>#N/A</v>
      </c>
      <c r="AM122" s="181" t="e">
        <f t="shared" si="67"/>
        <v>#N/A</v>
      </c>
      <c r="AR122" s="181" t="e">
        <f t="shared" si="69"/>
        <v>#N/A</v>
      </c>
      <c r="AW122" s="181" t="e">
        <f t="shared" si="71"/>
        <v>#N/A</v>
      </c>
    </row>
    <row r="123" spans="13:49">
      <c r="M123" s="185" t="e">
        <f>RANK(K123, K$91:$K$127)</f>
        <v>#N/A</v>
      </c>
      <c r="S123" s="181" t="e">
        <f t="shared" si="60"/>
        <v>#N/A</v>
      </c>
      <c r="X123" s="181" t="e">
        <f t="shared" si="61"/>
        <v>#N/A</v>
      </c>
      <c r="AC123" s="181" t="e">
        <f t="shared" si="63"/>
        <v>#N/A</v>
      </c>
      <c r="AH123" s="181" t="e">
        <f t="shared" si="65"/>
        <v>#N/A</v>
      </c>
      <c r="AM123" s="181" t="e">
        <f t="shared" si="67"/>
        <v>#N/A</v>
      </c>
      <c r="AR123" s="181" t="e">
        <f t="shared" si="69"/>
        <v>#N/A</v>
      </c>
      <c r="AW123" s="181" t="e">
        <f t="shared" si="71"/>
        <v>#N/A</v>
      </c>
    </row>
    <row r="124" spans="13:49">
      <c r="M124" s="185" t="e">
        <f>RANK(K124, K$91:$K$127)</f>
        <v>#N/A</v>
      </c>
      <c r="S124" s="181" t="e">
        <f t="shared" si="60"/>
        <v>#N/A</v>
      </c>
      <c r="X124" s="181" t="e">
        <f t="shared" si="61"/>
        <v>#N/A</v>
      </c>
      <c r="AC124" s="181" t="e">
        <f t="shared" si="63"/>
        <v>#N/A</v>
      </c>
      <c r="AH124" s="181" t="e">
        <f t="shared" si="65"/>
        <v>#N/A</v>
      </c>
      <c r="AM124" s="181" t="e">
        <f t="shared" si="67"/>
        <v>#N/A</v>
      </c>
      <c r="AR124" s="181" t="e">
        <f t="shared" si="69"/>
        <v>#N/A</v>
      </c>
      <c r="AW124" s="181" t="e">
        <f t="shared" si="71"/>
        <v>#N/A</v>
      </c>
    </row>
    <row r="125" spans="13:49">
      <c r="M125" s="185" t="e">
        <f>RANK(K125, K$91:$K$127)</f>
        <v>#N/A</v>
      </c>
      <c r="S125" s="181" t="e">
        <f t="shared" si="60"/>
        <v>#N/A</v>
      </c>
      <c r="X125" s="181" t="e">
        <f t="shared" si="61"/>
        <v>#N/A</v>
      </c>
      <c r="AC125" s="181" t="e">
        <f t="shared" si="63"/>
        <v>#N/A</v>
      </c>
      <c r="AH125" s="181" t="e">
        <f t="shared" si="65"/>
        <v>#N/A</v>
      </c>
      <c r="AM125" s="181" t="e">
        <f t="shared" si="67"/>
        <v>#N/A</v>
      </c>
      <c r="AR125" s="181" t="e">
        <f t="shared" si="69"/>
        <v>#N/A</v>
      </c>
      <c r="AW125" s="181" t="e">
        <f t="shared" si="71"/>
        <v>#N/A</v>
      </c>
    </row>
    <row r="126" spans="13:49">
      <c r="M126" s="185" t="e">
        <f>RANK(K126, K$91:$K$127)</f>
        <v>#N/A</v>
      </c>
      <c r="S126" s="181" t="e">
        <f t="shared" si="60"/>
        <v>#N/A</v>
      </c>
      <c r="X126" s="181" t="e">
        <f t="shared" si="61"/>
        <v>#N/A</v>
      </c>
      <c r="AC126" s="181" t="e">
        <f t="shared" si="63"/>
        <v>#N/A</v>
      </c>
      <c r="AH126" s="181" t="e">
        <f t="shared" si="65"/>
        <v>#N/A</v>
      </c>
      <c r="AM126" s="181" t="e">
        <f t="shared" si="67"/>
        <v>#N/A</v>
      </c>
      <c r="AR126" s="181" t="e">
        <f t="shared" si="69"/>
        <v>#N/A</v>
      </c>
      <c r="AW126" s="181" t="e">
        <f t="shared" si="71"/>
        <v>#N/A</v>
      </c>
    </row>
  </sheetData>
  <mergeCells count="235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AJ86:AN86"/>
    <mergeCell ref="AO86:AS8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86:AX86"/>
    <mergeCell ref="P87:T87"/>
    <mergeCell ref="U87:Y87"/>
    <mergeCell ref="Z87:AD87"/>
    <mergeCell ref="AE87:AI87"/>
    <mergeCell ref="AJ87:AN87"/>
    <mergeCell ref="AO87:AS87"/>
    <mergeCell ref="AT87:AX87"/>
    <mergeCell ref="B88:B90"/>
    <mergeCell ref="C88:D90"/>
    <mergeCell ref="E88:G88"/>
    <mergeCell ref="H88:H90"/>
    <mergeCell ref="I88:K88"/>
    <mergeCell ref="L88:L90"/>
    <mergeCell ref="M88:M90"/>
    <mergeCell ref="N88:N105"/>
    <mergeCell ref="O88:O105"/>
    <mergeCell ref="P88:S88"/>
    <mergeCell ref="T88:T90"/>
    <mergeCell ref="U88:X88"/>
    <mergeCell ref="Y88:Y90"/>
    <mergeCell ref="Z88:AC88"/>
    <mergeCell ref="AD88:AD90"/>
    <mergeCell ref="AE88:AH88"/>
    <mergeCell ref="AN91:AN105"/>
    <mergeCell ref="AS91:AS105"/>
    <mergeCell ref="AI88:AI90"/>
    <mergeCell ref="AJ88:AM88"/>
    <mergeCell ref="AN88:AN90"/>
    <mergeCell ref="AO88:AR88"/>
    <mergeCell ref="AS88:AS90"/>
    <mergeCell ref="AT88:AW88"/>
    <mergeCell ref="AX88:AX90"/>
    <mergeCell ref="AJ89:AM89"/>
    <mergeCell ref="AO89:AR89"/>
    <mergeCell ref="AT89:AW89"/>
    <mergeCell ref="I44:K44"/>
    <mergeCell ref="L44:L46"/>
    <mergeCell ref="B91:B105"/>
    <mergeCell ref="H91:H105"/>
    <mergeCell ref="L91:L105"/>
    <mergeCell ref="T91:T105"/>
    <mergeCell ref="Y91:Y105"/>
    <mergeCell ref="AD91:AD105"/>
    <mergeCell ref="AI91:AI105"/>
    <mergeCell ref="E89:G89"/>
    <mergeCell ref="I89:K89"/>
    <mergeCell ref="P89:S89"/>
    <mergeCell ref="U89:X89"/>
    <mergeCell ref="Z89:AC89"/>
    <mergeCell ref="AE89:AH89"/>
    <mergeCell ref="N86:N87"/>
    <mergeCell ref="O86:O87"/>
    <mergeCell ref="P86:T86"/>
    <mergeCell ref="U86:Y86"/>
    <mergeCell ref="Z86:AD86"/>
    <mergeCell ref="AE86:AI86"/>
    <mergeCell ref="Z44:AC44"/>
    <mergeCell ref="AD44:AD46"/>
    <mergeCell ref="AX91:AX105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126"/>
  <sheetViews>
    <sheetView zoomScaleNormal="100" workbookViewId="0">
      <pane xSplit="13" ySplit="1" topLeftCell="N32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M47" sqref="M47:M52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8" t="s">
        <v>744</v>
      </c>
      <c r="C1" s="174">
        <f>AVERAGE(L7,L27,L47)</f>
        <v>79.347550492012189</v>
      </c>
    </row>
    <row r="2" spans="1:50" ht="14.25" customHeight="1">
      <c r="B2" s="625" t="s">
        <v>709</v>
      </c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2"/>
      <c r="N2" s="629" t="s">
        <v>363</v>
      </c>
      <c r="O2" s="615" t="s">
        <v>105</v>
      </c>
      <c r="P2" s="617">
        <v>46203</v>
      </c>
      <c r="Q2" s="618"/>
      <c r="R2" s="618"/>
      <c r="S2" s="618"/>
      <c r="T2" s="618"/>
      <c r="U2" s="619">
        <v>46204</v>
      </c>
      <c r="V2" s="620"/>
      <c r="W2" s="620"/>
      <c r="X2" s="620"/>
      <c r="Y2" s="620"/>
      <c r="Z2" s="617">
        <v>46205</v>
      </c>
      <c r="AA2" s="618"/>
      <c r="AB2" s="618"/>
      <c r="AC2" s="618"/>
      <c r="AD2" s="618"/>
      <c r="AE2" s="619">
        <v>46206</v>
      </c>
      <c r="AF2" s="620"/>
      <c r="AG2" s="620"/>
      <c r="AH2" s="620"/>
      <c r="AI2" s="620"/>
      <c r="AJ2" s="602">
        <v>46207</v>
      </c>
      <c r="AK2" s="603"/>
      <c r="AL2" s="603"/>
      <c r="AM2" s="603"/>
      <c r="AN2" s="604"/>
      <c r="AO2" s="619">
        <v>46208</v>
      </c>
      <c r="AP2" s="620"/>
      <c r="AQ2" s="620"/>
      <c r="AR2" s="620"/>
      <c r="AS2" s="620"/>
      <c r="AT2" s="602">
        <v>46209</v>
      </c>
      <c r="AU2" s="603"/>
      <c r="AV2" s="603"/>
      <c r="AW2" s="603"/>
      <c r="AX2" s="604"/>
    </row>
    <row r="3" spans="1:50" ht="14.25" customHeight="1"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4"/>
      <c r="N3" s="630"/>
      <c r="O3" s="616"/>
      <c r="P3" s="605">
        <v>46196</v>
      </c>
      <c r="Q3" s="605"/>
      <c r="R3" s="605"/>
      <c r="S3" s="605"/>
      <c r="T3" s="605"/>
      <c r="U3" s="606">
        <v>46197</v>
      </c>
      <c r="V3" s="606"/>
      <c r="W3" s="606"/>
      <c r="X3" s="606"/>
      <c r="Y3" s="606"/>
      <c r="Z3" s="605">
        <v>46198</v>
      </c>
      <c r="AA3" s="605"/>
      <c r="AB3" s="605"/>
      <c r="AC3" s="605"/>
      <c r="AD3" s="605"/>
      <c r="AE3" s="606">
        <v>46199</v>
      </c>
      <c r="AF3" s="606"/>
      <c r="AG3" s="606"/>
      <c r="AH3" s="606"/>
      <c r="AI3" s="606"/>
      <c r="AJ3" s="607">
        <v>46200</v>
      </c>
      <c r="AK3" s="608"/>
      <c r="AL3" s="608"/>
      <c r="AM3" s="608"/>
      <c r="AN3" s="609"/>
      <c r="AO3" s="606">
        <v>46201</v>
      </c>
      <c r="AP3" s="606"/>
      <c r="AQ3" s="606"/>
      <c r="AR3" s="606"/>
      <c r="AS3" s="606"/>
      <c r="AT3" s="607">
        <v>46202</v>
      </c>
      <c r="AU3" s="608"/>
      <c r="AV3" s="608"/>
      <c r="AW3" s="608"/>
      <c r="AX3" s="609"/>
    </row>
    <row r="4" spans="1:50" ht="14.25" customHeight="1">
      <c r="B4" s="597" t="s">
        <v>162</v>
      </c>
      <c r="C4" s="597" t="s">
        <v>157</v>
      </c>
      <c r="D4" s="597"/>
      <c r="E4" s="597" t="s">
        <v>158</v>
      </c>
      <c r="F4" s="597"/>
      <c r="G4" s="597"/>
      <c r="H4" s="597" t="s">
        <v>163</v>
      </c>
      <c r="I4" s="601" t="s">
        <v>364</v>
      </c>
      <c r="J4" s="601"/>
      <c r="K4" s="601"/>
      <c r="L4" s="601" t="s">
        <v>163</v>
      </c>
      <c r="M4" s="601" t="s">
        <v>165</v>
      </c>
      <c r="N4" s="597"/>
      <c r="O4" s="597" t="s">
        <v>164</v>
      </c>
      <c r="P4" s="597" t="s">
        <v>160</v>
      </c>
      <c r="Q4" s="597"/>
      <c r="R4" s="597"/>
      <c r="S4" s="597"/>
      <c r="T4" s="597" t="s">
        <v>163</v>
      </c>
      <c r="U4" s="597" t="s">
        <v>160</v>
      </c>
      <c r="V4" s="597"/>
      <c r="W4" s="597"/>
      <c r="X4" s="597"/>
      <c r="Y4" s="597" t="s">
        <v>163</v>
      </c>
      <c r="Z4" s="597" t="s">
        <v>160</v>
      </c>
      <c r="AA4" s="597"/>
      <c r="AB4" s="597"/>
      <c r="AC4" s="597"/>
      <c r="AD4" s="597" t="s">
        <v>163</v>
      </c>
      <c r="AE4" s="597" t="s">
        <v>160</v>
      </c>
      <c r="AF4" s="597"/>
      <c r="AG4" s="597"/>
      <c r="AH4" s="597"/>
      <c r="AI4" s="597" t="s">
        <v>163</v>
      </c>
      <c r="AJ4" s="597" t="s">
        <v>160</v>
      </c>
      <c r="AK4" s="597"/>
      <c r="AL4" s="597"/>
      <c r="AM4" s="597"/>
      <c r="AN4" s="597" t="s">
        <v>163</v>
      </c>
      <c r="AO4" s="597" t="s">
        <v>160</v>
      </c>
      <c r="AP4" s="597"/>
      <c r="AQ4" s="597"/>
      <c r="AR4" s="597"/>
      <c r="AS4" s="597" t="s">
        <v>163</v>
      </c>
      <c r="AT4" s="597" t="s">
        <v>160</v>
      </c>
      <c r="AU4" s="597"/>
      <c r="AV4" s="597"/>
      <c r="AW4" s="597"/>
      <c r="AX4" s="597" t="s">
        <v>163</v>
      </c>
    </row>
    <row r="5" spans="1:50" ht="14.25" customHeight="1">
      <c r="B5" s="597"/>
      <c r="C5" s="597"/>
      <c r="D5" s="597"/>
      <c r="E5" s="597" t="s">
        <v>365</v>
      </c>
      <c r="F5" s="597"/>
      <c r="G5" s="597"/>
      <c r="H5" s="597"/>
      <c r="I5" s="601" t="s">
        <v>365</v>
      </c>
      <c r="J5" s="601"/>
      <c r="K5" s="601"/>
      <c r="L5" s="601"/>
      <c r="M5" s="601"/>
      <c r="N5" s="597"/>
      <c r="O5" s="597"/>
      <c r="P5" s="597" t="s">
        <v>366</v>
      </c>
      <c r="Q5" s="597"/>
      <c r="R5" s="597"/>
      <c r="S5" s="597"/>
      <c r="T5" s="597"/>
      <c r="U5" s="597" t="s">
        <v>366</v>
      </c>
      <c r="V5" s="597"/>
      <c r="W5" s="597"/>
      <c r="X5" s="597"/>
      <c r="Y5" s="597"/>
      <c r="Z5" s="597" t="s">
        <v>366</v>
      </c>
      <c r="AA5" s="597"/>
      <c r="AB5" s="597"/>
      <c r="AC5" s="597"/>
      <c r="AD5" s="597"/>
      <c r="AE5" s="597" t="s">
        <v>366</v>
      </c>
      <c r="AF5" s="597"/>
      <c r="AG5" s="597"/>
      <c r="AH5" s="597"/>
      <c r="AI5" s="597"/>
      <c r="AJ5" s="597" t="s">
        <v>366</v>
      </c>
      <c r="AK5" s="597"/>
      <c r="AL5" s="597"/>
      <c r="AM5" s="597"/>
      <c r="AN5" s="597"/>
      <c r="AO5" s="597" t="s">
        <v>366</v>
      </c>
      <c r="AP5" s="597"/>
      <c r="AQ5" s="597"/>
      <c r="AR5" s="597"/>
      <c r="AS5" s="597"/>
      <c r="AT5" s="597" t="s">
        <v>366</v>
      </c>
      <c r="AU5" s="597"/>
      <c r="AV5" s="597"/>
      <c r="AW5" s="597"/>
      <c r="AX5" s="597"/>
    </row>
    <row r="6" spans="1:50" ht="14.25" customHeight="1">
      <c r="B6" s="597"/>
      <c r="C6" s="597"/>
      <c r="D6" s="597"/>
      <c r="E6" s="179" t="s">
        <v>159</v>
      </c>
      <c r="F6" s="179" t="s">
        <v>367</v>
      </c>
      <c r="G6" s="179" t="s">
        <v>161</v>
      </c>
      <c r="H6" s="597"/>
      <c r="I6" s="180" t="s">
        <v>159</v>
      </c>
      <c r="J6" s="180" t="s">
        <v>367</v>
      </c>
      <c r="K6" s="180" t="s">
        <v>161</v>
      </c>
      <c r="L6" s="601"/>
      <c r="M6" s="601"/>
      <c r="N6" s="597"/>
      <c r="O6" s="597"/>
      <c r="P6" s="179" t="s">
        <v>159</v>
      </c>
      <c r="Q6" s="179" t="s">
        <v>367</v>
      </c>
      <c r="R6" s="179" t="s">
        <v>161</v>
      </c>
      <c r="S6" s="181" t="s">
        <v>165</v>
      </c>
      <c r="T6" s="597"/>
      <c r="U6" s="179" t="s">
        <v>159</v>
      </c>
      <c r="V6" s="179" t="s">
        <v>367</v>
      </c>
      <c r="W6" s="179" t="s">
        <v>161</v>
      </c>
      <c r="X6" s="181" t="s">
        <v>165</v>
      </c>
      <c r="Y6" s="597"/>
      <c r="Z6" s="179" t="s">
        <v>159</v>
      </c>
      <c r="AA6" s="179" t="s">
        <v>367</v>
      </c>
      <c r="AB6" s="179" t="s">
        <v>161</v>
      </c>
      <c r="AC6" s="181" t="s">
        <v>165</v>
      </c>
      <c r="AD6" s="597"/>
      <c r="AE6" s="179" t="s">
        <v>159</v>
      </c>
      <c r="AF6" s="179" t="s">
        <v>367</v>
      </c>
      <c r="AG6" s="179" t="s">
        <v>161</v>
      </c>
      <c r="AH6" s="181" t="s">
        <v>165</v>
      </c>
      <c r="AI6" s="597"/>
      <c r="AJ6" s="179" t="s">
        <v>159</v>
      </c>
      <c r="AK6" s="179" t="s">
        <v>367</v>
      </c>
      <c r="AL6" s="179" t="s">
        <v>161</v>
      </c>
      <c r="AM6" s="181" t="s">
        <v>165</v>
      </c>
      <c r="AN6" s="597"/>
      <c r="AO6" s="179" t="s">
        <v>159</v>
      </c>
      <c r="AP6" s="179" t="s">
        <v>367</v>
      </c>
      <c r="AQ6" s="179" t="s">
        <v>161</v>
      </c>
      <c r="AR6" s="181" t="s">
        <v>165</v>
      </c>
      <c r="AS6" s="597"/>
      <c r="AT6" s="179" t="s">
        <v>159</v>
      </c>
      <c r="AU6" s="179" t="s">
        <v>367</v>
      </c>
      <c r="AV6" s="179" t="s">
        <v>161</v>
      </c>
      <c r="AW6" s="181" t="s">
        <v>165</v>
      </c>
      <c r="AX6" s="597"/>
    </row>
    <row r="7" spans="1:50" ht="14.25" customHeight="1">
      <c r="B7" s="597" t="s">
        <v>137</v>
      </c>
      <c r="C7" s="179">
        <v>1</v>
      </c>
      <c r="D7" s="182" t="s">
        <v>351</v>
      </c>
      <c r="E7" s="183">
        <v>24</v>
      </c>
      <c r="F7" s="179">
        <v>2000</v>
      </c>
      <c r="G7" s="184">
        <f>IFERROR(F7/E7,"")</f>
        <v>83.333333333333329</v>
      </c>
      <c r="H7" s="598">
        <f>AVERAGE(G7:G21)</f>
        <v>88.540184453227937</v>
      </c>
      <c r="I7" s="185">
        <f>AVERAGE(P7,U7,Z7,AE7,AJ7,AO7,AT7)</f>
        <v>24</v>
      </c>
      <c r="J7" s="185">
        <f>AVERAGE(Q7,V7,AA7,AF7,AK7,AP7,AU7)</f>
        <v>1796.9259582202544</v>
      </c>
      <c r="K7" s="186">
        <f>AVERAGE(R7,W7,AB7,AG7,AL7,AQ7,AV7)</f>
        <v>74.871914925843953</v>
      </c>
      <c r="L7" s="599">
        <f>IFERROR(AVERAGE(K7:K21),"-")</f>
        <v>79.037204816541205</v>
      </c>
      <c r="M7" s="185">
        <f>RANK(K7, K$7:$K$21)</f>
        <v>8</v>
      </c>
      <c r="N7" s="597"/>
      <c r="O7" s="597"/>
      <c r="P7" s="187">
        <v>24</v>
      </c>
      <c r="Q7" s="187">
        <v>1796.011672505969</v>
      </c>
      <c r="R7" s="184">
        <f>IFERROR(Q7/P7,"")</f>
        <v>74.833819687748715</v>
      </c>
      <c r="S7" s="181">
        <f>RANK(R7, R$7:R$21)</f>
        <v>8</v>
      </c>
      <c r="T7" s="598">
        <f>AVERAGE(R7:R21)</f>
        <v>78.648337007525399</v>
      </c>
      <c r="U7" s="187">
        <v>24</v>
      </c>
      <c r="V7" s="187">
        <v>1796.8116725059688</v>
      </c>
      <c r="W7" s="184">
        <f t="shared" ref="W7:W16" si="0">IFERROR(V7/U7,"")</f>
        <v>74.867153021082032</v>
      </c>
      <c r="X7" s="181">
        <f>RANK(W7, W$7:W$21)</f>
        <v>7</v>
      </c>
      <c r="Y7" s="598">
        <f>AVERAGE(W7:W21)</f>
        <v>78.893547613946879</v>
      </c>
      <c r="Z7" s="187">
        <v>24</v>
      </c>
      <c r="AA7" s="187">
        <v>1797.0116725059688</v>
      </c>
      <c r="AB7" s="184">
        <f>IFERROR(AA7/Z7,"")</f>
        <v>74.875486354415372</v>
      </c>
      <c r="AC7" s="181">
        <f>RANK(AB7, AB$7:AB$21)</f>
        <v>7</v>
      </c>
      <c r="AD7" s="598">
        <f>AVERAGE(AB7:AB21)</f>
        <v>79.059555405912704</v>
      </c>
      <c r="AE7" s="187">
        <v>24</v>
      </c>
      <c r="AF7" s="187">
        <v>1797.011672505969</v>
      </c>
      <c r="AG7" s="184">
        <f>IFERROR(AF7/AE7,"")</f>
        <v>74.875486354415372</v>
      </c>
      <c r="AH7" s="181">
        <f>RANK(AG7, AG$7:AG$21)</f>
        <v>7</v>
      </c>
      <c r="AI7" s="598">
        <f>AVERAGE(AG7:AG21)</f>
        <v>79.208369857318004</v>
      </c>
      <c r="AJ7" s="187">
        <v>24</v>
      </c>
      <c r="AK7" s="187">
        <v>1796.6116725059692</v>
      </c>
      <c r="AL7" s="184">
        <f>IFERROR(AK7/AJ7,"")</f>
        <v>74.858819687748721</v>
      </c>
      <c r="AM7" s="181">
        <f>RANK(AL7, AL$7:AL$21)</f>
        <v>7</v>
      </c>
      <c r="AN7" s="598">
        <f>AVERAGE(AL7:AL21)</f>
        <v>79.365109375117171</v>
      </c>
      <c r="AO7" s="187">
        <v>24</v>
      </c>
      <c r="AP7" s="187">
        <v>1797.6116725059692</v>
      </c>
      <c r="AQ7" s="184">
        <f>IFERROR(AP7/AO7,"")</f>
        <v>74.900486354415378</v>
      </c>
      <c r="AR7" s="181">
        <f>RANK(AQ7, AQ$7:AQ$21)</f>
        <v>7</v>
      </c>
      <c r="AS7" s="598">
        <f>AVERAGE(AQ7:AQ21)</f>
        <v>79.448039801749601</v>
      </c>
      <c r="AT7" s="187">
        <v>24</v>
      </c>
      <c r="AU7" s="187">
        <v>1797.4116725059691</v>
      </c>
      <c r="AV7" s="184">
        <f>IFERROR(AU7/AT7,"")</f>
        <v>74.892153021082052</v>
      </c>
      <c r="AW7" s="181">
        <f>RANK(AV7, AV$7:AV$21)</f>
        <v>7</v>
      </c>
      <c r="AX7" s="598">
        <f>AVERAGE(AV7:AV21)</f>
        <v>79.456488681458239</v>
      </c>
    </row>
    <row r="8" spans="1:50" ht="14.25" customHeight="1">
      <c r="B8" s="597"/>
      <c r="C8" s="179">
        <v>2</v>
      </c>
      <c r="D8" s="182" t="s">
        <v>352</v>
      </c>
      <c r="E8" s="179">
        <v>23</v>
      </c>
      <c r="F8" s="179">
        <v>2000</v>
      </c>
      <c r="G8" s="184">
        <f t="shared" ref="G8:G16" si="1">IFERROR(F8/E8,"")</f>
        <v>86.956521739130437</v>
      </c>
      <c r="H8" s="598"/>
      <c r="I8" s="185">
        <f>AVERAGE(P8,U8,Z8,AE8,AJ8,AO8,AT8)</f>
        <v>23</v>
      </c>
      <c r="J8" s="185">
        <f t="shared" ref="J8:K16" si="2">AVERAGE(Q8,V8,AA8,AF8,AK8,AP8,AU8)</f>
        <v>1787.2314929140468</v>
      </c>
      <c r="K8" s="186">
        <f t="shared" si="2"/>
        <v>77.705717083219426</v>
      </c>
      <c r="L8" s="599"/>
      <c r="M8" s="185">
        <f>RANK(K8, K$7:$K$21)</f>
        <v>7</v>
      </c>
      <c r="N8" s="597"/>
      <c r="O8" s="597"/>
      <c r="P8" s="187">
        <v>23</v>
      </c>
      <c r="Q8" s="187">
        <v>1787.1743500569037</v>
      </c>
      <c r="R8" s="184">
        <f t="shared" ref="R8:R16" si="3">IFERROR(Q8/P8,"")</f>
        <v>77.703232611169724</v>
      </c>
      <c r="S8" s="181">
        <f t="shared" ref="S8:S16" si="4">RANK(R8, R$7:R$21)</f>
        <v>7</v>
      </c>
      <c r="T8" s="598"/>
      <c r="U8" s="187">
        <v>23</v>
      </c>
      <c r="V8" s="187">
        <v>1786.1743500569041</v>
      </c>
      <c r="W8" s="184">
        <f t="shared" si="0"/>
        <v>77.659754350300176</v>
      </c>
      <c r="X8" s="181">
        <f t="shared" ref="X8:X16" si="5">RANK(W8, W$7:W$21)</f>
        <v>6</v>
      </c>
      <c r="Y8" s="598"/>
      <c r="Z8" s="187">
        <v>23</v>
      </c>
      <c r="AA8" s="187">
        <v>1787.1743500569041</v>
      </c>
      <c r="AB8" s="184">
        <f t="shared" ref="AB8:AB16" si="6">IFERROR(AA8/Z8,"")</f>
        <v>77.703232611169739</v>
      </c>
      <c r="AC8" s="181">
        <f t="shared" ref="AC8:AC16" si="7">RANK(AB8, AB$7:AB$21)</f>
        <v>6</v>
      </c>
      <c r="AD8" s="598"/>
      <c r="AE8" s="187">
        <v>23</v>
      </c>
      <c r="AF8" s="187">
        <v>1787.1743500569044</v>
      </c>
      <c r="AG8" s="184">
        <f t="shared" ref="AG8:AG16" si="8">IFERROR(AF8/AE8,"")</f>
        <v>77.703232611169753</v>
      </c>
      <c r="AH8" s="181">
        <f t="shared" ref="AH8:AH16" si="9">RANK(AG8, AG$7:AG$21)</f>
        <v>6</v>
      </c>
      <c r="AI8" s="598"/>
      <c r="AJ8" s="187">
        <v>23</v>
      </c>
      <c r="AK8" s="187">
        <v>1787.7743500569038</v>
      </c>
      <c r="AL8" s="184">
        <f t="shared" ref="AL8:AL16" si="10">IFERROR(AK8/AJ8,"")</f>
        <v>77.729319567691476</v>
      </c>
      <c r="AM8" s="181">
        <f t="shared" ref="AM8:AM16" si="11">RANK(AL8, AL$7:AL$21)</f>
        <v>6</v>
      </c>
      <c r="AN8" s="598"/>
      <c r="AO8" s="187">
        <v>23</v>
      </c>
      <c r="AP8" s="187">
        <v>1787.774350056904</v>
      </c>
      <c r="AQ8" s="184">
        <f t="shared" ref="AQ8:AQ16" si="12">IFERROR(AP8/AO8,"")</f>
        <v>77.729319567691476</v>
      </c>
      <c r="AR8" s="181">
        <f t="shared" ref="AR8:AR16" si="13">RANK(AQ8, AQ$7:AQ$21)</f>
        <v>6</v>
      </c>
      <c r="AS8" s="598"/>
      <c r="AT8" s="187">
        <v>23</v>
      </c>
      <c r="AU8" s="187">
        <v>1787.3743500569039</v>
      </c>
      <c r="AV8" s="184">
        <f t="shared" ref="AV8:AV16" si="14">IFERROR(AU8/AT8,"")</f>
        <v>77.711928263343651</v>
      </c>
      <c r="AW8" s="181">
        <f t="shared" ref="AW8:AW16" si="15">RANK(AV8, AV$7:AV$21)</f>
        <v>6</v>
      </c>
      <c r="AX8" s="598"/>
    </row>
    <row r="9" spans="1:50" ht="14.25" customHeight="1">
      <c r="B9" s="597"/>
      <c r="C9" s="179">
        <v>3</v>
      </c>
      <c r="D9" s="182" t="s">
        <v>350</v>
      </c>
      <c r="E9" s="179">
        <v>23</v>
      </c>
      <c r="F9" s="179">
        <v>2000</v>
      </c>
      <c r="G9" s="184">
        <f t="shared" si="1"/>
        <v>86.956521739130437</v>
      </c>
      <c r="H9" s="598"/>
      <c r="I9" s="185">
        <f>AVERAGE(P9,U9,Z9,AE9,AJ9,AO9,AT9)</f>
        <v>23</v>
      </c>
      <c r="J9" s="185">
        <f t="shared" si="2"/>
        <v>1794.9906582798924</v>
      </c>
      <c r="K9" s="186">
        <f t="shared" si="2"/>
        <v>78.043072099125752</v>
      </c>
      <c r="L9" s="599"/>
      <c r="M9" s="185">
        <f>RANK(K9, K$7:$K$21)</f>
        <v>5</v>
      </c>
      <c r="N9" s="597"/>
      <c r="O9" s="597"/>
      <c r="P9" s="187">
        <v>23</v>
      </c>
      <c r="Q9" s="187">
        <v>1796.8192297084638</v>
      </c>
      <c r="R9" s="184">
        <f t="shared" si="3"/>
        <v>78.122575204715815</v>
      </c>
      <c r="S9" s="181">
        <f t="shared" si="4"/>
        <v>4</v>
      </c>
      <c r="T9" s="598"/>
      <c r="U9" s="187">
        <v>23</v>
      </c>
      <c r="V9" s="187">
        <v>1795.8192297084638</v>
      </c>
      <c r="W9" s="184">
        <f t="shared" si="0"/>
        <v>78.079096943846253</v>
      </c>
      <c r="X9" s="181">
        <f t="shared" si="5"/>
        <v>4</v>
      </c>
      <c r="Y9" s="598"/>
      <c r="Z9" s="187">
        <v>23</v>
      </c>
      <c r="AA9" s="187">
        <v>1795.8192297084638</v>
      </c>
      <c r="AB9" s="184">
        <f t="shared" si="6"/>
        <v>78.079096943846253</v>
      </c>
      <c r="AC9" s="181">
        <f t="shared" si="7"/>
        <v>4</v>
      </c>
      <c r="AD9" s="598"/>
      <c r="AE9" s="187">
        <v>23</v>
      </c>
      <c r="AF9" s="187">
        <v>1795.0192297084639</v>
      </c>
      <c r="AG9" s="184">
        <f t="shared" si="8"/>
        <v>78.044314335150602</v>
      </c>
      <c r="AH9" s="181">
        <f t="shared" si="9"/>
        <v>5</v>
      </c>
      <c r="AI9" s="598"/>
      <c r="AJ9" s="187">
        <v>23</v>
      </c>
      <c r="AK9" s="187">
        <v>1794.6192297084638</v>
      </c>
      <c r="AL9" s="184">
        <f t="shared" si="10"/>
        <v>78.026923030802777</v>
      </c>
      <c r="AM9" s="181">
        <f t="shared" si="11"/>
        <v>5</v>
      </c>
      <c r="AN9" s="598"/>
      <c r="AO9" s="187">
        <v>23</v>
      </c>
      <c r="AP9" s="187">
        <v>1793.8192297084638</v>
      </c>
      <c r="AQ9" s="184">
        <f t="shared" si="12"/>
        <v>77.992140422107127</v>
      </c>
      <c r="AR9" s="181">
        <f t="shared" si="13"/>
        <v>5</v>
      </c>
      <c r="AS9" s="598"/>
      <c r="AT9" s="187">
        <v>23</v>
      </c>
      <c r="AU9" s="187">
        <v>1793.0192297084636</v>
      </c>
      <c r="AV9" s="184">
        <f t="shared" si="14"/>
        <v>77.957357813411463</v>
      </c>
      <c r="AW9" s="181">
        <f t="shared" si="15"/>
        <v>5</v>
      </c>
      <c r="AX9" s="598"/>
    </row>
    <row r="10" spans="1:50" ht="14.25" customHeight="1">
      <c r="B10" s="597"/>
      <c r="C10" s="179">
        <v>4</v>
      </c>
      <c r="D10" s="182" t="s">
        <v>433</v>
      </c>
      <c r="E10" s="179">
        <v>23</v>
      </c>
      <c r="F10" s="179">
        <v>2000</v>
      </c>
      <c r="G10" s="184">
        <f t="shared" si="1"/>
        <v>86.956521739130437</v>
      </c>
      <c r="H10" s="598"/>
      <c r="I10" s="185">
        <f t="shared" ref="I10:I16" si="16">AVERAGE(P10,U10,Z10,AE10,AJ10,AO10,AT10)</f>
        <v>23</v>
      </c>
      <c r="J10" s="185">
        <f t="shared" si="2"/>
        <v>1795.6290322028235</v>
      </c>
      <c r="K10" s="186">
        <f t="shared" si="2"/>
        <v>78.070827487079285</v>
      </c>
      <c r="L10" s="599"/>
      <c r="M10" s="185">
        <f>RANK(K10, K$7:$K$21)</f>
        <v>4</v>
      </c>
      <c r="N10" s="597"/>
      <c r="O10" s="597"/>
      <c r="P10" s="187">
        <v>23</v>
      </c>
      <c r="Q10" s="187">
        <v>1794.6576036313952</v>
      </c>
      <c r="R10" s="184">
        <f t="shared" si="3"/>
        <v>78.028591462234573</v>
      </c>
      <c r="S10" s="181">
        <f t="shared" si="4"/>
        <v>5</v>
      </c>
      <c r="T10" s="598"/>
      <c r="U10" s="187">
        <v>23</v>
      </c>
      <c r="V10" s="187">
        <v>1794.4576036313952</v>
      </c>
      <c r="W10" s="184">
        <f t="shared" si="0"/>
        <v>78.01989581006066</v>
      </c>
      <c r="X10" s="181">
        <f t="shared" si="5"/>
        <v>5</v>
      </c>
      <c r="Y10" s="598"/>
      <c r="Z10" s="187">
        <v>23</v>
      </c>
      <c r="AA10" s="187">
        <v>1795.4576036313949</v>
      </c>
      <c r="AB10" s="184">
        <f t="shared" si="6"/>
        <v>78.063374070930209</v>
      </c>
      <c r="AC10" s="181">
        <f t="shared" si="7"/>
        <v>5</v>
      </c>
      <c r="AD10" s="598"/>
      <c r="AE10" s="187">
        <v>23</v>
      </c>
      <c r="AF10" s="187">
        <v>1795.657603631395</v>
      </c>
      <c r="AG10" s="184">
        <f t="shared" si="8"/>
        <v>78.072069723104136</v>
      </c>
      <c r="AH10" s="181">
        <f t="shared" si="9"/>
        <v>4</v>
      </c>
      <c r="AI10" s="598"/>
      <c r="AJ10" s="187">
        <v>23</v>
      </c>
      <c r="AK10" s="187">
        <v>1796.657603631395</v>
      </c>
      <c r="AL10" s="184">
        <f t="shared" si="10"/>
        <v>78.115547983973698</v>
      </c>
      <c r="AM10" s="181">
        <f t="shared" si="11"/>
        <v>4</v>
      </c>
      <c r="AN10" s="598"/>
      <c r="AO10" s="187">
        <v>23</v>
      </c>
      <c r="AP10" s="187">
        <v>1796.2576036313951</v>
      </c>
      <c r="AQ10" s="184">
        <f t="shared" si="12"/>
        <v>78.098156679625873</v>
      </c>
      <c r="AR10" s="181">
        <f t="shared" si="13"/>
        <v>4</v>
      </c>
      <c r="AS10" s="598"/>
      <c r="AT10" s="187">
        <v>23</v>
      </c>
      <c r="AU10" s="187">
        <v>1796.2576036313949</v>
      </c>
      <c r="AV10" s="184">
        <f t="shared" si="14"/>
        <v>78.098156679625859</v>
      </c>
      <c r="AW10" s="181">
        <f t="shared" si="15"/>
        <v>4</v>
      </c>
      <c r="AX10" s="598"/>
    </row>
    <row r="11" spans="1:50" ht="14.25" customHeight="1">
      <c r="B11" s="597"/>
      <c r="C11" s="179">
        <v>5</v>
      </c>
      <c r="D11" s="182" t="s">
        <v>435</v>
      </c>
      <c r="E11" s="179">
        <v>22</v>
      </c>
      <c r="F11" s="179">
        <v>2000</v>
      </c>
      <c r="G11" s="184">
        <f t="shared" si="1"/>
        <v>90.909090909090907</v>
      </c>
      <c r="H11" s="598"/>
      <c r="I11" s="185">
        <f t="shared" si="16"/>
        <v>22</v>
      </c>
      <c r="J11" s="185">
        <f t="shared" si="2"/>
        <v>1788.3167970196664</v>
      </c>
      <c r="K11" s="186">
        <f t="shared" si="2"/>
        <v>81.287127137257571</v>
      </c>
      <c r="L11" s="599"/>
      <c r="M11" s="185">
        <f>RANK(K11, K$7:$K$21)</f>
        <v>3</v>
      </c>
      <c r="N11" s="597"/>
      <c r="O11" s="597"/>
      <c r="P11" s="187">
        <v>22</v>
      </c>
      <c r="Q11" s="187">
        <v>1786.7377198173044</v>
      </c>
      <c r="R11" s="184">
        <f t="shared" si="3"/>
        <v>81.215350900786561</v>
      </c>
      <c r="S11" s="181">
        <f t="shared" si="4"/>
        <v>3</v>
      </c>
      <c r="T11" s="598"/>
      <c r="U11" s="187">
        <v>22</v>
      </c>
      <c r="V11" s="187">
        <v>1786.5377198173044</v>
      </c>
      <c r="W11" s="184">
        <f t="shared" si="0"/>
        <v>81.20625999169566</v>
      </c>
      <c r="X11" s="181">
        <f t="shared" si="5"/>
        <v>3</v>
      </c>
      <c r="Y11" s="598"/>
      <c r="Z11" s="187">
        <v>22</v>
      </c>
      <c r="AA11" s="187">
        <v>1787.3377198173043</v>
      </c>
      <c r="AB11" s="184">
        <f t="shared" si="6"/>
        <v>81.242623628059292</v>
      </c>
      <c r="AC11" s="181">
        <f t="shared" si="7"/>
        <v>3</v>
      </c>
      <c r="AD11" s="598"/>
      <c r="AE11" s="187">
        <v>22</v>
      </c>
      <c r="AF11" s="187">
        <v>1788.1511049214378</v>
      </c>
      <c r="AG11" s="184">
        <f t="shared" si="8"/>
        <v>81.279595678247176</v>
      </c>
      <c r="AH11" s="181">
        <f t="shared" si="9"/>
        <v>3</v>
      </c>
      <c r="AI11" s="598"/>
      <c r="AJ11" s="187">
        <v>22</v>
      </c>
      <c r="AK11" s="187">
        <v>1789.1511049214378</v>
      </c>
      <c r="AL11" s="184">
        <f t="shared" si="10"/>
        <v>81.325050223701723</v>
      </c>
      <c r="AM11" s="181">
        <f t="shared" si="11"/>
        <v>3</v>
      </c>
      <c r="AN11" s="598"/>
      <c r="AO11" s="187">
        <v>22</v>
      </c>
      <c r="AP11" s="187">
        <v>1789.9511049214379</v>
      </c>
      <c r="AQ11" s="184">
        <f t="shared" si="12"/>
        <v>81.361413860065355</v>
      </c>
      <c r="AR11" s="181">
        <f t="shared" si="13"/>
        <v>3</v>
      </c>
      <c r="AS11" s="598"/>
      <c r="AT11" s="187">
        <v>22</v>
      </c>
      <c r="AU11" s="187">
        <v>1790.3511049214378</v>
      </c>
      <c r="AV11" s="184">
        <f t="shared" si="14"/>
        <v>81.379595678247171</v>
      </c>
      <c r="AW11" s="181">
        <f t="shared" si="15"/>
        <v>3</v>
      </c>
      <c r="AX11" s="598"/>
    </row>
    <row r="12" spans="1:50" ht="14.25" customHeight="1">
      <c r="B12" s="597"/>
      <c r="C12" s="179">
        <v>6</v>
      </c>
      <c r="D12" s="182" t="s">
        <v>437</v>
      </c>
      <c r="E12" s="179">
        <v>20</v>
      </c>
      <c r="F12" s="179">
        <v>2000</v>
      </c>
      <c r="G12" s="184">
        <f t="shared" si="1"/>
        <v>100</v>
      </c>
      <c r="H12" s="598"/>
      <c r="I12" s="185">
        <f t="shared" si="16"/>
        <v>20</v>
      </c>
      <c r="J12" s="185">
        <f t="shared" si="2"/>
        <v>1787.2952118528442</v>
      </c>
      <c r="K12" s="186">
        <f t="shared" si="2"/>
        <v>89.364760592642227</v>
      </c>
      <c r="L12" s="599"/>
      <c r="M12" s="185">
        <f>RANK(K12, K$7:$K$21)</f>
        <v>2</v>
      </c>
      <c r="N12" s="597"/>
      <c r="O12" s="597"/>
      <c r="P12" s="187">
        <v>20</v>
      </c>
      <c r="Q12" s="187">
        <v>1788.1672514041902</v>
      </c>
      <c r="R12" s="184">
        <f t="shared" si="3"/>
        <v>89.408362570209505</v>
      </c>
      <c r="S12" s="181">
        <f t="shared" si="4"/>
        <v>2</v>
      </c>
      <c r="T12" s="598"/>
      <c r="U12" s="187">
        <v>20</v>
      </c>
      <c r="V12" s="187">
        <v>1787.1672514041904</v>
      </c>
      <c r="W12" s="184">
        <f t="shared" si="0"/>
        <v>89.358362570209522</v>
      </c>
      <c r="X12" s="181">
        <f t="shared" si="5"/>
        <v>2</v>
      </c>
      <c r="Y12" s="598"/>
      <c r="Z12" s="187">
        <v>20</v>
      </c>
      <c r="AA12" s="187">
        <v>1787.9672514041904</v>
      </c>
      <c r="AB12" s="184">
        <f t="shared" si="6"/>
        <v>89.398362570209514</v>
      </c>
      <c r="AC12" s="181">
        <f t="shared" si="7"/>
        <v>2</v>
      </c>
      <c r="AD12" s="598"/>
      <c r="AE12" s="187">
        <v>20</v>
      </c>
      <c r="AF12" s="187">
        <v>1787.1672514041904</v>
      </c>
      <c r="AG12" s="184">
        <f t="shared" si="8"/>
        <v>89.358362570209522</v>
      </c>
      <c r="AH12" s="181">
        <f t="shared" si="9"/>
        <v>2</v>
      </c>
      <c r="AI12" s="598"/>
      <c r="AJ12" s="187">
        <v>20</v>
      </c>
      <c r="AK12" s="187">
        <v>1786.1672514041907</v>
      </c>
      <c r="AL12" s="184">
        <f t="shared" si="10"/>
        <v>89.308362570209539</v>
      </c>
      <c r="AM12" s="181">
        <f t="shared" si="11"/>
        <v>2</v>
      </c>
      <c r="AN12" s="598"/>
      <c r="AO12" s="187">
        <v>20</v>
      </c>
      <c r="AP12" s="187">
        <v>1786.7672514041908</v>
      </c>
      <c r="AQ12" s="184">
        <f t="shared" si="12"/>
        <v>89.33836257020954</v>
      </c>
      <c r="AR12" s="181">
        <f t="shared" si="13"/>
        <v>2</v>
      </c>
      <c r="AS12" s="598"/>
      <c r="AT12" s="187">
        <v>20</v>
      </c>
      <c r="AU12" s="187">
        <v>1787.6629745447669</v>
      </c>
      <c r="AV12" s="184">
        <f t="shared" si="14"/>
        <v>89.38314872723835</v>
      </c>
      <c r="AW12" s="181">
        <f t="shared" si="15"/>
        <v>2</v>
      </c>
      <c r="AX12" s="598"/>
    </row>
    <row r="13" spans="1:50" ht="14.25" customHeight="1">
      <c r="B13" s="597"/>
      <c r="C13" s="179">
        <v>7</v>
      </c>
      <c r="D13" s="182" t="s">
        <v>353</v>
      </c>
      <c r="E13" s="179">
        <v>23</v>
      </c>
      <c r="F13" s="179">
        <v>2000</v>
      </c>
      <c r="G13" s="184">
        <f t="shared" si="1"/>
        <v>86.956521739130437</v>
      </c>
      <c r="H13" s="598"/>
      <c r="I13" s="185">
        <f t="shared" si="16"/>
        <v>23</v>
      </c>
      <c r="J13" s="185">
        <f t="shared" si="2"/>
        <v>1791.0903867752415</v>
      </c>
      <c r="K13" s="186">
        <f t="shared" si="2"/>
        <v>77.873495077184415</v>
      </c>
      <c r="L13" s="599"/>
      <c r="M13" s="185">
        <f>RANK(K13, K$7:$K$21)</f>
        <v>6</v>
      </c>
      <c r="N13" s="597"/>
      <c r="O13" s="597"/>
      <c r="P13" s="187">
        <v>23</v>
      </c>
      <c r="Q13" s="187">
        <v>1791.0903867752415</v>
      </c>
      <c r="R13" s="184">
        <f t="shared" si="3"/>
        <v>77.873495077184415</v>
      </c>
      <c r="S13" s="181">
        <f t="shared" si="4"/>
        <v>6</v>
      </c>
      <c r="T13" s="598"/>
      <c r="U13" s="187"/>
      <c r="V13" s="187"/>
      <c r="W13" s="184"/>
      <c r="X13" s="181"/>
      <c r="Y13" s="598"/>
      <c r="Z13" s="187"/>
      <c r="AA13" s="187"/>
      <c r="AB13" s="184"/>
      <c r="AC13" s="181"/>
      <c r="AD13" s="598"/>
      <c r="AE13" s="187"/>
      <c r="AF13" s="187"/>
      <c r="AG13" s="184"/>
      <c r="AH13" s="181"/>
      <c r="AI13" s="598"/>
      <c r="AJ13" s="187"/>
      <c r="AK13" s="187"/>
      <c r="AL13" s="184"/>
      <c r="AM13" s="181"/>
      <c r="AN13" s="598"/>
      <c r="AO13" s="187"/>
      <c r="AP13" s="187"/>
      <c r="AQ13" s="184"/>
      <c r="AR13" s="181"/>
      <c r="AS13" s="598"/>
      <c r="AT13" s="187"/>
      <c r="AU13" s="187"/>
      <c r="AV13" s="184"/>
      <c r="AW13" s="181"/>
      <c r="AX13" s="598"/>
    </row>
    <row r="14" spans="1:50" ht="14.25" customHeight="1">
      <c r="B14" s="597"/>
      <c r="C14" s="179">
        <v>8</v>
      </c>
      <c r="D14" s="182" t="s">
        <v>508</v>
      </c>
      <c r="E14" s="179">
        <v>25</v>
      </c>
      <c r="F14" s="179">
        <v>2000</v>
      </c>
      <c r="G14" s="184">
        <f t="shared" si="1"/>
        <v>80</v>
      </c>
      <c r="H14" s="598"/>
      <c r="I14" s="185">
        <f t="shared" si="16"/>
        <v>25</v>
      </c>
      <c r="J14" s="185">
        <f t="shared" si="2"/>
        <v>1788.1971759908881</v>
      </c>
      <c r="K14" s="186">
        <f t="shared" si="2"/>
        <v>71.52788703963553</v>
      </c>
      <c r="L14" s="599"/>
      <c r="M14" s="185">
        <f>RANK(K14, K$7:$K$21)</f>
        <v>10</v>
      </c>
      <c r="N14" s="597"/>
      <c r="O14" s="597"/>
      <c r="P14" s="187">
        <v>25</v>
      </c>
      <c r="Q14" s="187">
        <v>1787.8323683027768</v>
      </c>
      <c r="R14" s="184">
        <f t="shared" si="3"/>
        <v>71.513294732111078</v>
      </c>
      <c r="S14" s="181">
        <f t="shared" si="4"/>
        <v>9</v>
      </c>
      <c r="T14" s="598"/>
      <c r="U14" s="187">
        <v>25</v>
      </c>
      <c r="V14" s="187">
        <v>1788.832368302777</v>
      </c>
      <c r="W14" s="184">
        <f t="shared" si="0"/>
        <v>71.553294732111084</v>
      </c>
      <c r="X14" s="181">
        <f t="shared" si="5"/>
        <v>8</v>
      </c>
      <c r="Y14" s="598"/>
      <c r="Z14" s="187">
        <v>25</v>
      </c>
      <c r="AA14" s="187">
        <v>1788.2323683027771</v>
      </c>
      <c r="AB14" s="184">
        <f t="shared" si="6"/>
        <v>71.529294732111083</v>
      </c>
      <c r="AC14" s="181">
        <f t="shared" si="7"/>
        <v>8</v>
      </c>
      <c r="AD14" s="598"/>
      <c r="AE14" s="187">
        <v>25</v>
      </c>
      <c r="AF14" s="187">
        <v>1787.6323683027767</v>
      </c>
      <c r="AG14" s="184">
        <f t="shared" si="8"/>
        <v>71.505294732111068</v>
      </c>
      <c r="AH14" s="181">
        <f t="shared" si="9"/>
        <v>9</v>
      </c>
      <c r="AI14" s="598"/>
      <c r="AJ14" s="187">
        <v>25</v>
      </c>
      <c r="AK14" s="187">
        <v>1787.0323683027768</v>
      </c>
      <c r="AL14" s="184">
        <f t="shared" si="10"/>
        <v>71.481294732111067</v>
      </c>
      <c r="AM14" s="181">
        <f t="shared" si="11"/>
        <v>9</v>
      </c>
      <c r="AN14" s="598"/>
      <c r="AO14" s="187">
        <v>25</v>
      </c>
      <c r="AP14" s="187">
        <v>1787.4323683027769</v>
      </c>
      <c r="AQ14" s="184">
        <f t="shared" si="12"/>
        <v>71.497294732111072</v>
      </c>
      <c r="AR14" s="181">
        <f t="shared" si="13"/>
        <v>9</v>
      </c>
      <c r="AS14" s="598"/>
      <c r="AT14" s="187">
        <v>25</v>
      </c>
      <c r="AU14" s="187">
        <v>1790.3860221195553</v>
      </c>
      <c r="AV14" s="184">
        <f t="shared" si="14"/>
        <v>71.615440884782217</v>
      </c>
      <c r="AW14" s="181">
        <f t="shared" si="15"/>
        <v>9</v>
      </c>
      <c r="AX14" s="598"/>
    </row>
    <row r="15" spans="1:50" ht="14.25" customHeight="1">
      <c r="B15" s="597"/>
      <c r="C15" s="179">
        <v>9</v>
      </c>
      <c r="D15" s="182" t="s">
        <v>580</v>
      </c>
      <c r="E15" s="179">
        <v>20</v>
      </c>
      <c r="F15" s="179">
        <v>2000</v>
      </c>
      <c r="G15" s="184">
        <f t="shared" si="1"/>
        <v>100</v>
      </c>
      <c r="H15" s="598"/>
      <c r="I15" s="185">
        <f t="shared" si="16"/>
        <v>20</v>
      </c>
      <c r="J15" s="185">
        <f t="shared" si="2"/>
        <v>1791.5170144394017</v>
      </c>
      <c r="K15" s="186">
        <f t="shared" si="2"/>
        <v>89.57585072197007</v>
      </c>
      <c r="L15" s="599"/>
      <c r="M15" s="185">
        <f>RANK(K15, K$7:$K$21)</f>
        <v>1</v>
      </c>
      <c r="N15" s="597"/>
      <c r="O15" s="597"/>
      <c r="P15" s="187">
        <v>20</v>
      </c>
      <c r="Q15" s="187">
        <v>1793.1455858679722</v>
      </c>
      <c r="R15" s="184">
        <f t="shared" si="3"/>
        <v>89.657279293398602</v>
      </c>
      <c r="S15" s="181">
        <f t="shared" si="4"/>
        <v>1</v>
      </c>
      <c r="T15" s="598"/>
      <c r="U15" s="187">
        <v>20</v>
      </c>
      <c r="V15" s="187">
        <v>1792.5455858679722</v>
      </c>
      <c r="W15" s="184">
        <f t="shared" si="0"/>
        <v>89.627279293398615</v>
      </c>
      <c r="X15" s="181">
        <f t="shared" si="5"/>
        <v>1</v>
      </c>
      <c r="Y15" s="598"/>
      <c r="Z15" s="187">
        <v>20</v>
      </c>
      <c r="AA15" s="187">
        <v>1791.9455858679728</v>
      </c>
      <c r="AB15" s="184">
        <f t="shared" si="6"/>
        <v>89.597279293398643</v>
      </c>
      <c r="AC15" s="181">
        <f t="shared" si="7"/>
        <v>1</v>
      </c>
      <c r="AD15" s="598"/>
      <c r="AE15" s="187">
        <v>20</v>
      </c>
      <c r="AF15" s="187">
        <v>1791.5455858679732</v>
      </c>
      <c r="AG15" s="184">
        <f t="shared" si="8"/>
        <v>89.577279293398661</v>
      </c>
      <c r="AH15" s="181">
        <f t="shared" si="9"/>
        <v>1</v>
      </c>
      <c r="AI15" s="598"/>
      <c r="AJ15" s="187">
        <v>20</v>
      </c>
      <c r="AK15" s="187">
        <v>1791.1455858679733</v>
      </c>
      <c r="AL15" s="184">
        <f t="shared" si="10"/>
        <v>89.557279293398665</v>
      </c>
      <c r="AM15" s="181">
        <f t="shared" si="11"/>
        <v>1</v>
      </c>
      <c r="AN15" s="598"/>
      <c r="AO15" s="187">
        <v>20</v>
      </c>
      <c r="AP15" s="187">
        <v>1790.3455858679733</v>
      </c>
      <c r="AQ15" s="184">
        <f t="shared" si="12"/>
        <v>89.517279293398673</v>
      </c>
      <c r="AR15" s="181">
        <f t="shared" si="13"/>
        <v>1</v>
      </c>
      <c r="AS15" s="598"/>
      <c r="AT15" s="187">
        <v>20</v>
      </c>
      <c r="AU15" s="187">
        <v>1789.9455858679735</v>
      </c>
      <c r="AV15" s="184">
        <f t="shared" si="14"/>
        <v>89.497279293398677</v>
      </c>
      <c r="AW15" s="181">
        <f t="shared" si="15"/>
        <v>1</v>
      </c>
      <c r="AX15" s="598"/>
    </row>
    <row r="16" spans="1:50" ht="14.25" customHeight="1">
      <c r="B16" s="597"/>
      <c r="C16" s="179">
        <v>10</v>
      </c>
      <c r="D16" s="182" t="s">
        <v>710</v>
      </c>
      <c r="E16" s="179">
        <v>24</v>
      </c>
      <c r="F16" s="179">
        <v>2000</v>
      </c>
      <c r="G16" s="184">
        <f t="shared" si="1"/>
        <v>83.333333333333329</v>
      </c>
      <c r="H16" s="598"/>
      <c r="I16" s="185">
        <f t="shared" si="16"/>
        <v>24</v>
      </c>
      <c r="J16" s="185">
        <f t="shared" si="2"/>
        <v>1729.233504034891</v>
      </c>
      <c r="K16" s="186">
        <f t="shared" si="2"/>
        <v>72.051396001453796</v>
      </c>
      <c r="L16" s="599"/>
      <c r="M16" s="185">
        <f>RANK(K16, K$7:$K$21)</f>
        <v>9</v>
      </c>
      <c r="N16" s="597"/>
      <c r="O16" s="597"/>
      <c r="P16" s="187">
        <v>24</v>
      </c>
      <c r="Q16" s="187">
        <v>1635.056844856681</v>
      </c>
      <c r="R16" s="184">
        <f t="shared" si="3"/>
        <v>68.127368535695041</v>
      </c>
      <c r="S16" s="181">
        <f t="shared" si="4"/>
        <v>10</v>
      </c>
      <c r="T16" s="598"/>
      <c r="U16" s="187">
        <v>24</v>
      </c>
      <c r="V16" s="187">
        <v>1672.0999635076303</v>
      </c>
      <c r="W16" s="184">
        <f t="shared" si="0"/>
        <v>69.670831812817923</v>
      </c>
      <c r="X16" s="181">
        <f t="shared" si="5"/>
        <v>9</v>
      </c>
      <c r="Y16" s="598"/>
      <c r="Z16" s="187">
        <v>24</v>
      </c>
      <c r="AA16" s="187">
        <v>1705.1339627777829</v>
      </c>
      <c r="AB16" s="184">
        <f t="shared" si="6"/>
        <v>71.047248449074289</v>
      </c>
      <c r="AC16" s="181">
        <f t="shared" si="7"/>
        <v>9</v>
      </c>
      <c r="AD16" s="598"/>
      <c r="AE16" s="187">
        <v>24</v>
      </c>
      <c r="AF16" s="187">
        <v>1739.0326420333386</v>
      </c>
      <c r="AG16" s="184">
        <f t="shared" si="8"/>
        <v>72.459693418055778</v>
      </c>
      <c r="AH16" s="181">
        <f t="shared" si="9"/>
        <v>8</v>
      </c>
      <c r="AI16" s="598"/>
      <c r="AJ16" s="187">
        <v>24</v>
      </c>
      <c r="AK16" s="187">
        <v>1773.2012948740057</v>
      </c>
      <c r="AL16" s="184">
        <f t="shared" si="10"/>
        <v>73.883387286416905</v>
      </c>
      <c r="AM16" s="181">
        <f t="shared" si="11"/>
        <v>8</v>
      </c>
      <c r="AN16" s="598"/>
      <c r="AO16" s="187">
        <v>24</v>
      </c>
      <c r="AP16" s="187">
        <v>1790.3497136669271</v>
      </c>
      <c r="AQ16" s="184">
        <f t="shared" si="12"/>
        <v>74.597904736121961</v>
      </c>
      <c r="AR16" s="181">
        <f t="shared" si="13"/>
        <v>8</v>
      </c>
      <c r="AS16" s="598"/>
      <c r="AT16" s="187">
        <v>24</v>
      </c>
      <c r="AU16" s="187">
        <v>1789.7601065278723</v>
      </c>
      <c r="AV16" s="184">
        <f t="shared" si="14"/>
        <v>74.573337771994673</v>
      </c>
      <c r="AW16" s="181">
        <f t="shared" si="15"/>
        <v>8</v>
      </c>
      <c r="AX16" s="598"/>
    </row>
    <row r="17" spans="2:50" ht="14.25" customHeight="1">
      <c r="B17" s="597"/>
      <c r="C17" s="179">
        <v>11</v>
      </c>
      <c r="D17" s="182"/>
      <c r="E17" s="179"/>
      <c r="F17" s="179"/>
      <c r="G17" s="184"/>
      <c r="H17" s="598"/>
      <c r="I17" s="185"/>
      <c r="J17" s="185"/>
      <c r="K17" s="186"/>
      <c r="L17" s="599"/>
      <c r="M17" s="185"/>
      <c r="N17" s="597"/>
      <c r="O17" s="597"/>
      <c r="P17" s="187"/>
      <c r="Q17" s="187"/>
      <c r="R17" s="184"/>
      <c r="S17" s="181"/>
      <c r="T17" s="598"/>
      <c r="U17" s="187"/>
      <c r="V17" s="187"/>
      <c r="W17" s="184"/>
      <c r="X17" s="181"/>
      <c r="Y17" s="598"/>
      <c r="Z17" s="187"/>
      <c r="AA17" s="187"/>
      <c r="AB17" s="184"/>
      <c r="AC17" s="181"/>
      <c r="AD17" s="598"/>
      <c r="AE17" s="187"/>
      <c r="AF17" s="187"/>
      <c r="AG17" s="184"/>
      <c r="AH17" s="181"/>
      <c r="AI17" s="598"/>
      <c r="AJ17" s="187"/>
      <c r="AK17" s="187"/>
      <c r="AL17" s="184"/>
      <c r="AM17" s="181"/>
      <c r="AN17" s="598"/>
      <c r="AO17" s="187"/>
      <c r="AP17" s="187"/>
      <c r="AQ17" s="184"/>
      <c r="AR17" s="181"/>
      <c r="AS17" s="598"/>
      <c r="AT17" s="187"/>
      <c r="AU17" s="187"/>
      <c r="AV17" s="184"/>
      <c r="AW17" s="181"/>
      <c r="AX17" s="598"/>
    </row>
    <row r="18" spans="2:50" ht="14.25" customHeight="1">
      <c r="B18" s="597"/>
      <c r="C18" s="179">
        <v>12</v>
      </c>
      <c r="D18" s="182"/>
      <c r="E18" s="179"/>
      <c r="F18" s="179"/>
      <c r="G18" s="184"/>
      <c r="H18" s="598"/>
      <c r="I18" s="185"/>
      <c r="J18" s="185"/>
      <c r="K18" s="186"/>
      <c r="L18" s="599"/>
      <c r="M18" s="185"/>
      <c r="N18" s="597"/>
      <c r="O18" s="597"/>
      <c r="P18" s="187"/>
      <c r="Q18" s="187"/>
      <c r="R18" s="184"/>
      <c r="S18" s="181"/>
      <c r="T18" s="598"/>
      <c r="U18" s="187"/>
      <c r="V18" s="187"/>
      <c r="W18" s="184"/>
      <c r="X18" s="181"/>
      <c r="Y18" s="598"/>
      <c r="Z18" s="187"/>
      <c r="AA18" s="187"/>
      <c r="AB18" s="184"/>
      <c r="AC18" s="181"/>
      <c r="AD18" s="598"/>
      <c r="AE18" s="187"/>
      <c r="AF18" s="187"/>
      <c r="AG18" s="184"/>
      <c r="AH18" s="181"/>
      <c r="AI18" s="598"/>
      <c r="AJ18" s="187"/>
      <c r="AK18" s="187"/>
      <c r="AL18" s="184"/>
      <c r="AM18" s="181"/>
      <c r="AN18" s="598"/>
      <c r="AO18" s="187"/>
      <c r="AP18" s="187"/>
      <c r="AQ18" s="184"/>
      <c r="AR18" s="181"/>
      <c r="AS18" s="598"/>
      <c r="AT18" s="187"/>
      <c r="AU18" s="187"/>
      <c r="AV18" s="184"/>
      <c r="AW18" s="181"/>
      <c r="AX18" s="598"/>
    </row>
    <row r="19" spans="2:50" ht="14.25" customHeight="1">
      <c r="B19" s="597"/>
      <c r="C19" s="179">
        <v>13</v>
      </c>
      <c r="D19" s="182"/>
      <c r="E19" s="179"/>
      <c r="F19" s="179"/>
      <c r="G19" s="184"/>
      <c r="H19" s="598"/>
      <c r="I19" s="185"/>
      <c r="J19" s="185"/>
      <c r="K19" s="186"/>
      <c r="L19" s="599"/>
      <c r="M19" s="185"/>
      <c r="N19" s="597"/>
      <c r="O19" s="597"/>
      <c r="P19" s="187"/>
      <c r="Q19" s="187"/>
      <c r="R19" s="184"/>
      <c r="S19" s="181"/>
      <c r="T19" s="598"/>
      <c r="U19" s="187"/>
      <c r="V19" s="187"/>
      <c r="W19" s="184"/>
      <c r="X19" s="181"/>
      <c r="Y19" s="598"/>
      <c r="Z19" s="187"/>
      <c r="AA19" s="187"/>
      <c r="AB19" s="184"/>
      <c r="AC19" s="181"/>
      <c r="AD19" s="598"/>
      <c r="AE19" s="187"/>
      <c r="AF19" s="187"/>
      <c r="AG19" s="184"/>
      <c r="AH19" s="181"/>
      <c r="AI19" s="598"/>
      <c r="AJ19" s="187"/>
      <c r="AK19" s="187"/>
      <c r="AL19" s="184"/>
      <c r="AM19" s="181"/>
      <c r="AN19" s="598"/>
      <c r="AO19" s="187"/>
      <c r="AP19" s="187"/>
      <c r="AQ19" s="184"/>
      <c r="AR19" s="181"/>
      <c r="AS19" s="598"/>
      <c r="AT19" s="187"/>
      <c r="AU19" s="187"/>
      <c r="AV19" s="184"/>
      <c r="AW19" s="181"/>
      <c r="AX19" s="598"/>
    </row>
    <row r="20" spans="2:50" ht="14.25" customHeight="1">
      <c r="B20" s="597"/>
      <c r="C20" s="179">
        <v>14</v>
      </c>
      <c r="D20" s="182"/>
      <c r="E20" s="179"/>
      <c r="F20" s="179"/>
      <c r="G20" s="184"/>
      <c r="H20" s="598"/>
      <c r="I20" s="185"/>
      <c r="J20" s="185"/>
      <c r="K20" s="186"/>
      <c r="L20" s="599"/>
      <c r="M20" s="185"/>
      <c r="N20" s="597"/>
      <c r="O20" s="597"/>
      <c r="P20" s="187"/>
      <c r="Q20" s="187"/>
      <c r="R20" s="184"/>
      <c r="S20" s="181"/>
      <c r="T20" s="598"/>
      <c r="U20" s="187"/>
      <c r="V20" s="187"/>
      <c r="W20" s="184"/>
      <c r="X20" s="181"/>
      <c r="Y20" s="598"/>
      <c r="Z20" s="187"/>
      <c r="AA20" s="187"/>
      <c r="AB20" s="184"/>
      <c r="AC20" s="181"/>
      <c r="AD20" s="598"/>
      <c r="AE20" s="187"/>
      <c r="AF20" s="187"/>
      <c r="AG20" s="184"/>
      <c r="AH20" s="181"/>
      <c r="AI20" s="598"/>
      <c r="AJ20" s="187"/>
      <c r="AK20" s="187"/>
      <c r="AL20" s="184"/>
      <c r="AM20" s="181"/>
      <c r="AN20" s="598"/>
      <c r="AO20" s="187"/>
      <c r="AP20" s="187"/>
      <c r="AQ20" s="184"/>
      <c r="AR20" s="181"/>
      <c r="AS20" s="598"/>
      <c r="AT20" s="187"/>
      <c r="AU20" s="187"/>
      <c r="AV20" s="184"/>
      <c r="AW20" s="181"/>
      <c r="AX20" s="598"/>
    </row>
    <row r="21" spans="2:50" ht="14.25" customHeight="1">
      <c r="B21" s="597"/>
      <c r="C21" s="179">
        <v>15</v>
      </c>
      <c r="D21" s="182"/>
      <c r="E21" s="179"/>
      <c r="F21" s="179"/>
      <c r="G21" s="184"/>
      <c r="H21" s="598"/>
      <c r="I21" s="185"/>
      <c r="J21" s="185"/>
      <c r="K21" s="186"/>
      <c r="L21" s="599"/>
      <c r="M21" s="185"/>
      <c r="N21" s="597"/>
      <c r="O21" s="597"/>
      <c r="P21" s="187"/>
      <c r="Q21" s="187"/>
      <c r="R21" s="184"/>
      <c r="S21" s="181"/>
      <c r="T21" s="598"/>
      <c r="U21" s="187"/>
      <c r="V21" s="187"/>
      <c r="W21" s="184"/>
      <c r="X21" s="181"/>
      <c r="Y21" s="598"/>
      <c r="Z21" s="187"/>
      <c r="AA21" s="187"/>
      <c r="AB21" s="184"/>
      <c r="AC21" s="181"/>
      <c r="AD21" s="598"/>
      <c r="AE21" s="187"/>
      <c r="AF21" s="187"/>
      <c r="AG21" s="184"/>
      <c r="AH21" s="181"/>
      <c r="AI21" s="598"/>
      <c r="AJ21" s="187"/>
      <c r="AK21" s="187"/>
      <c r="AL21" s="184"/>
      <c r="AM21" s="181"/>
      <c r="AN21" s="598"/>
      <c r="AO21" s="187"/>
      <c r="AP21" s="187"/>
      <c r="AQ21" s="184"/>
      <c r="AR21" s="181"/>
      <c r="AS21" s="598"/>
      <c r="AT21" s="187"/>
      <c r="AU21" s="187"/>
      <c r="AV21" s="184"/>
      <c r="AW21" s="181"/>
      <c r="AX21" s="598"/>
    </row>
    <row r="22" spans="2:50" ht="14.25" customHeight="1">
      <c r="B22" s="625" t="s">
        <v>773</v>
      </c>
      <c r="C22" s="631"/>
      <c r="D22" s="631"/>
      <c r="E22" s="631"/>
      <c r="F22" s="631"/>
      <c r="G22" s="631"/>
      <c r="H22" s="631"/>
      <c r="I22" s="631"/>
      <c r="J22" s="631"/>
      <c r="K22" s="631"/>
      <c r="L22" s="631"/>
      <c r="M22" s="632"/>
      <c r="N22" s="629" t="s">
        <v>363</v>
      </c>
      <c r="O22" s="629" t="s">
        <v>105</v>
      </c>
      <c r="P22" s="617">
        <v>46210</v>
      </c>
      <c r="Q22" s="618"/>
      <c r="R22" s="618"/>
      <c r="S22" s="618"/>
      <c r="T22" s="618"/>
      <c r="U22" s="619">
        <v>46211</v>
      </c>
      <c r="V22" s="620"/>
      <c r="W22" s="620"/>
      <c r="X22" s="620"/>
      <c r="Y22" s="620"/>
      <c r="Z22" s="617">
        <v>46212</v>
      </c>
      <c r="AA22" s="618"/>
      <c r="AB22" s="618"/>
      <c r="AC22" s="618"/>
      <c r="AD22" s="618"/>
      <c r="AE22" s="619">
        <v>46213</v>
      </c>
      <c r="AF22" s="620"/>
      <c r="AG22" s="620"/>
      <c r="AH22" s="620"/>
      <c r="AI22" s="620"/>
      <c r="AJ22" s="602">
        <v>46214</v>
      </c>
      <c r="AK22" s="603"/>
      <c r="AL22" s="603"/>
      <c r="AM22" s="603"/>
      <c r="AN22" s="604"/>
      <c r="AO22" s="619">
        <v>46215</v>
      </c>
      <c r="AP22" s="620"/>
      <c r="AQ22" s="620"/>
      <c r="AR22" s="620"/>
      <c r="AS22" s="620"/>
      <c r="AT22" s="602">
        <v>46216</v>
      </c>
      <c r="AU22" s="603"/>
      <c r="AV22" s="603"/>
      <c r="AW22" s="603"/>
      <c r="AX22" s="604"/>
    </row>
    <row r="23" spans="2:50" ht="14.25" customHeight="1"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4"/>
      <c r="N23" s="630"/>
      <c r="O23" s="630"/>
      <c r="P23" s="605">
        <v>46196</v>
      </c>
      <c r="Q23" s="605"/>
      <c r="R23" s="605"/>
      <c r="S23" s="605"/>
      <c r="T23" s="605"/>
      <c r="U23" s="606">
        <v>46197</v>
      </c>
      <c r="V23" s="606"/>
      <c r="W23" s="606"/>
      <c r="X23" s="606"/>
      <c r="Y23" s="606"/>
      <c r="Z23" s="605">
        <v>46198</v>
      </c>
      <c r="AA23" s="605"/>
      <c r="AB23" s="605"/>
      <c r="AC23" s="605"/>
      <c r="AD23" s="605"/>
      <c r="AE23" s="606">
        <v>46199</v>
      </c>
      <c r="AF23" s="606"/>
      <c r="AG23" s="606"/>
      <c r="AH23" s="606"/>
      <c r="AI23" s="606"/>
      <c r="AJ23" s="607">
        <v>46200</v>
      </c>
      <c r="AK23" s="608"/>
      <c r="AL23" s="608"/>
      <c r="AM23" s="608"/>
      <c r="AN23" s="609"/>
      <c r="AO23" s="606">
        <v>46201</v>
      </c>
      <c r="AP23" s="606"/>
      <c r="AQ23" s="606"/>
      <c r="AR23" s="606"/>
      <c r="AS23" s="606"/>
      <c r="AT23" s="607">
        <v>46202</v>
      </c>
      <c r="AU23" s="608"/>
      <c r="AV23" s="608"/>
      <c r="AW23" s="608"/>
      <c r="AX23" s="609"/>
    </row>
    <row r="24" spans="2:50" ht="14.25" customHeight="1">
      <c r="B24" s="597" t="s">
        <v>162</v>
      </c>
      <c r="C24" s="597" t="s">
        <v>157</v>
      </c>
      <c r="D24" s="597"/>
      <c r="E24" s="597" t="s">
        <v>158</v>
      </c>
      <c r="F24" s="597"/>
      <c r="G24" s="597"/>
      <c r="H24" s="597" t="s">
        <v>163</v>
      </c>
      <c r="I24" s="601" t="s">
        <v>364</v>
      </c>
      <c r="J24" s="601"/>
      <c r="K24" s="601"/>
      <c r="L24" s="601" t="s">
        <v>163</v>
      </c>
      <c r="M24" s="601" t="s">
        <v>165</v>
      </c>
      <c r="N24" s="597"/>
      <c r="O24" s="597" t="s">
        <v>164</v>
      </c>
      <c r="P24" s="597" t="s">
        <v>160</v>
      </c>
      <c r="Q24" s="597"/>
      <c r="R24" s="597"/>
      <c r="S24" s="597"/>
      <c r="T24" s="597" t="s">
        <v>163</v>
      </c>
      <c r="U24" s="597" t="s">
        <v>160</v>
      </c>
      <c r="V24" s="597"/>
      <c r="W24" s="597"/>
      <c r="X24" s="597"/>
      <c r="Y24" s="597" t="s">
        <v>163</v>
      </c>
      <c r="Z24" s="597" t="s">
        <v>160</v>
      </c>
      <c r="AA24" s="597"/>
      <c r="AB24" s="597"/>
      <c r="AC24" s="597"/>
      <c r="AD24" s="597" t="s">
        <v>163</v>
      </c>
      <c r="AE24" s="597" t="s">
        <v>160</v>
      </c>
      <c r="AF24" s="597"/>
      <c r="AG24" s="597"/>
      <c r="AH24" s="597"/>
      <c r="AI24" s="597" t="s">
        <v>163</v>
      </c>
      <c r="AJ24" s="597" t="s">
        <v>160</v>
      </c>
      <c r="AK24" s="597"/>
      <c r="AL24" s="597"/>
      <c r="AM24" s="597"/>
      <c r="AN24" s="597" t="s">
        <v>163</v>
      </c>
      <c r="AO24" s="597" t="s">
        <v>160</v>
      </c>
      <c r="AP24" s="597"/>
      <c r="AQ24" s="597"/>
      <c r="AR24" s="597"/>
      <c r="AS24" s="597" t="s">
        <v>163</v>
      </c>
      <c r="AT24" s="597" t="s">
        <v>160</v>
      </c>
      <c r="AU24" s="597"/>
      <c r="AV24" s="597"/>
      <c r="AW24" s="597"/>
      <c r="AX24" s="597" t="s">
        <v>163</v>
      </c>
    </row>
    <row r="25" spans="2:50" ht="14.25" customHeight="1">
      <c r="B25" s="597"/>
      <c r="C25" s="597"/>
      <c r="D25" s="597"/>
      <c r="E25" s="597" t="s">
        <v>365</v>
      </c>
      <c r="F25" s="597"/>
      <c r="G25" s="597"/>
      <c r="H25" s="597"/>
      <c r="I25" s="601" t="s">
        <v>365</v>
      </c>
      <c r="J25" s="601"/>
      <c r="K25" s="601"/>
      <c r="L25" s="601"/>
      <c r="M25" s="601"/>
      <c r="N25" s="597"/>
      <c r="O25" s="597"/>
      <c r="P25" s="597" t="s">
        <v>366</v>
      </c>
      <c r="Q25" s="597"/>
      <c r="R25" s="597"/>
      <c r="S25" s="597"/>
      <c r="T25" s="597"/>
      <c r="U25" s="597" t="s">
        <v>366</v>
      </c>
      <c r="V25" s="597"/>
      <c r="W25" s="597"/>
      <c r="X25" s="597"/>
      <c r="Y25" s="597"/>
      <c r="Z25" s="597" t="s">
        <v>366</v>
      </c>
      <c r="AA25" s="597"/>
      <c r="AB25" s="597"/>
      <c r="AC25" s="597"/>
      <c r="AD25" s="597"/>
      <c r="AE25" s="597" t="s">
        <v>366</v>
      </c>
      <c r="AF25" s="597"/>
      <c r="AG25" s="597"/>
      <c r="AH25" s="597"/>
      <c r="AI25" s="597"/>
      <c r="AJ25" s="597" t="s">
        <v>366</v>
      </c>
      <c r="AK25" s="597"/>
      <c r="AL25" s="597"/>
      <c r="AM25" s="597"/>
      <c r="AN25" s="597"/>
      <c r="AO25" s="597" t="s">
        <v>366</v>
      </c>
      <c r="AP25" s="597"/>
      <c r="AQ25" s="597"/>
      <c r="AR25" s="597"/>
      <c r="AS25" s="597"/>
      <c r="AT25" s="597" t="s">
        <v>366</v>
      </c>
      <c r="AU25" s="597"/>
      <c r="AV25" s="597"/>
      <c r="AW25" s="597"/>
      <c r="AX25" s="597"/>
    </row>
    <row r="26" spans="2:50" ht="14.25" customHeight="1">
      <c r="B26" s="597"/>
      <c r="C26" s="597"/>
      <c r="D26" s="597"/>
      <c r="E26" s="179" t="s">
        <v>159</v>
      </c>
      <c r="F26" s="179" t="s">
        <v>367</v>
      </c>
      <c r="G26" s="179" t="s">
        <v>161</v>
      </c>
      <c r="H26" s="597"/>
      <c r="I26" s="180" t="s">
        <v>159</v>
      </c>
      <c r="J26" s="180" t="s">
        <v>367</v>
      </c>
      <c r="K26" s="180" t="s">
        <v>161</v>
      </c>
      <c r="L26" s="601"/>
      <c r="M26" s="601"/>
      <c r="N26" s="597"/>
      <c r="O26" s="597"/>
      <c r="P26" s="179" t="s">
        <v>159</v>
      </c>
      <c r="Q26" s="179" t="s">
        <v>367</v>
      </c>
      <c r="R26" s="179" t="s">
        <v>161</v>
      </c>
      <c r="S26" s="181" t="s">
        <v>165</v>
      </c>
      <c r="T26" s="597"/>
      <c r="U26" s="179" t="s">
        <v>159</v>
      </c>
      <c r="V26" s="179" t="s">
        <v>367</v>
      </c>
      <c r="W26" s="179" t="s">
        <v>161</v>
      </c>
      <c r="X26" s="181" t="s">
        <v>165</v>
      </c>
      <c r="Y26" s="597"/>
      <c r="Z26" s="179" t="s">
        <v>159</v>
      </c>
      <c r="AA26" s="179" t="s">
        <v>367</v>
      </c>
      <c r="AB26" s="179" t="s">
        <v>161</v>
      </c>
      <c r="AC26" s="181" t="s">
        <v>165</v>
      </c>
      <c r="AD26" s="597"/>
      <c r="AE26" s="179" t="s">
        <v>159</v>
      </c>
      <c r="AF26" s="179" t="s">
        <v>367</v>
      </c>
      <c r="AG26" s="179" t="s">
        <v>161</v>
      </c>
      <c r="AH26" s="181" t="s">
        <v>165</v>
      </c>
      <c r="AI26" s="597"/>
      <c r="AJ26" s="179" t="s">
        <v>159</v>
      </c>
      <c r="AK26" s="179" t="s">
        <v>367</v>
      </c>
      <c r="AL26" s="179" t="s">
        <v>161</v>
      </c>
      <c r="AM26" s="181" t="s">
        <v>165</v>
      </c>
      <c r="AN26" s="597"/>
      <c r="AO26" s="179" t="s">
        <v>159</v>
      </c>
      <c r="AP26" s="179" t="s">
        <v>367</v>
      </c>
      <c r="AQ26" s="179" t="s">
        <v>161</v>
      </c>
      <c r="AR26" s="181" t="s">
        <v>165</v>
      </c>
      <c r="AS26" s="597"/>
      <c r="AT26" s="179" t="s">
        <v>159</v>
      </c>
      <c r="AU26" s="179" t="s">
        <v>367</v>
      </c>
      <c r="AV26" s="179" t="s">
        <v>161</v>
      </c>
      <c r="AW26" s="181" t="s">
        <v>165</v>
      </c>
      <c r="AX26" s="597"/>
    </row>
    <row r="27" spans="2:50" ht="14.25" customHeight="1">
      <c r="B27" s="597" t="s">
        <v>137</v>
      </c>
      <c r="C27" s="179">
        <v>1</v>
      </c>
      <c r="D27" s="182" t="s">
        <v>351</v>
      </c>
      <c r="E27" s="183">
        <v>24</v>
      </c>
      <c r="F27" s="179">
        <v>2000</v>
      </c>
      <c r="G27" s="184">
        <f t="shared" ref="G27:G35" si="17">IFERROR(F27/E27,"")</f>
        <v>83.333333333333329</v>
      </c>
      <c r="H27" s="598">
        <f>AVERAGE(G27:G41)</f>
        <v>88.716146977016535</v>
      </c>
      <c r="I27" s="185">
        <f>AVERAGE(P27,U27,Z27,AE27,AJ27,AO27,AT27)</f>
        <v>24</v>
      </c>
      <c r="J27" s="185">
        <f>AVERAGE(Q27,V27,AA27,AF27,AK27,AP27,AU27)</f>
        <v>1797.3831010773981</v>
      </c>
      <c r="K27" s="186">
        <f>AVERAGE(R27,W27,AB27,AG27,AL27,AQ27,AV27)</f>
        <v>74.890962544891607</v>
      </c>
      <c r="L27" s="599">
        <f>IFERROR(AVERAGE(K27:K41),"-")</f>
        <v>79.487088211303117</v>
      </c>
      <c r="M27" s="185">
        <f>RANK(K27, K$27:$K$41)</f>
        <v>7</v>
      </c>
      <c r="N27" s="597"/>
      <c r="O27" s="597"/>
      <c r="P27" s="187">
        <v>24</v>
      </c>
      <c r="Q27" s="187">
        <v>1797.4116725059696</v>
      </c>
      <c r="R27" s="184">
        <f>IFERROR(Q27/P27,"")</f>
        <v>74.892153021082066</v>
      </c>
      <c r="S27" s="181">
        <f>RANK(R27, R$27:R$41)</f>
        <v>7</v>
      </c>
      <c r="T27" s="598">
        <f>AVERAGE(R27:R41)</f>
        <v>79.462885987855529</v>
      </c>
      <c r="U27" s="187">
        <v>24</v>
      </c>
      <c r="V27" s="187">
        <v>1797.0116725059697</v>
      </c>
      <c r="W27" s="184">
        <f t="shared" ref="W27:W35" si="18">IFERROR(V27/U27,"")</f>
        <v>74.875486354415401</v>
      </c>
      <c r="X27" s="181">
        <f>RANK(W27, W$27:W$41)</f>
        <v>7</v>
      </c>
      <c r="Y27" s="598">
        <f>AVERAGE(W27:W41)</f>
        <v>79.470172329533199</v>
      </c>
      <c r="Z27" s="187">
        <v>24</v>
      </c>
      <c r="AA27" s="187">
        <v>1797.6116725059696</v>
      </c>
      <c r="AB27" s="184">
        <f>IFERROR(AA27/Z27,"")</f>
        <v>74.900486354415406</v>
      </c>
      <c r="AC27" s="181">
        <f>RANK(AB27, AB$27:AB$41)</f>
        <v>7</v>
      </c>
      <c r="AD27" s="598">
        <f>AVERAGE(AB27:AB41)</f>
        <v>79.484484143323257</v>
      </c>
      <c r="AE27" s="187">
        <v>24</v>
      </c>
      <c r="AF27" s="187">
        <v>1798.0116725059697</v>
      </c>
      <c r="AG27" s="184">
        <f>IFERROR(AF27/AE27,"")</f>
        <v>74.917153021082072</v>
      </c>
      <c r="AH27" s="181">
        <f>RANK(AG27, AG$27:AG$41)</f>
        <v>7</v>
      </c>
      <c r="AI27" s="598">
        <f>AVERAGE(AG27:AG41)</f>
        <v>79.495223385529783</v>
      </c>
      <c r="AJ27" s="187">
        <v>24</v>
      </c>
      <c r="AK27" s="187">
        <v>1797.4116725059698</v>
      </c>
      <c r="AL27" s="184">
        <f>IFERROR(AK27/AJ27,"")</f>
        <v>74.89215302108208</v>
      </c>
      <c r="AM27" s="181">
        <f>RANK(AL27, AL$27:AL$41)</f>
        <v>7</v>
      </c>
      <c r="AN27" s="598">
        <f>AVERAGE(AL27:AL41)</f>
        <v>79.496999554447328</v>
      </c>
      <c r="AO27" s="187">
        <v>24</v>
      </c>
      <c r="AP27" s="187">
        <v>1797.2116725059702</v>
      </c>
      <c r="AQ27" s="184">
        <f>IFERROR(AP27/AO27,"")</f>
        <v>74.883819687748755</v>
      </c>
      <c r="AR27" s="181">
        <f>RANK(AQ27, AQ$27:AQ$41)</f>
        <v>7</v>
      </c>
      <c r="AS27" s="598">
        <f>AVERAGE(AQ27:AQ41)</f>
        <v>79.497873850664163</v>
      </c>
      <c r="AT27" s="187">
        <v>24</v>
      </c>
      <c r="AU27" s="187">
        <v>1797.0116725059704</v>
      </c>
      <c r="AV27" s="184">
        <f>IFERROR(AU27/AT27,"")</f>
        <v>74.875486354415429</v>
      </c>
      <c r="AW27" s="181">
        <f>RANK(AV27, AV$27:AV$41)</f>
        <v>7</v>
      </c>
      <c r="AX27" s="598">
        <f>AVERAGE(AV27:AV41)</f>
        <v>79.501978227768532</v>
      </c>
    </row>
    <row r="28" spans="2:50" ht="14.25" customHeight="1">
      <c r="B28" s="597"/>
      <c r="C28" s="179">
        <v>2</v>
      </c>
      <c r="D28" s="182" t="s">
        <v>352</v>
      </c>
      <c r="E28" s="179">
        <v>23</v>
      </c>
      <c r="F28" s="179">
        <v>2000</v>
      </c>
      <c r="G28" s="184">
        <f t="shared" si="17"/>
        <v>86.956521739130437</v>
      </c>
      <c r="H28" s="598"/>
      <c r="I28" s="185">
        <f t="shared" ref="I28:K35" si="19">AVERAGE(P28,U28,Z28,AE28,AJ28,AO28,AT28)</f>
        <v>23</v>
      </c>
      <c r="J28" s="185">
        <f t="shared" si="19"/>
        <v>1790.4281604436248</v>
      </c>
      <c r="K28" s="186">
        <f t="shared" si="19"/>
        <v>77.844702627983679</v>
      </c>
      <c r="L28" s="599"/>
      <c r="M28" s="185">
        <f>RANK(K28, K$27:$K$41)</f>
        <v>6</v>
      </c>
      <c r="N28" s="597"/>
      <c r="O28" s="597"/>
      <c r="P28" s="187">
        <v>23</v>
      </c>
      <c r="Q28" s="187">
        <v>1787.9743500569039</v>
      </c>
      <c r="R28" s="184">
        <f t="shared" ref="R28:R35" si="20">IFERROR(Q28/P28,"")</f>
        <v>77.738015219865389</v>
      </c>
      <c r="S28" s="181">
        <f t="shared" ref="S28:S35" si="21">RANK(R28, R$27:R$41)</f>
        <v>6</v>
      </c>
      <c r="T28" s="598"/>
      <c r="U28" s="187">
        <v>23</v>
      </c>
      <c r="V28" s="187">
        <v>1788.3743500569037</v>
      </c>
      <c r="W28" s="184">
        <f t="shared" si="18"/>
        <v>77.7554065242132</v>
      </c>
      <c r="X28" s="181">
        <f t="shared" ref="X28:X35" si="22">RANK(W28, W$27:W$41)</f>
        <v>6</v>
      </c>
      <c r="Y28" s="598"/>
      <c r="Z28" s="187">
        <v>23</v>
      </c>
      <c r="AA28" s="187">
        <v>1788.9743500569039</v>
      </c>
      <c r="AB28" s="184">
        <f t="shared" ref="AB28:AB35" si="23">IFERROR(AA28/Z28,"")</f>
        <v>77.781493480734952</v>
      </c>
      <c r="AC28" s="181">
        <f t="shared" ref="AC28:AC35" si="24">RANK(AB28, AB$27:AB$41)</f>
        <v>6</v>
      </c>
      <c r="AD28" s="598"/>
      <c r="AE28" s="187">
        <v>23</v>
      </c>
      <c r="AF28" s="187">
        <v>1789.5292935022926</v>
      </c>
      <c r="AG28" s="184">
        <f t="shared" ref="AG28:AG35" si="25">IFERROR(AF28/AE28,"")</f>
        <v>77.805621456621424</v>
      </c>
      <c r="AH28" s="181">
        <f t="shared" ref="AH28:AH35" si="26">RANK(AG28, AG$27:AG$41)</f>
        <v>6</v>
      </c>
      <c r="AI28" s="598"/>
      <c r="AJ28" s="187">
        <v>23</v>
      </c>
      <c r="AK28" s="187">
        <v>1791.4686574379161</v>
      </c>
      <c r="AL28" s="184">
        <f t="shared" ref="AL28:AL35" si="27">IFERROR(AK28/AJ28,"")</f>
        <v>77.889941627735482</v>
      </c>
      <c r="AM28" s="181">
        <f t="shared" ref="AM28:AM35" si="28">RANK(AL28, AL$27:AL$41)</f>
        <v>6</v>
      </c>
      <c r="AN28" s="598"/>
      <c r="AO28" s="187">
        <v>23</v>
      </c>
      <c r="AP28" s="187">
        <v>1792.9380609972263</v>
      </c>
      <c r="AQ28" s="184">
        <f t="shared" ref="AQ28:AQ35" si="29">IFERROR(AP28/AO28,"")</f>
        <v>77.953828739009836</v>
      </c>
      <c r="AR28" s="181">
        <f t="shared" ref="AR28:AR35" si="30">RANK(AQ28, AQ$27:AQ$41)</f>
        <v>6</v>
      </c>
      <c r="AS28" s="598"/>
      <c r="AT28" s="187">
        <v>23</v>
      </c>
      <c r="AU28" s="187">
        <v>1793.7380609972261</v>
      </c>
      <c r="AV28" s="184">
        <f t="shared" ref="AV28:AV35" si="31">IFERROR(AU28/AT28,"")</f>
        <v>77.988611347705486</v>
      </c>
      <c r="AW28" s="181">
        <f t="shared" ref="AW28:AW35" si="32">RANK(AV28, AV$27:AV$41)</f>
        <v>5</v>
      </c>
      <c r="AX28" s="598"/>
    </row>
    <row r="29" spans="2:50" ht="14.25" customHeight="1">
      <c r="B29" s="597"/>
      <c r="C29" s="179">
        <v>3</v>
      </c>
      <c r="D29" s="182" t="s">
        <v>350</v>
      </c>
      <c r="E29" s="179">
        <v>23</v>
      </c>
      <c r="F29" s="179">
        <v>2000</v>
      </c>
      <c r="G29" s="184">
        <f t="shared" si="17"/>
        <v>86.956521739130437</v>
      </c>
      <c r="H29" s="598"/>
      <c r="I29" s="185">
        <f t="shared" si="19"/>
        <v>23</v>
      </c>
      <c r="J29" s="185">
        <f t="shared" si="19"/>
        <v>1793.5620868513204</v>
      </c>
      <c r="K29" s="186">
        <f t="shared" si="19"/>
        <v>77.980960297883513</v>
      </c>
      <c r="L29" s="599"/>
      <c r="M29" s="185">
        <f>RANK(K29, K$27:$K$41)</f>
        <v>5</v>
      </c>
      <c r="N29" s="597"/>
      <c r="O29" s="597"/>
      <c r="P29" s="187">
        <v>23</v>
      </c>
      <c r="Q29" s="187">
        <v>1793.4192297084635</v>
      </c>
      <c r="R29" s="184">
        <f t="shared" si="20"/>
        <v>77.974749117759288</v>
      </c>
      <c r="S29" s="181">
        <f t="shared" si="21"/>
        <v>5</v>
      </c>
      <c r="T29" s="598"/>
      <c r="U29" s="187">
        <v>23</v>
      </c>
      <c r="V29" s="187">
        <v>1793.0192297084636</v>
      </c>
      <c r="W29" s="184">
        <f t="shared" si="18"/>
        <v>77.957357813411463</v>
      </c>
      <c r="X29" s="181">
        <f t="shared" si="22"/>
        <v>5</v>
      </c>
      <c r="Y29" s="598"/>
      <c r="Z29" s="187">
        <v>23</v>
      </c>
      <c r="AA29" s="187">
        <v>1793.4192297084635</v>
      </c>
      <c r="AB29" s="184">
        <f t="shared" si="23"/>
        <v>77.974749117759288</v>
      </c>
      <c r="AC29" s="181">
        <f t="shared" si="24"/>
        <v>5</v>
      </c>
      <c r="AD29" s="598"/>
      <c r="AE29" s="187">
        <v>23</v>
      </c>
      <c r="AF29" s="187">
        <v>1794.0192297084634</v>
      </c>
      <c r="AG29" s="184">
        <f t="shared" si="25"/>
        <v>78.000836074281011</v>
      </c>
      <c r="AH29" s="181">
        <f t="shared" si="26"/>
        <v>5</v>
      </c>
      <c r="AI29" s="598"/>
      <c r="AJ29" s="187">
        <v>23</v>
      </c>
      <c r="AK29" s="187">
        <v>1794.2192297084632</v>
      </c>
      <c r="AL29" s="184">
        <f t="shared" si="27"/>
        <v>78.009531726454924</v>
      </c>
      <c r="AM29" s="181">
        <f t="shared" si="28"/>
        <v>5</v>
      </c>
      <c r="AN29" s="598"/>
      <c r="AO29" s="187">
        <v>23</v>
      </c>
      <c r="AP29" s="187">
        <v>1793.4192297084635</v>
      </c>
      <c r="AQ29" s="184">
        <f t="shared" si="29"/>
        <v>77.974749117759288</v>
      </c>
      <c r="AR29" s="181">
        <f t="shared" si="30"/>
        <v>5</v>
      </c>
      <c r="AS29" s="598"/>
      <c r="AT29" s="187">
        <v>23</v>
      </c>
      <c r="AU29" s="187">
        <v>1793.4192297084635</v>
      </c>
      <c r="AV29" s="184">
        <f t="shared" si="31"/>
        <v>77.974749117759288</v>
      </c>
      <c r="AW29" s="181">
        <f t="shared" si="32"/>
        <v>6</v>
      </c>
      <c r="AX29" s="598"/>
    </row>
    <row r="30" spans="2:50" ht="14.25" customHeight="1">
      <c r="B30" s="597"/>
      <c r="C30" s="179">
        <v>4</v>
      </c>
      <c r="D30" s="182" t="s">
        <v>433</v>
      </c>
      <c r="E30" s="179">
        <v>23</v>
      </c>
      <c r="F30" s="179">
        <v>2000</v>
      </c>
      <c r="G30" s="184">
        <f t="shared" si="17"/>
        <v>86.956521739130437</v>
      </c>
      <c r="H30" s="598"/>
      <c r="I30" s="185">
        <f t="shared" si="19"/>
        <v>23</v>
      </c>
      <c r="J30" s="185">
        <f t="shared" si="19"/>
        <v>1795.143317917109</v>
      </c>
      <c r="K30" s="186">
        <f t="shared" si="19"/>
        <v>78.049709474656908</v>
      </c>
      <c r="L30" s="599"/>
      <c r="M30" s="185">
        <f>RANK(K30, K$27:$K$41)</f>
        <v>4</v>
      </c>
      <c r="N30" s="597"/>
      <c r="O30" s="597"/>
      <c r="P30" s="187">
        <v>23</v>
      </c>
      <c r="Q30" s="187">
        <v>1795.2576036313947</v>
      </c>
      <c r="R30" s="184">
        <f t="shared" si="20"/>
        <v>78.054678418756296</v>
      </c>
      <c r="S30" s="181">
        <f t="shared" si="21"/>
        <v>4</v>
      </c>
      <c r="T30" s="598"/>
      <c r="U30" s="187">
        <v>23</v>
      </c>
      <c r="V30" s="187">
        <v>1795.0576036313948</v>
      </c>
      <c r="W30" s="184">
        <f t="shared" si="18"/>
        <v>78.045982766582384</v>
      </c>
      <c r="X30" s="181">
        <f t="shared" si="22"/>
        <v>4</v>
      </c>
      <c r="Y30" s="598"/>
      <c r="Z30" s="187">
        <v>23</v>
      </c>
      <c r="AA30" s="187">
        <v>1795.8576036313948</v>
      </c>
      <c r="AB30" s="184">
        <f t="shared" si="23"/>
        <v>78.080765375278034</v>
      </c>
      <c r="AC30" s="181">
        <f t="shared" si="24"/>
        <v>4</v>
      </c>
      <c r="AD30" s="598"/>
      <c r="AE30" s="187">
        <v>23</v>
      </c>
      <c r="AF30" s="187">
        <v>1795.6576036313945</v>
      </c>
      <c r="AG30" s="184">
        <f t="shared" si="25"/>
        <v>78.072069723104107</v>
      </c>
      <c r="AH30" s="181">
        <f t="shared" si="26"/>
        <v>4</v>
      </c>
      <c r="AI30" s="598"/>
      <c r="AJ30" s="187">
        <v>23</v>
      </c>
      <c r="AK30" s="187">
        <v>1795.6576036313945</v>
      </c>
      <c r="AL30" s="184">
        <f t="shared" si="27"/>
        <v>78.072069723104107</v>
      </c>
      <c r="AM30" s="181">
        <f t="shared" si="28"/>
        <v>4</v>
      </c>
      <c r="AN30" s="598"/>
      <c r="AO30" s="187">
        <v>23</v>
      </c>
      <c r="AP30" s="187">
        <v>1794.6576036313945</v>
      </c>
      <c r="AQ30" s="184">
        <f t="shared" si="29"/>
        <v>78.028591462234544</v>
      </c>
      <c r="AR30" s="181">
        <f t="shared" si="30"/>
        <v>4</v>
      </c>
      <c r="AS30" s="598"/>
      <c r="AT30" s="187">
        <v>23</v>
      </c>
      <c r="AU30" s="187">
        <v>1793.8576036313946</v>
      </c>
      <c r="AV30" s="184">
        <f t="shared" si="31"/>
        <v>77.993808853538894</v>
      </c>
      <c r="AW30" s="181">
        <f t="shared" si="32"/>
        <v>4</v>
      </c>
      <c r="AX30" s="598"/>
    </row>
    <row r="31" spans="2:50" ht="14.25" customHeight="1">
      <c r="B31" s="597"/>
      <c r="C31" s="179">
        <v>5</v>
      </c>
      <c r="D31" s="182" t="s">
        <v>435</v>
      </c>
      <c r="E31" s="179">
        <v>22</v>
      </c>
      <c r="F31" s="179">
        <v>2000</v>
      </c>
      <c r="G31" s="184">
        <f t="shared" si="17"/>
        <v>90.909090909090907</v>
      </c>
      <c r="H31" s="598"/>
      <c r="I31" s="185">
        <f t="shared" si="19"/>
        <v>22</v>
      </c>
      <c r="J31" s="185">
        <f t="shared" si="19"/>
        <v>1789.9796763500092</v>
      </c>
      <c r="K31" s="186">
        <f t="shared" si="19"/>
        <v>81.362712561364063</v>
      </c>
      <c r="L31" s="599"/>
      <c r="M31" s="185">
        <f>RANK(K31, K$27:$K$41)</f>
        <v>3</v>
      </c>
      <c r="N31" s="597"/>
      <c r="O31" s="597"/>
      <c r="P31" s="187">
        <v>22</v>
      </c>
      <c r="Q31" s="187">
        <v>1790.1511049214378</v>
      </c>
      <c r="R31" s="184">
        <f t="shared" si="20"/>
        <v>81.370504769156256</v>
      </c>
      <c r="S31" s="181">
        <f t="shared" si="21"/>
        <v>3</v>
      </c>
      <c r="T31" s="598"/>
      <c r="U31" s="187">
        <v>22</v>
      </c>
      <c r="V31" s="187">
        <v>1790.7511049214374</v>
      </c>
      <c r="W31" s="184">
        <f t="shared" si="18"/>
        <v>81.397777496428972</v>
      </c>
      <c r="X31" s="181">
        <f t="shared" si="22"/>
        <v>3</v>
      </c>
      <c r="Y31" s="598"/>
      <c r="Z31" s="187">
        <v>22</v>
      </c>
      <c r="AA31" s="187">
        <v>1789.7511049214377</v>
      </c>
      <c r="AB31" s="184">
        <f t="shared" si="23"/>
        <v>81.35232295097444</v>
      </c>
      <c r="AC31" s="181">
        <f t="shared" si="24"/>
        <v>3</v>
      </c>
      <c r="AD31" s="598"/>
      <c r="AE31" s="187">
        <v>22</v>
      </c>
      <c r="AF31" s="187">
        <v>1790.3511049214376</v>
      </c>
      <c r="AG31" s="184">
        <f t="shared" si="25"/>
        <v>81.379595678247156</v>
      </c>
      <c r="AH31" s="181">
        <f t="shared" si="26"/>
        <v>3</v>
      </c>
      <c r="AI31" s="598"/>
      <c r="AJ31" s="187">
        <v>22</v>
      </c>
      <c r="AK31" s="187">
        <v>1789.5511049214376</v>
      </c>
      <c r="AL31" s="184">
        <f t="shared" si="27"/>
        <v>81.343232041883525</v>
      </c>
      <c r="AM31" s="181">
        <f t="shared" si="28"/>
        <v>3</v>
      </c>
      <c r="AN31" s="598"/>
      <c r="AO31" s="187">
        <v>22</v>
      </c>
      <c r="AP31" s="187">
        <v>1789.3511049214376</v>
      </c>
      <c r="AQ31" s="184">
        <f t="shared" si="29"/>
        <v>81.334141132792624</v>
      </c>
      <c r="AR31" s="181">
        <f t="shared" si="30"/>
        <v>3</v>
      </c>
      <c r="AS31" s="598"/>
      <c r="AT31" s="187">
        <v>22</v>
      </c>
      <c r="AU31" s="187">
        <v>1789.9511049214377</v>
      </c>
      <c r="AV31" s="184">
        <f t="shared" si="31"/>
        <v>81.361413860065355</v>
      </c>
      <c r="AW31" s="181">
        <f t="shared" si="32"/>
        <v>3</v>
      </c>
      <c r="AX31" s="598"/>
    </row>
    <row r="32" spans="2:50" ht="14.25" customHeight="1">
      <c r="B32" s="597"/>
      <c r="C32" s="179">
        <v>6</v>
      </c>
      <c r="D32" s="182" t="s">
        <v>437</v>
      </c>
      <c r="E32" s="179">
        <v>20</v>
      </c>
      <c r="F32" s="179">
        <v>2000</v>
      </c>
      <c r="G32" s="184">
        <f t="shared" si="17"/>
        <v>100</v>
      </c>
      <c r="H32" s="598"/>
      <c r="I32" s="185">
        <f t="shared" si="19"/>
        <v>20</v>
      </c>
      <c r="J32" s="185">
        <f t="shared" si="19"/>
        <v>1789.5201174019098</v>
      </c>
      <c r="K32" s="186">
        <f t="shared" si="19"/>
        <v>89.476005870095491</v>
      </c>
      <c r="L32" s="599"/>
      <c r="M32" s="185">
        <f>RANK(K32, K$27:$K$41)</f>
        <v>2</v>
      </c>
      <c r="N32" s="597"/>
      <c r="O32" s="597"/>
      <c r="P32" s="187">
        <v>20</v>
      </c>
      <c r="Q32" s="187">
        <v>1788.6629745447672</v>
      </c>
      <c r="R32" s="184">
        <f t="shared" si="20"/>
        <v>89.433148727238361</v>
      </c>
      <c r="S32" s="181">
        <f t="shared" si="21"/>
        <v>2</v>
      </c>
      <c r="T32" s="598"/>
      <c r="U32" s="187">
        <v>20</v>
      </c>
      <c r="V32" s="187">
        <v>1789.0629745447673</v>
      </c>
      <c r="W32" s="184">
        <f t="shared" si="18"/>
        <v>89.453148727238357</v>
      </c>
      <c r="X32" s="181">
        <f t="shared" si="22"/>
        <v>2</v>
      </c>
      <c r="Y32" s="598"/>
      <c r="Z32" s="187">
        <v>20</v>
      </c>
      <c r="AA32" s="187">
        <v>1789.862974544767</v>
      </c>
      <c r="AB32" s="184">
        <f t="shared" si="23"/>
        <v>89.493148727238349</v>
      </c>
      <c r="AC32" s="181">
        <f t="shared" si="24"/>
        <v>2</v>
      </c>
      <c r="AD32" s="598"/>
      <c r="AE32" s="187">
        <v>20</v>
      </c>
      <c r="AF32" s="187">
        <v>1789.4629745447669</v>
      </c>
      <c r="AG32" s="184">
        <f t="shared" si="25"/>
        <v>89.473148727238339</v>
      </c>
      <c r="AH32" s="181">
        <f t="shared" si="26"/>
        <v>2</v>
      </c>
      <c r="AI32" s="598"/>
      <c r="AJ32" s="187">
        <v>20</v>
      </c>
      <c r="AK32" s="187">
        <v>1789.4629745447669</v>
      </c>
      <c r="AL32" s="184">
        <f t="shared" si="27"/>
        <v>89.473148727238339</v>
      </c>
      <c r="AM32" s="181">
        <f t="shared" si="28"/>
        <v>2</v>
      </c>
      <c r="AN32" s="598"/>
      <c r="AO32" s="187">
        <v>20</v>
      </c>
      <c r="AP32" s="187">
        <v>1790.2629745447666</v>
      </c>
      <c r="AQ32" s="184">
        <f t="shared" si="29"/>
        <v>89.513148727238331</v>
      </c>
      <c r="AR32" s="181">
        <f t="shared" si="30"/>
        <v>2</v>
      </c>
      <c r="AS32" s="598"/>
      <c r="AT32" s="187">
        <v>20</v>
      </c>
      <c r="AU32" s="187">
        <v>1789.8629745447665</v>
      </c>
      <c r="AV32" s="184">
        <f t="shared" si="31"/>
        <v>89.493148727238321</v>
      </c>
      <c r="AW32" s="181">
        <f t="shared" si="32"/>
        <v>2</v>
      </c>
      <c r="AX32" s="598"/>
    </row>
    <row r="33" spans="2:50" ht="14.25" customHeight="1">
      <c r="B33" s="597"/>
      <c r="C33" s="179">
        <v>7</v>
      </c>
      <c r="D33" s="182" t="s">
        <v>508</v>
      </c>
      <c r="E33" s="179">
        <v>25</v>
      </c>
      <c r="F33" s="179">
        <v>2000</v>
      </c>
      <c r="G33" s="184">
        <f t="shared" si="17"/>
        <v>80</v>
      </c>
      <c r="H33" s="598"/>
      <c r="I33" s="185">
        <f t="shared" si="19"/>
        <v>25</v>
      </c>
      <c r="J33" s="185">
        <f t="shared" si="19"/>
        <v>1790.8431649766985</v>
      </c>
      <c r="K33" s="186">
        <f t="shared" si="19"/>
        <v>71.633726599067941</v>
      </c>
      <c r="L33" s="599"/>
      <c r="M33" s="185">
        <f>RANK(K33, K$27:$K$41)</f>
        <v>9</v>
      </c>
      <c r="N33" s="597"/>
      <c r="O33" s="597"/>
      <c r="P33" s="187">
        <v>25</v>
      </c>
      <c r="Q33" s="187">
        <v>1790.3860221195555</v>
      </c>
      <c r="R33" s="184">
        <f t="shared" si="20"/>
        <v>71.615440884782217</v>
      </c>
      <c r="S33" s="181">
        <f t="shared" si="21"/>
        <v>9</v>
      </c>
      <c r="T33" s="598"/>
      <c r="U33" s="187">
        <v>25</v>
      </c>
      <c r="V33" s="187">
        <v>1791.1860221195554</v>
      </c>
      <c r="W33" s="184">
        <f t="shared" si="18"/>
        <v>71.647440884782213</v>
      </c>
      <c r="X33" s="181">
        <f t="shared" si="22"/>
        <v>9</v>
      </c>
      <c r="Y33" s="598"/>
      <c r="Z33" s="187">
        <v>25</v>
      </c>
      <c r="AA33" s="187">
        <v>1791.5860221195553</v>
      </c>
      <c r="AB33" s="184">
        <f t="shared" si="23"/>
        <v>71.663440884782219</v>
      </c>
      <c r="AC33" s="181">
        <f t="shared" si="24"/>
        <v>9</v>
      </c>
      <c r="AD33" s="598"/>
      <c r="AE33" s="187">
        <v>25</v>
      </c>
      <c r="AF33" s="187">
        <v>1790.9860221195554</v>
      </c>
      <c r="AG33" s="184">
        <f t="shared" si="25"/>
        <v>71.639440884782218</v>
      </c>
      <c r="AH33" s="181">
        <f t="shared" si="26"/>
        <v>9</v>
      </c>
      <c r="AI33" s="598"/>
      <c r="AJ33" s="187">
        <v>25</v>
      </c>
      <c r="AK33" s="187">
        <v>1790.3860221195557</v>
      </c>
      <c r="AL33" s="184">
        <f t="shared" si="27"/>
        <v>71.615440884782231</v>
      </c>
      <c r="AM33" s="181">
        <f t="shared" si="28"/>
        <v>9</v>
      </c>
      <c r="AN33" s="598"/>
      <c r="AO33" s="187">
        <v>25</v>
      </c>
      <c r="AP33" s="187">
        <v>1790.5860221195558</v>
      </c>
      <c r="AQ33" s="184">
        <f t="shared" si="29"/>
        <v>71.623440884782227</v>
      </c>
      <c r="AR33" s="181">
        <f t="shared" si="30"/>
        <v>9</v>
      </c>
      <c r="AS33" s="598"/>
      <c r="AT33" s="187">
        <v>25</v>
      </c>
      <c r="AU33" s="187">
        <v>1790.7860221195556</v>
      </c>
      <c r="AV33" s="184">
        <f t="shared" si="31"/>
        <v>71.631440884782222</v>
      </c>
      <c r="AW33" s="181">
        <f t="shared" si="32"/>
        <v>9</v>
      </c>
      <c r="AX33" s="598"/>
    </row>
    <row r="34" spans="2:50" ht="14.25" customHeight="1">
      <c r="B34" s="597"/>
      <c r="C34" s="179">
        <v>8</v>
      </c>
      <c r="D34" s="182" t="s">
        <v>580</v>
      </c>
      <c r="E34" s="179">
        <v>20</v>
      </c>
      <c r="F34" s="179">
        <v>2000</v>
      </c>
      <c r="G34" s="184">
        <f t="shared" si="17"/>
        <v>100</v>
      </c>
      <c r="H34" s="598"/>
      <c r="I34" s="185">
        <f t="shared" si="19"/>
        <v>20</v>
      </c>
      <c r="J34" s="185">
        <f t="shared" si="19"/>
        <v>1791.9455858679733</v>
      </c>
      <c r="K34" s="186">
        <f t="shared" si="19"/>
        <v>89.597279293398643</v>
      </c>
      <c r="L34" s="599"/>
      <c r="M34" s="185">
        <f>RANK(K34, K$27:$K$41)</f>
        <v>1</v>
      </c>
      <c r="N34" s="597"/>
      <c r="O34" s="597"/>
      <c r="P34" s="187">
        <v>20</v>
      </c>
      <c r="Q34" s="187">
        <v>1790.9455858679737</v>
      </c>
      <c r="R34" s="184">
        <f t="shared" si="20"/>
        <v>89.547279293398688</v>
      </c>
      <c r="S34" s="181">
        <f t="shared" si="21"/>
        <v>1</v>
      </c>
      <c r="T34" s="598"/>
      <c r="U34" s="187">
        <v>20</v>
      </c>
      <c r="V34" s="187">
        <v>1791.3455858679736</v>
      </c>
      <c r="W34" s="184">
        <f t="shared" si="18"/>
        <v>89.567279293398684</v>
      </c>
      <c r="X34" s="181">
        <f t="shared" si="22"/>
        <v>1</v>
      </c>
      <c r="Y34" s="598"/>
      <c r="Z34" s="187">
        <v>20</v>
      </c>
      <c r="AA34" s="187">
        <v>1792.1455858679733</v>
      </c>
      <c r="AB34" s="184">
        <f t="shared" si="23"/>
        <v>89.607279293398662</v>
      </c>
      <c r="AC34" s="181">
        <f t="shared" si="24"/>
        <v>1</v>
      </c>
      <c r="AD34" s="598"/>
      <c r="AE34" s="187">
        <v>20</v>
      </c>
      <c r="AF34" s="187">
        <v>1792.1455858679731</v>
      </c>
      <c r="AG34" s="184">
        <f t="shared" si="25"/>
        <v>89.607279293398648</v>
      </c>
      <c r="AH34" s="181">
        <f t="shared" si="26"/>
        <v>1</v>
      </c>
      <c r="AI34" s="598"/>
      <c r="AJ34" s="187">
        <v>20</v>
      </c>
      <c r="AK34" s="187">
        <v>1792.1455858679728</v>
      </c>
      <c r="AL34" s="184">
        <f t="shared" si="27"/>
        <v>89.607279293398648</v>
      </c>
      <c r="AM34" s="181">
        <f t="shared" si="28"/>
        <v>1</v>
      </c>
      <c r="AN34" s="598"/>
      <c r="AO34" s="187">
        <v>20</v>
      </c>
      <c r="AP34" s="187">
        <v>1792.1455858679728</v>
      </c>
      <c r="AQ34" s="184">
        <f t="shared" si="29"/>
        <v>89.607279293398648</v>
      </c>
      <c r="AR34" s="181">
        <f t="shared" si="30"/>
        <v>1</v>
      </c>
      <c r="AS34" s="598"/>
      <c r="AT34" s="187">
        <v>20</v>
      </c>
      <c r="AU34" s="187">
        <v>1792.7455858679725</v>
      </c>
      <c r="AV34" s="184">
        <f t="shared" si="31"/>
        <v>89.63727929339862</v>
      </c>
      <c r="AW34" s="181">
        <f t="shared" si="32"/>
        <v>1</v>
      </c>
      <c r="AX34" s="598"/>
    </row>
    <row r="35" spans="2:50" ht="14.25" customHeight="1">
      <c r="B35" s="597"/>
      <c r="C35" s="179">
        <v>9</v>
      </c>
      <c r="D35" s="182" t="s">
        <v>710</v>
      </c>
      <c r="E35" s="179">
        <v>24</v>
      </c>
      <c r="F35" s="179">
        <v>2000</v>
      </c>
      <c r="G35" s="184">
        <f t="shared" si="17"/>
        <v>83.333333333333329</v>
      </c>
      <c r="H35" s="598"/>
      <c r="I35" s="185">
        <f t="shared" si="19"/>
        <v>24</v>
      </c>
      <c r="J35" s="185">
        <f t="shared" si="19"/>
        <v>1789.145631177269</v>
      </c>
      <c r="K35" s="186">
        <f t="shared" si="19"/>
        <v>74.547734632386209</v>
      </c>
      <c r="L35" s="599"/>
      <c r="M35" s="185">
        <f>RANK(K35, K$27:$K$41)</f>
        <v>8</v>
      </c>
      <c r="N35" s="597"/>
      <c r="O35" s="597"/>
      <c r="P35" s="187">
        <v>24</v>
      </c>
      <c r="Q35" s="187">
        <v>1788.9601065278723</v>
      </c>
      <c r="R35" s="184">
        <f t="shared" si="20"/>
        <v>74.540004438661342</v>
      </c>
      <c r="S35" s="181">
        <f t="shared" si="21"/>
        <v>8</v>
      </c>
      <c r="T35" s="598"/>
      <c r="U35" s="187">
        <v>24</v>
      </c>
      <c r="V35" s="187">
        <v>1788.7601065278727</v>
      </c>
      <c r="W35" s="184">
        <f t="shared" si="18"/>
        <v>74.53167110532803</v>
      </c>
      <c r="X35" s="181">
        <f t="shared" si="22"/>
        <v>8</v>
      </c>
      <c r="Y35" s="598"/>
      <c r="Z35" s="187">
        <v>24</v>
      </c>
      <c r="AA35" s="187">
        <v>1788.160106527873</v>
      </c>
      <c r="AB35" s="184">
        <f t="shared" si="23"/>
        <v>74.506671105328039</v>
      </c>
      <c r="AC35" s="181">
        <f t="shared" si="24"/>
        <v>8</v>
      </c>
      <c r="AD35" s="598"/>
      <c r="AE35" s="187">
        <v>24</v>
      </c>
      <c r="AF35" s="187">
        <v>1789.4847746643161</v>
      </c>
      <c r="AG35" s="184">
        <f t="shared" si="25"/>
        <v>74.561865611013175</v>
      </c>
      <c r="AH35" s="181">
        <f t="shared" si="26"/>
        <v>8</v>
      </c>
      <c r="AI35" s="598"/>
      <c r="AJ35" s="187">
        <v>24</v>
      </c>
      <c r="AK35" s="187">
        <v>1789.6847746643161</v>
      </c>
      <c r="AL35" s="184">
        <f t="shared" si="27"/>
        <v>74.570198944346501</v>
      </c>
      <c r="AM35" s="181">
        <f t="shared" si="28"/>
        <v>8</v>
      </c>
      <c r="AN35" s="598"/>
      <c r="AO35" s="187">
        <v>24</v>
      </c>
      <c r="AP35" s="187">
        <v>1789.4847746643161</v>
      </c>
      <c r="AQ35" s="184">
        <f t="shared" si="29"/>
        <v>74.561865611013175</v>
      </c>
      <c r="AR35" s="181">
        <f t="shared" si="30"/>
        <v>8</v>
      </c>
      <c r="AS35" s="598"/>
      <c r="AT35" s="187">
        <v>24</v>
      </c>
      <c r="AU35" s="187">
        <v>1789.4847746643165</v>
      </c>
      <c r="AV35" s="184">
        <f t="shared" si="31"/>
        <v>74.561865611013189</v>
      </c>
      <c r="AW35" s="181">
        <f t="shared" si="32"/>
        <v>8</v>
      </c>
      <c r="AX35" s="598"/>
    </row>
    <row r="36" spans="2:50" ht="14.25" customHeight="1">
      <c r="B36" s="597"/>
      <c r="C36" s="179">
        <v>10</v>
      </c>
      <c r="D36" s="182"/>
      <c r="E36" s="179"/>
      <c r="F36" s="179"/>
      <c r="G36" s="184"/>
      <c r="H36" s="598"/>
      <c r="I36" s="185"/>
      <c r="J36" s="185"/>
      <c r="K36" s="186"/>
      <c r="L36" s="599"/>
      <c r="M36" s="185"/>
      <c r="N36" s="597"/>
      <c r="O36" s="597"/>
      <c r="P36" s="187"/>
      <c r="Q36" s="187"/>
      <c r="R36" s="184"/>
      <c r="S36" s="181"/>
      <c r="T36" s="598"/>
      <c r="U36" s="187"/>
      <c r="V36" s="187"/>
      <c r="W36" s="184"/>
      <c r="X36" s="181"/>
      <c r="Y36" s="598"/>
      <c r="Z36" s="187"/>
      <c r="AA36" s="187"/>
      <c r="AB36" s="184"/>
      <c r="AC36" s="181"/>
      <c r="AD36" s="598"/>
      <c r="AE36" s="187"/>
      <c r="AF36" s="187"/>
      <c r="AG36" s="184"/>
      <c r="AH36" s="181"/>
      <c r="AI36" s="598"/>
      <c r="AJ36" s="187"/>
      <c r="AK36" s="187"/>
      <c r="AL36" s="184"/>
      <c r="AM36" s="181"/>
      <c r="AN36" s="598"/>
      <c r="AO36" s="187"/>
      <c r="AP36" s="187"/>
      <c r="AQ36" s="184"/>
      <c r="AR36" s="181"/>
      <c r="AS36" s="598"/>
      <c r="AT36" s="187"/>
      <c r="AU36" s="187"/>
      <c r="AV36" s="184"/>
      <c r="AW36" s="181"/>
      <c r="AX36" s="598"/>
    </row>
    <row r="37" spans="2:50" ht="14.25" customHeight="1">
      <c r="B37" s="597"/>
      <c r="C37" s="179">
        <v>11</v>
      </c>
      <c r="D37" s="182"/>
      <c r="E37" s="179"/>
      <c r="F37" s="179"/>
      <c r="G37" s="184"/>
      <c r="H37" s="598"/>
      <c r="I37" s="185"/>
      <c r="J37" s="185"/>
      <c r="K37" s="186"/>
      <c r="L37" s="599"/>
      <c r="M37" s="185"/>
      <c r="N37" s="597"/>
      <c r="O37" s="597"/>
      <c r="P37" s="187"/>
      <c r="Q37" s="187"/>
      <c r="R37" s="184"/>
      <c r="S37" s="181"/>
      <c r="T37" s="598"/>
      <c r="U37" s="187"/>
      <c r="V37" s="187"/>
      <c r="W37" s="184"/>
      <c r="X37" s="181"/>
      <c r="Y37" s="598"/>
      <c r="Z37" s="187"/>
      <c r="AA37" s="187"/>
      <c r="AB37" s="184"/>
      <c r="AC37" s="181"/>
      <c r="AD37" s="598"/>
      <c r="AE37" s="187"/>
      <c r="AF37" s="187"/>
      <c r="AG37" s="184"/>
      <c r="AH37" s="181"/>
      <c r="AI37" s="598"/>
      <c r="AJ37" s="187"/>
      <c r="AK37" s="187"/>
      <c r="AL37" s="184"/>
      <c r="AM37" s="181"/>
      <c r="AN37" s="598"/>
      <c r="AO37" s="187"/>
      <c r="AP37" s="187"/>
      <c r="AQ37" s="184"/>
      <c r="AR37" s="181"/>
      <c r="AS37" s="598"/>
      <c r="AT37" s="187"/>
      <c r="AU37" s="187"/>
      <c r="AV37" s="184"/>
      <c r="AW37" s="181"/>
      <c r="AX37" s="598"/>
    </row>
    <row r="38" spans="2:50" ht="14.25" customHeight="1">
      <c r="B38" s="597"/>
      <c r="C38" s="179">
        <v>12</v>
      </c>
      <c r="D38" s="182"/>
      <c r="E38" s="179"/>
      <c r="F38" s="179"/>
      <c r="G38" s="184"/>
      <c r="H38" s="598"/>
      <c r="I38" s="185"/>
      <c r="J38" s="185"/>
      <c r="K38" s="186"/>
      <c r="L38" s="599"/>
      <c r="M38" s="185"/>
      <c r="N38" s="597"/>
      <c r="O38" s="597"/>
      <c r="P38" s="187"/>
      <c r="Q38" s="187"/>
      <c r="R38" s="184"/>
      <c r="S38" s="181"/>
      <c r="T38" s="598"/>
      <c r="U38" s="187"/>
      <c r="V38" s="187"/>
      <c r="W38" s="184"/>
      <c r="X38" s="181"/>
      <c r="Y38" s="598"/>
      <c r="Z38" s="187"/>
      <c r="AA38" s="187"/>
      <c r="AB38" s="184"/>
      <c r="AC38" s="181"/>
      <c r="AD38" s="598"/>
      <c r="AE38" s="187"/>
      <c r="AF38" s="187"/>
      <c r="AG38" s="184"/>
      <c r="AH38" s="181"/>
      <c r="AI38" s="598"/>
      <c r="AJ38" s="187"/>
      <c r="AK38" s="187"/>
      <c r="AL38" s="184"/>
      <c r="AM38" s="181"/>
      <c r="AN38" s="598"/>
      <c r="AO38" s="187"/>
      <c r="AP38" s="187"/>
      <c r="AQ38" s="184"/>
      <c r="AR38" s="181"/>
      <c r="AS38" s="598"/>
      <c r="AT38" s="187"/>
      <c r="AU38" s="187"/>
      <c r="AV38" s="184"/>
      <c r="AW38" s="181"/>
      <c r="AX38" s="598"/>
    </row>
    <row r="39" spans="2:50" ht="14.25" customHeight="1">
      <c r="B39" s="597"/>
      <c r="C39" s="179">
        <v>13</v>
      </c>
      <c r="D39" s="182"/>
      <c r="E39" s="179"/>
      <c r="F39" s="179"/>
      <c r="G39" s="184"/>
      <c r="H39" s="598"/>
      <c r="I39" s="185"/>
      <c r="J39" s="185"/>
      <c r="K39" s="186"/>
      <c r="L39" s="599"/>
      <c r="M39" s="185"/>
      <c r="N39" s="597"/>
      <c r="O39" s="597"/>
      <c r="P39" s="187"/>
      <c r="Q39" s="187"/>
      <c r="R39" s="184"/>
      <c r="S39" s="181"/>
      <c r="T39" s="598"/>
      <c r="U39" s="187"/>
      <c r="V39" s="187"/>
      <c r="W39" s="184"/>
      <c r="X39" s="181"/>
      <c r="Y39" s="598"/>
      <c r="Z39" s="187"/>
      <c r="AA39" s="187"/>
      <c r="AB39" s="184"/>
      <c r="AC39" s="181"/>
      <c r="AD39" s="598"/>
      <c r="AE39" s="187"/>
      <c r="AF39" s="187"/>
      <c r="AG39" s="184"/>
      <c r="AH39" s="181"/>
      <c r="AI39" s="598"/>
      <c r="AJ39" s="187"/>
      <c r="AK39" s="187"/>
      <c r="AL39" s="184"/>
      <c r="AM39" s="181"/>
      <c r="AN39" s="598"/>
      <c r="AO39" s="187"/>
      <c r="AP39" s="187"/>
      <c r="AQ39" s="184"/>
      <c r="AR39" s="181"/>
      <c r="AS39" s="598"/>
      <c r="AT39" s="187"/>
      <c r="AU39" s="187"/>
      <c r="AV39" s="184"/>
      <c r="AW39" s="181"/>
      <c r="AX39" s="598"/>
    </row>
    <row r="40" spans="2:50" ht="14.25" customHeight="1">
      <c r="B40" s="597"/>
      <c r="C40" s="179">
        <v>14</v>
      </c>
      <c r="D40" s="182"/>
      <c r="E40" s="179"/>
      <c r="F40" s="179"/>
      <c r="G40" s="184"/>
      <c r="H40" s="598"/>
      <c r="I40" s="185"/>
      <c r="J40" s="185"/>
      <c r="K40" s="186"/>
      <c r="L40" s="599"/>
      <c r="M40" s="185"/>
      <c r="N40" s="597"/>
      <c r="O40" s="597"/>
      <c r="P40" s="187"/>
      <c r="Q40" s="187"/>
      <c r="R40" s="184"/>
      <c r="S40" s="181"/>
      <c r="T40" s="598"/>
      <c r="U40" s="187"/>
      <c r="V40" s="187"/>
      <c r="W40" s="184"/>
      <c r="X40" s="181"/>
      <c r="Y40" s="598"/>
      <c r="Z40" s="187"/>
      <c r="AA40" s="187"/>
      <c r="AB40" s="184"/>
      <c r="AC40" s="181"/>
      <c r="AD40" s="598"/>
      <c r="AE40" s="187"/>
      <c r="AF40" s="187"/>
      <c r="AG40" s="184"/>
      <c r="AH40" s="181"/>
      <c r="AI40" s="598"/>
      <c r="AJ40" s="187"/>
      <c r="AK40" s="187"/>
      <c r="AL40" s="184"/>
      <c r="AM40" s="181"/>
      <c r="AN40" s="598"/>
      <c r="AO40" s="187"/>
      <c r="AP40" s="187"/>
      <c r="AQ40" s="184"/>
      <c r="AR40" s="181"/>
      <c r="AS40" s="598"/>
      <c r="AT40" s="187"/>
      <c r="AU40" s="187"/>
      <c r="AV40" s="184"/>
      <c r="AW40" s="181"/>
      <c r="AX40" s="598"/>
    </row>
    <row r="41" spans="2:50" ht="14.25" customHeight="1">
      <c r="B41" s="597"/>
      <c r="C41" s="179">
        <v>15</v>
      </c>
      <c r="D41" s="182"/>
      <c r="E41" s="179"/>
      <c r="F41" s="179"/>
      <c r="G41" s="184"/>
      <c r="H41" s="598"/>
      <c r="I41" s="185"/>
      <c r="J41" s="185"/>
      <c r="K41" s="186"/>
      <c r="L41" s="599"/>
      <c r="M41" s="185"/>
      <c r="N41" s="597"/>
      <c r="O41" s="597"/>
      <c r="P41" s="187"/>
      <c r="Q41" s="187"/>
      <c r="R41" s="184"/>
      <c r="S41" s="181"/>
      <c r="T41" s="598"/>
      <c r="U41" s="187"/>
      <c r="V41" s="187"/>
      <c r="W41" s="184"/>
      <c r="X41" s="181"/>
      <c r="Y41" s="598"/>
      <c r="Z41" s="187"/>
      <c r="AA41" s="187"/>
      <c r="AB41" s="184"/>
      <c r="AC41" s="181"/>
      <c r="AD41" s="598"/>
      <c r="AE41" s="187"/>
      <c r="AF41" s="187"/>
      <c r="AG41" s="184"/>
      <c r="AH41" s="181"/>
      <c r="AI41" s="598"/>
      <c r="AJ41" s="187"/>
      <c r="AK41" s="187"/>
      <c r="AL41" s="184"/>
      <c r="AM41" s="181"/>
      <c r="AN41" s="598"/>
      <c r="AO41" s="187"/>
      <c r="AP41" s="187"/>
      <c r="AQ41" s="184"/>
      <c r="AR41" s="181"/>
      <c r="AS41" s="598"/>
      <c r="AT41" s="187"/>
      <c r="AU41" s="187"/>
      <c r="AV41" s="184"/>
      <c r="AW41" s="181"/>
      <c r="AX41" s="598"/>
    </row>
    <row r="42" spans="2:50" ht="14.25" customHeight="1">
      <c r="B42" s="625" t="s">
        <v>825</v>
      </c>
      <c r="C42" s="631"/>
      <c r="D42" s="631"/>
      <c r="E42" s="631"/>
      <c r="F42" s="631"/>
      <c r="G42" s="631"/>
      <c r="H42" s="631"/>
      <c r="I42" s="631"/>
      <c r="J42" s="631"/>
      <c r="K42" s="631"/>
      <c r="L42" s="631"/>
      <c r="M42" s="632"/>
      <c r="N42" s="629" t="s">
        <v>363</v>
      </c>
      <c r="O42" s="629" t="s">
        <v>105</v>
      </c>
      <c r="P42" s="617">
        <v>46217</v>
      </c>
      <c r="Q42" s="618"/>
      <c r="R42" s="618"/>
      <c r="S42" s="618"/>
      <c r="T42" s="618"/>
      <c r="U42" s="619">
        <v>46218</v>
      </c>
      <c r="V42" s="620"/>
      <c r="W42" s="620"/>
      <c r="X42" s="620"/>
      <c r="Y42" s="620"/>
      <c r="Z42" s="617">
        <v>46219</v>
      </c>
      <c r="AA42" s="618"/>
      <c r="AB42" s="618"/>
      <c r="AC42" s="618"/>
      <c r="AD42" s="618"/>
      <c r="AE42" s="619">
        <v>46220</v>
      </c>
      <c r="AF42" s="620"/>
      <c r="AG42" s="620"/>
      <c r="AH42" s="620"/>
      <c r="AI42" s="620"/>
      <c r="AJ42" s="602">
        <v>46221</v>
      </c>
      <c r="AK42" s="603"/>
      <c r="AL42" s="603"/>
      <c r="AM42" s="603"/>
      <c r="AN42" s="604"/>
      <c r="AO42" s="619">
        <v>46222</v>
      </c>
      <c r="AP42" s="620"/>
      <c r="AQ42" s="620"/>
      <c r="AR42" s="620"/>
      <c r="AS42" s="620"/>
      <c r="AT42" s="602">
        <v>46223</v>
      </c>
      <c r="AU42" s="603"/>
      <c r="AV42" s="603"/>
      <c r="AW42" s="603"/>
      <c r="AX42" s="604"/>
    </row>
    <row r="43" spans="2:50" ht="14.25" customHeight="1">
      <c r="B43" s="633"/>
      <c r="C43" s="633"/>
      <c r="D43" s="633"/>
      <c r="E43" s="633"/>
      <c r="F43" s="633"/>
      <c r="G43" s="633"/>
      <c r="H43" s="633"/>
      <c r="I43" s="633"/>
      <c r="J43" s="633"/>
      <c r="K43" s="633"/>
      <c r="L43" s="633"/>
      <c r="M43" s="634"/>
      <c r="N43" s="630"/>
      <c r="O43" s="630"/>
      <c r="P43" s="605">
        <v>46196</v>
      </c>
      <c r="Q43" s="605"/>
      <c r="R43" s="605"/>
      <c r="S43" s="605"/>
      <c r="T43" s="605"/>
      <c r="U43" s="606">
        <v>46197</v>
      </c>
      <c r="V43" s="606"/>
      <c r="W43" s="606"/>
      <c r="X43" s="606"/>
      <c r="Y43" s="606"/>
      <c r="Z43" s="605">
        <v>46198</v>
      </c>
      <c r="AA43" s="605"/>
      <c r="AB43" s="605"/>
      <c r="AC43" s="605"/>
      <c r="AD43" s="605"/>
      <c r="AE43" s="606">
        <v>46199</v>
      </c>
      <c r="AF43" s="606"/>
      <c r="AG43" s="606"/>
      <c r="AH43" s="606"/>
      <c r="AI43" s="606"/>
      <c r="AJ43" s="607">
        <v>46200</v>
      </c>
      <c r="AK43" s="608"/>
      <c r="AL43" s="608"/>
      <c r="AM43" s="608"/>
      <c r="AN43" s="609"/>
      <c r="AO43" s="606">
        <v>46201</v>
      </c>
      <c r="AP43" s="606"/>
      <c r="AQ43" s="606"/>
      <c r="AR43" s="606"/>
      <c r="AS43" s="606"/>
      <c r="AT43" s="607">
        <v>46202</v>
      </c>
      <c r="AU43" s="608"/>
      <c r="AV43" s="608"/>
      <c r="AW43" s="608"/>
      <c r="AX43" s="609"/>
    </row>
    <row r="44" spans="2:50" ht="14.25" customHeight="1">
      <c r="B44" s="597" t="s">
        <v>162</v>
      </c>
      <c r="C44" s="597" t="s">
        <v>157</v>
      </c>
      <c r="D44" s="597"/>
      <c r="E44" s="597" t="s">
        <v>158</v>
      </c>
      <c r="F44" s="597"/>
      <c r="G44" s="597"/>
      <c r="H44" s="597" t="s">
        <v>163</v>
      </c>
      <c r="I44" s="601" t="s">
        <v>364</v>
      </c>
      <c r="J44" s="601"/>
      <c r="K44" s="601"/>
      <c r="L44" s="601" t="s">
        <v>163</v>
      </c>
      <c r="M44" s="601" t="s">
        <v>165</v>
      </c>
      <c r="N44" s="597"/>
      <c r="O44" s="597" t="s">
        <v>164</v>
      </c>
      <c r="P44" s="597" t="s">
        <v>160</v>
      </c>
      <c r="Q44" s="597"/>
      <c r="R44" s="597"/>
      <c r="S44" s="597"/>
      <c r="T44" s="597" t="s">
        <v>163</v>
      </c>
      <c r="U44" s="597" t="s">
        <v>160</v>
      </c>
      <c r="V44" s="597"/>
      <c r="W44" s="597"/>
      <c r="X44" s="597"/>
      <c r="Y44" s="597" t="s">
        <v>163</v>
      </c>
      <c r="Z44" s="597" t="s">
        <v>160</v>
      </c>
      <c r="AA44" s="597"/>
      <c r="AB44" s="597"/>
      <c r="AC44" s="597"/>
      <c r="AD44" s="597" t="s">
        <v>163</v>
      </c>
      <c r="AE44" s="597" t="s">
        <v>160</v>
      </c>
      <c r="AF44" s="597"/>
      <c r="AG44" s="597"/>
      <c r="AH44" s="597"/>
      <c r="AI44" s="597" t="s">
        <v>163</v>
      </c>
      <c r="AJ44" s="597" t="s">
        <v>160</v>
      </c>
      <c r="AK44" s="597"/>
      <c r="AL44" s="597"/>
      <c r="AM44" s="597"/>
      <c r="AN44" s="597" t="s">
        <v>163</v>
      </c>
      <c r="AO44" s="597" t="s">
        <v>160</v>
      </c>
      <c r="AP44" s="597"/>
      <c r="AQ44" s="597"/>
      <c r="AR44" s="597"/>
      <c r="AS44" s="597" t="s">
        <v>163</v>
      </c>
      <c r="AT44" s="597" t="s">
        <v>160</v>
      </c>
      <c r="AU44" s="597"/>
      <c r="AV44" s="597"/>
      <c r="AW44" s="597"/>
      <c r="AX44" s="597" t="s">
        <v>163</v>
      </c>
    </row>
    <row r="45" spans="2:50" ht="14.25" customHeight="1">
      <c r="B45" s="597"/>
      <c r="C45" s="597"/>
      <c r="D45" s="597"/>
      <c r="E45" s="597" t="s">
        <v>365</v>
      </c>
      <c r="F45" s="597"/>
      <c r="G45" s="597"/>
      <c r="H45" s="597"/>
      <c r="I45" s="601" t="s">
        <v>365</v>
      </c>
      <c r="J45" s="601"/>
      <c r="K45" s="601"/>
      <c r="L45" s="601"/>
      <c r="M45" s="601"/>
      <c r="N45" s="597"/>
      <c r="O45" s="597"/>
      <c r="P45" s="597" t="s">
        <v>366</v>
      </c>
      <c r="Q45" s="597"/>
      <c r="R45" s="597"/>
      <c r="S45" s="597"/>
      <c r="T45" s="597"/>
      <c r="U45" s="597" t="s">
        <v>366</v>
      </c>
      <c r="V45" s="597"/>
      <c r="W45" s="597"/>
      <c r="X45" s="597"/>
      <c r="Y45" s="597"/>
      <c r="Z45" s="597" t="s">
        <v>366</v>
      </c>
      <c r="AA45" s="597"/>
      <c r="AB45" s="597"/>
      <c r="AC45" s="597"/>
      <c r="AD45" s="597"/>
      <c r="AE45" s="597" t="s">
        <v>366</v>
      </c>
      <c r="AF45" s="597"/>
      <c r="AG45" s="597"/>
      <c r="AH45" s="597"/>
      <c r="AI45" s="597"/>
      <c r="AJ45" s="597" t="s">
        <v>366</v>
      </c>
      <c r="AK45" s="597"/>
      <c r="AL45" s="597"/>
      <c r="AM45" s="597"/>
      <c r="AN45" s="597"/>
      <c r="AO45" s="597" t="s">
        <v>366</v>
      </c>
      <c r="AP45" s="597"/>
      <c r="AQ45" s="597"/>
      <c r="AR45" s="597"/>
      <c r="AS45" s="597"/>
      <c r="AT45" s="597" t="s">
        <v>366</v>
      </c>
      <c r="AU45" s="597"/>
      <c r="AV45" s="597"/>
      <c r="AW45" s="597"/>
      <c r="AX45" s="597"/>
    </row>
    <row r="46" spans="2:50" ht="14.25" customHeight="1">
      <c r="B46" s="597"/>
      <c r="C46" s="597"/>
      <c r="D46" s="597"/>
      <c r="E46" s="179" t="s">
        <v>159</v>
      </c>
      <c r="F46" s="179" t="s">
        <v>367</v>
      </c>
      <c r="G46" s="179" t="s">
        <v>161</v>
      </c>
      <c r="H46" s="597"/>
      <c r="I46" s="180" t="s">
        <v>159</v>
      </c>
      <c r="J46" s="180" t="s">
        <v>367</v>
      </c>
      <c r="K46" s="180" t="s">
        <v>161</v>
      </c>
      <c r="L46" s="601"/>
      <c r="M46" s="601"/>
      <c r="N46" s="597"/>
      <c r="O46" s="597"/>
      <c r="P46" s="179" t="s">
        <v>159</v>
      </c>
      <c r="Q46" s="179" t="s">
        <v>367</v>
      </c>
      <c r="R46" s="179" t="s">
        <v>161</v>
      </c>
      <c r="S46" s="181" t="s">
        <v>165</v>
      </c>
      <c r="T46" s="597"/>
      <c r="U46" s="179" t="s">
        <v>159</v>
      </c>
      <c r="V46" s="179" t="s">
        <v>367</v>
      </c>
      <c r="W46" s="179" t="s">
        <v>161</v>
      </c>
      <c r="X46" s="181" t="s">
        <v>165</v>
      </c>
      <c r="Y46" s="597"/>
      <c r="Z46" s="179" t="s">
        <v>159</v>
      </c>
      <c r="AA46" s="179" t="s">
        <v>367</v>
      </c>
      <c r="AB46" s="179" t="s">
        <v>161</v>
      </c>
      <c r="AC46" s="181" t="s">
        <v>165</v>
      </c>
      <c r="AD46" s="597"/>
      <c r="AE46" s="179" t="s">
        <v>159</v>
      </c>
      <c r="AF46" s="179" t="s">
        <v>367</v>
      </c>
      <c r="AG46" s="179" t="s">
        <v>161</v>
      </c>
      <c r="AH46" s="181" t="s">
        <v>165</v>
      </c>
      <c r="AI46" s="597"/>
      <c r="AJ46" s="179" t="s">
        <v>159</v>
      </c>
      <c r="AK46" s="179" t="s">
        <v>367</v>
      </c>
      <c r="AL46" s="179" t="s">
        <v>161</v>
      </c>
      <c r="AM46" s="181" t="s">
        <v>165</v>
      </c>
      <c r="AN46" s="597"/>
      <c r="AO46" s="179" t="s">
        <v>159</v>
      </c>
      <c r="AP46" s="179" t="s">
        <v>367</v>
      </c>
      <c r="AQ46" s="179" t="s">
        <v>161</v>
      </c>
      <c r="AR46" s="181" t="s">
        <v>165</v>
      </c>
      <c r="AS46" s="597"/>
      <c r="AT46" s="179" t="s">
        <v>159</v>
      </c>
      <c r="AU46" s="179" t="s">
        <v>367</v>
      </c>
      <c r="AV46" s="179" t="s">
        <v>161</v>
      </c>
      <c r="AW46" s="181" t="s">
        <v>165</v>
      </c>
      <c r="AX46" s="597"/>
    </row>
    <row r="47" spans="2:50" ht="14.25" customHeight="1">
      <c r="B47" s="597" t="s">
        <v>137</v>
      </c>
      <c r="C47" s="179">
        <v>1</v>
      </c>
      <c r="D47" s="182" t="s">
        <v>351</v>
      </c>
      <c r="E47" s="183">
        <v>24</v>
      </c>
      <c r="F47" s="179">
        <v>2000</v>
      </c>
      <c r="G47" s="184">
        <f t="shared" ref="G47:G55" si="33">IFERROR(F47/E47,"")</f>
        <v>83.333333333333329</v>
      </c>
      <c r="H47" s="598">
        <f>AVERAGE(G47:G61)</f>
        <v>88.716146977016535</v>
      </c>
      <c r="I47" s="185">
        <f>AVERAGE(P47,U47,Z47,AE47,AJ47,AO47,AT47)</f>
        <v>24</v>
      </c>
      <c r="J47" s="185">
        <f>AVERAGE(Q47,V47,AA47,AF47,AK47,AP47,AU47)</f>
        <v>1796.0116725059713</v>
      </c>
      <c r="K47" s="186">
        <f>AVERAGE(R47,W47,AB47,AG47,AL47,AQ47,AV47)</f>
        <v>74.8338196877488</v>
      </c>
      <c r="L47" s="599">
        <f>IFERROR(AVERAGE(K47:K61),"-")</f>
        <v>79.518358448192245</v>
      </c>
      <c r="M47" s="185">
        <f>RANK(K47, K$47:$K$61)</f>
        <v>7</v>
      </c>
      <c r="N47" s="597"/>
      <c r="O47" s="597"/>
      <c r="P47" s="187">
        <v>24</v>
      </c>
      <c r="Q47" s="187">
        <v>1796.0116725059704</v>
      </c>
      <c r="R47" s="184">
        <f>IFERROR(Q47/P47,"")</f>
        <v>74.833819687748772</v>
      </c>
      <c r="S47" s="181">
        <f>RANK(R47, R$47:R$61)</f>
        <v>7</v>
      </c>
      <c r="T47" s="598">
        <f>AVERAGE(R47:R61)</f>
        <v>79.518832275492144</v>
      </c>
      <c r="U47" s="187">
        <v>24</v>
      </c>
      <c r="V47" s="187">
        <v>1796.8116725059708</v>
      </c>
      <c r="W47" s="184">
        <f t="shared" ref="W47:W55" si="34">IFERROR(V47/U47,"")</f>
        <v>74.867153021082117</v>
      </c>
      <c r="X47" s="181">
        <f>RANK(W47, W$47:W$61)</f>
        <v>7</v>
      </c>
      <c r="Y47" s="598">
        <f>AVERAGE(W47:W61)</f>
        <v>79.528192691243873</v>
      </c>
      <c r="Z47" s="187">
        <v>24</v>
      </c>
      <c r="AA47" s="187">
        <v>1795.8116725059713</v>
      </c>
      <c r="AB47" s="184">
        <f>IFERROR(AA47/Z47,"")</f>
        <v>74.825486354415474</v>
      </c>
      <c r="AC47" s="181">
        <f>RANK(AB47, AB$47:AB$61)</f>
        <v>7</v>
      </c>
      <c r="AD47" s="598">
        <f>AVERAGE(AB47:AB61)</f>
        <v>79.515832861057945</v>
      </c>
      <c r="AE47" s="187">
        <v>24</v>
      </c>
      <c r="AF47" s="187">
        <v>1796.4116725059716</v>
      </c>
      <c r="AG47" s="184">
        <f>IFERROR(AF47/AE47,"")</f>
        <v>74.85048635441548</v>
      </c>
      <c r="AH47" s="181">
        <f>RANK(AG47, AG$47:AG$61)</f>
        <v>7</v>
      </c>
      <c r="AI47" s="598">
        <f>AVERAGE(AG47:AG61)</f>
        <v>79.512823492005111</v>
      </c>
      <c r="AJ47" s="187">
        <v>24</v>
      </c>
      <c r="AK47" s="187">
        <v>1796.2116725059716</v>
      </c>
      <c r="AL47" s="184">
        <f>IFERROR(AK47/AJ47,"")</f>
        <v>74.842153021082154</v>
      </c>
      <c r="AM47" s="181">
        <f>RANK(AL47, AL$47:AL$61)</f>
        <v>7</v>
      </c>
      <c r="AN47" s="598">
        <f>AVERAGE(AL47:AL61)</f>
        <v>79.517871069226601</v>
      </c>
      <c r="AO47" s="187">
        <v>24</v>
      </c>
      <c r="AP47" s="187">
        <v>1795.4116725059719</v>
      </c>
      <c r="AQ47" s="184">
        <f>IFERROR(AP47/AO47,"")</f>
        <v>74.808819687748823</v>
      </c>
      <c r="AR47" s="181">
        <f>RANK(AQ47, AQ$47:AQ$61)</f>
        <v>7</v>
      </c>
      <c r="AS47" s="598">
        <f>AVERAGE(AQ47:AQ61)</f>
        <v>79.5192490519524</v>
      </c>
      <c r="AT47" s="187">
        <v>24</v>
      </c>
      <c r="AU47" s="187">
        <v>1795.4116725059719</v>
      </c>
      <c r="AV47" s="184">
        <f>IFERROR(AU47/AT47,"")</f>
        <v>74.808819687748823</v>
      </c>
      <c r="AW47" s="181">
        <f>RANK(AV47, AV$47:AV$61)</f>
        <v>7</v>
      </c>
      <c r="AX47" s="598">
        <f>AVERAGE(AV47:AV61)</f>
        <v>79.515707696367571</v>
      </c>
    </row>
    <row r="48" spans="2:50" ht="14.25" customHeight="1">
      <c r="B48" s="597"/>
      <c r="C48" s="179">
        <v>2</v>
      </c>
      <c r="D48" s="182" t="s">
        <v>352</v>
      </c>
      <c r="E48" s="179">
        <v>23</v>
      </c>
      <c r="F48" s="179">
        <v>2000</v>
      </c>
      <c r="G48" s="184">
        <f t="shared" si="33"/>
        <v>86.956521739130437</v>
      </c>
      <c r="H48" s="598"/>
      <c r="I48" s="185">
        <f t="shared" ref="I48:K55" si="35">AVERAGE(P48,U48,Z48,AE48,AJ48,AO48,AT48)</f>
        <v>23</v>
      </c>
      <c r="J48" s="185">
        <f t="shared" si="35"/>
        <v>1792.7094895686553</v>
      </c>
      <c r="K48" s="186">
        <f t="shared" si="35"/>
        <v>77.943890850811087</v>
      </c>
      <c r="L48" s="599"/>
      <c r="M48" s="185">
        <f>RANK(K48, K$47:$K$61)</f>
        <v>6</v>
      </c>
      <c r="N48" s="597"/>
      <c r="O48" s="597"/>
      <c r="P48" s="187">
        <v>23</v>
      </c>
      <c r="Q48" s="187">
        <v>1794.3380609972264</v>
      </c>
      <c r="R48" s="184">
        <f t="shared" ref="R48:R55" si="36">IFERROR(Q48/P48,"")</f>
        <v>78.014698304227238</v>
      </c>
      <c r="S48" s="181">
        <f>RANK(R48, R$47:R$61)</f>
        <v>4</v>
      </c>
      <c r="T48" s="598"/>
      <c r="U48" s="187">
        <v>23</v>
      </c>
      <c r="V48" s="187">
        <v>1793.7380609972265</v>
      </c>
      <c r="W48" s="184">
        <f t="shared" si="34"/>
        <v>77.988611347705501</v>
      </c>
      <c r="X48" s="181">
        <f>RANK(W48, W$47:W$61)</f>
        <v>5</v>
      </c>
      <c r="Y48" s="598"/>
      <c r="Z48" s="187">
        <v>23</v>
      </c>
      <c r="AA48" s="187">
        <v>1793.3380609972269</v>
      </c>
      <c r="AB48" s="184">
        <f t="shared" ref="AB48:AB55" si="37">IFERROR(AA48/Z48,"")</f>
        <v>77.97122004335769</v>
      </c>
      <c r="AC48" s="181">
        <f>RANK(AB48, AB$47:AB$61)</f>
        <v>5</v>
      </c>
      <c r="AD48" s="598"/>
      <c r="AE48" s="187">
        <v>23</v>
      </c>
      <c r="AF48" s="187">
        <v>1792.5380609972269</v>
      </c>
      <c r="AG48" s="184">
        <f t="shared" ref="AG48:AG55" si="38">IFERROR(AF48/AE48,"")</f>
        <v>77.936437434662039</v>
      </c>
      <c r="AH48" s="181">
        <f>RANK(AG48, AG$47:AG$61)</f>
        <v>6</v>
      </c>
      <c r="AI48" s="598"/>
      <c r="AJ48" s="187">
        <v>23</v>
      </c>
      <c r="AK48" s="187">
        <v>1792.1380609972268</v>
      </c>
      <c r="AL48" s="184">
        <f t="shared" ref="AL48:AL55" si="39">IFERROR(AK48/AJ48,"")</f>
        <v>77.919046130314214</v>
      </c>
      <c r="AM48" s="181">
        <f>RANK(AL48, AL$47:AL$61)</f>
        <v>6</v>
      </c>
      <c r="AN48" s="598"/>
      <c r="AO48" s="187">
        <v>23</v>
      </c>
      <c r="AP48" s="187">
        <v>1791.3380609972269</v>
      </c>
      <c r="AQ48" s="184">
        <f t="shared" ref="AQ48:AQ55" si="40">IFERROR(AP48/AO48,"")</f>
        <v>77.884263521618564</v>
      </c>
      <c r="AR48" s="181">
        <f>RANK(AQ48, AQ$47:AQ$61)</f>
        <v>6</v>
      </c>
      <c r="AS48" s="598"/>
      <c r="AT48" s="187">
        <v>23</v>
      </c>
      <c r="AU48" s="187">
        <v>1791.5380609972269</v>
      </c>
      <c r="AV48" s="184">
        <f t="shared" ref="AV48:AV55" si="41">IFERROR(AU48/AT48,"")</f>
        <v>77.892959173792477</v>
      </c>
      <c r="AW48" s="181">
        <f>RANK(AV48, AV$47:AV$61)</f>
        <v>6</v>
      </c>
      <c r="AX48" s="598"/>
    </row>
    <row r="49" spans="2:50" ht="14.25" customHeight="1">
      <c r="B49" s="597"/>
      <c r="C49" s="179">
        <v>3</v>
      </c>
      <c r="D49" s="182" t="s">
        <v>350</v>
      </c>
      <c r="E49" s="179">
        <v>23</v>
      </c>
      <c r="F49" s="179">
        <v>2000</v>
      </c>
      <c r="G49" s="184">
        <f t="shared" si="33"/>
        <v>86.956521739130437</v>
      </c>
      <c r="H49" s="598"/>
      <c r="I49" s="185">
        <f t="shared" si="35"/>
        <v>23</v>
      </c>
      <c r="J49" s="185">
        <f t="shared" si="35"/>
        <v>1793.1620868513201</v>
      </c>
      <c r="K49" s="186">
        <f t="shared" si="35"/>
        <v>77.96356899353566</v>
      </c>
      <c r="L49" s="599"/>
      <c r="M49" s="185">
        <f>RANK(K49, K$47:$K$61)</f>
        <v>5</v>
      </c>
      <c r="N49" s="597"/>
      <c r="O49" s="597"/>
      <c r="P49" s="187">
        <v>23</v>
      </c>
      <c r="Q49" s="187">
        <v>1794.0192297084634</v>
      </c>
      <c r="R49" s="184">
        <f t="shared" si="36"/>
        <v>78.000836074281011</v>
      </c>
      <c r="S49" s="181">
        <f t="shared" ref="S49:S51" si="42">RANK(R49, R$47:R$61)</f>
        <v>6</v>
      </c>
      <c r="T49" s="598"/>
      <c r="U49" s="187">
        <v>23</v>
      </c>
      <c r="V49" s="187">
        <v>1793.419229708463</v>
      </c>
      <c r="W49" s="184">
        <f t="shared" si="34"/>
        <v>77.974749117759259</v>
      </c>
      <c r="X49" s="181">
        <f t="shared" ref="X49:X51" si="43">RANK(W49, W$47:W$61)</f>
        <v>6</v>
      </c>
      <c r="Y49" s="598"/>
      <c r="Z49" s="187">
        <v>23</v>
      </c>
      <c r="AA49" s="187">
        <v>1793.0192297084632</v>
      </c>
      <c r="AB49" s="184">
        <f t="shared" si="37"/>
        <v>77.957357813411448</v>
      </c>
      <c r="AC49" s="181">
        <f t="shared" ref="AC49:AC51" si="44">RANK(AB49, AB$47:AB$61)</f>
        <v>6</v>
      </c>
      <c r="AD49" s="598"/>
      <c r="AE49" s="187">
        <v>23</v>
      </c>
      <c r="AF49" s="187">
        <v>1793.4192297084633</v>
      </c>
      <c r="AG49" s="184">
        <f t="shared" si="38"/>
        <v>77.974749117759274</v>
      </c>
      <c r="AH49" s="181">
        <f t="shared" ref="AH49:AH51" si="45">RANK(AG49, AG$47:AG$61)</f>
        <v>5</v>
      </c>
      <c r="AI49" s="598"/>
      <c r="AJ49" s="187">
        <v>23</v>
      </c>
      <c r="AK49" s="187">
        <v>1792.6192297084633</v>
      </c>
      <c r="AL49" s="184">
        <f t="shared" si="39"/>
        <v>77.939966509063623</v>
      </c>
      <c r="AM49" s="181">
        <f t="shared" ref="AM49:AM51" si="46">RANK(AL49, AL$47:AL$61)</f>
        <v>5</v>
      </c>
      <c r="AN49" s="598"/>
      <c r="AO49" s="187">
        <v>23</v>
      </c>
      <c r="AP49" s="187">
        <v>1793.219229708463</v>
      </c>
      <c r="AQ49" s="184">
        <f t="shared" si="40"/>
        <v>77.966053465585347</v>
      </c>
      <c r="AR49" s="181">
        <f t="shared" ref="AR49:AR51" si="47">RANK(AQ49, AQ$47:AQ$61)</f>
        <v>5</v>
      </c>
      <c r="AS49" s="598"/>
      <c r="AT49" s="187">
        <v>23</v>
      </c>
      <c r="AU49" s="187">
        <v>1792.4192297084626</v>
      </c>
      <c r="AV49" s="184">
        <f t="shared" si="41"/>
        <v>77.931270856889682</v>
      </c>
      <c r="AW49" s="181">
        <f t="shared" ref="AW49:AW51" si="48">RANK(AV49, AV$47:AV$61)</f>
        <v>5</v>
      </c>
      <c r="AX49" s="598"/>
    </row>
    <row r="50" spans="2:50" ht="14.25" customHeight="1">
      <c r="B50" s="597"/>
      <c r="C50" s="179">
        <v>4</v>
      </c>
      <c r="D50" s="182" t="s">
        <v>433</v>
      </c>
      <c r="E50" s="179">
        <v>23</v>
      </c>
      <c r="F50" s="179">
        <v>2000</v>
      </c>
      <c r="G50" s="184">
        <f t="shared" si="33"/>
        <v>86.956521739130437</v>
      </c>
      <c r="H50" s="598"/>
      <c r="I50" s="185">
        <f t="shared" si="35"/>
        <v>23</v>
      </c>
      <c r="J50" s="185">
        <f t="shared" si="35"/>
        <v>1794.8290322028229</v>
      </c>
      <c r="K50" s="186">
        <f t="shared" si="35"/>
        <v>78.036044878383606</v>
      </c>
      <c r="L50" s="599"/>
      <c r="M50" s="185">
        <f>RANK(K50, K$47:$K$61)</f>
        <v>4</v>
      </c>
      <c r="N50" s="597"/>
      <c r="O50" s="597"/>
      <c r="P50" s="187">
        <v>23</v>
      </c>
      <c r="Q50" s="187">
        <v>1794.2576036313944</v>
      </c>
      <c r="R50" s="184">
        <f t="shared" si="36"/>
        <v>78.011200157886719</v>
      </c>
      <c r="S50" s="181">
        <f t="shared" si="42"/>
        <v>5</v>
      </c>
      <c r="T50" s="598"/>
      <c r="U50" s="187">
        <v>23</v>
      </c>
      <c r="V50" s="187">
        <v>1795.2576036313944</v>
      </c>
      <c r="W50" s="184">
        <f t="shared" si="34"/>
        <v>78.054678418756282</v>
      </c>
      <c r="X50" s="181">
        <f t="shared" si="43"/>
        <v>4</v>
      </c>
      <c r="Y50" s="598"/>
      <c r="Z50" s="187">
        <v>23</v>
      </c>
      <c r="AA50" s="187">
        <v>1795.4576036313942</v>
      </c>
      <c r="AB50" s="184">
        <f t="shared" si="37"/>
        <v>78.06337407093018</v>
      </c>
      <c r="AC50" s="181">
        <f t="shared" si="44"/>
        <v>4</v>
      </c>
      <c r="AD50" s="598"/>
      <c r="AE50" s="187">
        <v>23</v>
      </c>
      <c r="AF50" s="187">
        <v>1794.8576036313943</v>
      </c>
      <c r="AG50" s="184">
        <f t="shared" si="38"/>
        <v>78.037287114408443</v>
      </c>
      <c r="AH50" s="181">
        <f t="shared" si="45"/>
        <v>4</v>
      </c>
      <c r="AI50" s="598"/>
      <c r="AJ50" s="187">
        <v>23</v>
      </c>
      <c r="AK50" s="187">
        <v>1795.457603631394</v>
      </c>
      <c r="AL50" s="184">
        <f t="shared" si="39"/>
        <v>78.06337407093018</v>
      </c>
      <c r="AM50" s="181">
        <f t="shared" si="46"/>
        <v>4</v>
      </c>
      <c r="AN50" s="598"/>
      <c r="AO50" s="187">
        <v>23</v>
      </c>
      <c r="AP50" s="187">
        <v>1794.4576036313942</v>
      </c>
      <c r="AQ50" s="184">
        <f t="shared" si="40"/>
        <v>78.019895810060618</v>
      </c>
      <c r="AR50" s="181">
        <f t="shared" si="47"/>
        <v>4</v>
      </c>
      <c r="AS50" s="598"/>
      <c r="AT50" s="187">
        <v>23</v>
      </c>
      <c r="AU50" s="187">
        <v>1794.0576036313942</v>
      </c>
      <c r="AV50" s="184">
        <f t="shared" si="41"/>
        <v>78.002504505712793</v>
      </c>
      <c r="AW50" s="181">
        <f t="shared" si="48"/>
        <v>4</v>
      </c>
      <c r="AX50" s="598"/>
    </row>
    <row r="51" spans="2:50" ht="14.25" customHeight="1">
      <c r="B51" s="597"/>
      <c r="C51" s="179">
        <v>5</v>
      </c>
      <c r="D51" s="182" t="s">
        <v>435</v>
      </c>
      <c r="E51" s="179">
        <v>22</v>
      </c>
      <c r="F51" s="179">
        <v>2000</v>
      </c>
      <c r="G51" s="184">
        <f t="shared" si="33"/>
        <v>90.909090909090907</v>
      </c>
      <c r="H51" s="598"/>
      <c r="I51" s="185">
        <f t="shared" si="35"/>
        <v>22</v>
      </c>
      <c r="J51" s="185">
        <f t="shared" si="35"/>
        <v>1791.608247778581</v>
      </c>
      <c r="K51" s="186">
        <f t="shared" si="35"/>
        <v>81.436738535390063</v>
      </c>
      <c r="L51" s="599"/>
      <c r="M51" s="185">
        <f>RANK(K51, K$47:$K$61)</f>
        <v>3</v>
      </c>
      <c r="N51" s="597"/>
      <c r="O51" s="597"/>
      <c r="P51" s="187">
        <v>22</v>
      </c>
      <c r="Q51" s="187">
        <v>1790.9511049214379</v>
      </c>
      <c r="R51" s="184">
        <f t="shared" si="36"/>
        <v>81.406868405519901</v>
      </c>
      <c r="S51" s="181">
        <f t="shared" si="42"/>
        <v>3</v>
      </c>
      <c r="T51" s="598"/>
      <c r="U51" s="187">
        <v>22</v>
      </c>
      <c r="V51" s="187">
        <v>1791.5511049214383</v>
      </c>
      <c r="W51" s="184">
        <f t="shared" si="34"/>
        <v>81.434141132792647</v>
      </c>
      <c r="X51" s="181">
        <f t="shared" si="43"/>
        <v>3</v>
      </c>
      <c r="Y51" s="598"/>
      <c r="Z51" s="187">
        <v>22</v>
      </c>
      <c r="AA51" s="187">
        <v>1791.9511049214382</v>
      </c>
      <c r="AB51" s="184">
        <f t="shared" si="37"/>
        <v>81.452322950974462</v>
      </c>
      <c r="AC51" s="181">
        <f t="shared" si="44"/>
        <v>3</v>
      </c>
      <c r="AD51" s="598"/>
      <c r="AE51" s="187">
        <v>22</v>
      </c>
      <c r="AF51" s="187">
        <v>1791.3511049214383</v>
      </c>
      <c r="AG51" s="184">
        <f t="shared" si="38"/>
        <v>81.425050223701746</v>
      </c>
      <c r="AH51" s="181">
        <f t="shared" si="45"/>
        <v>3</v>
      </c>
      <c r="AI51" s="598"/>
      <c r="AJ51" s="187">
        <v>22</v>
      </c>
      <c r="AK51" s="187">
        <v>1791.7511049214386</v>
      </c>
      <c r="AL51" s="184">
        <f t="shared" si="39"/>
        <v>81.443232041883576</v>
      </c>
      <c r="AM51" s="181">
        <f t="shared" si="46"/>
        <v>3</v>
      </c>
      <c r="AN51" s="598"/>
      <c r="AO51" s="187">
        <v>22</v>
      </c>
      <c r="AP51" s="187">
        <v>1791.5511049214388</v>
      </c>
      <c r="AQ51" s="184">
        <f t="shared" si="40"/>
        <v>81.434141132792675</v>
      </c>
      <c r="AR51" s="181">
        <f t="shared" si="47"/>
        <v>3</v>
      </c>
      <c r="AS51" s="598"/>
      <c r="AT51" s="187">
        <v>22</v>
      </c>
      <c r="AU51" s="187">
        <v>1792.1511049214389</v>
      </c>
      <c r="AV51" s="184">
        <f t="shared" si="41"/>
        <v>81.461413860065406</v>
      </c>
      <c r="AW51" s="181">
        <f t="shared" si="48"/>
        <v>3</v>
      </c>
      <c r="AX51" s="598"/>
    </row>
    <row r="52" spans="2:50" ht="14.25" customHeight="1">
      <c r="B52" s="597"/>
      <c r="C52" s="179">
        <v>6</v>
      </c>
      <c r="D52" s="182" t="s">
        <v>437</v>
      </c>
      <c r="E52" s="179">
        <v>20</v>
      </c>
      <c r="F52" s="179">
        <v>2000</v>
      </c>
      <c r="G52" s="184">
        <f t="shared" si="33"/>
        <v>100</v>
      </c>
      <c r="H52" s="598"/>
      <c r="I52" s="185">
        <f t="shared" si="35"/>
        <v>20</v>
      </c>
      <c r="J52" s="185">
        <f t="shared" si="35"/>
        <v>1791.0344031161947</v>
      </c>
      <c r="K52" s="186">
        <f t="shared" si="35"/>
        <v>89.551720155809718</v>
      </c>
      <c r="L52" s="599"/>
      <c r="M52" s="185">
        <f>RANK(K52, K$47:$K$61)</f>
        <v>2</v>
      </c>
      <c r="N52" s="597"/>
      <c r="O52" s="597"/>
      <c r="P52" s="187">
        <v>20</v>
      </c>
      <c r="Q52" s="187">
        <v>1790.6629745447665</v>
      </c>
      <c r="R52" s="184">
        <f t="shared" si="36"/>
        <v>89.533148727238327</v>
      </c>
      <c r="S52" s="181">
        <f>RANK(R52, R$47:R$61)</f>
        <v>2</v>
      </c>
      <c r="T52" s="598"/>
      <c r="U52" s="187">
        <v>20</v>
      </c>
      <c r="V52" s="187">
        <v>1791.0629745447666</v>
      </c>
      <c r="W52" s="184">
        <f t="shared" si="34"/>
        <v>89.553148727238323</v>
      </c>
      <c r="X52" s="181">
        <f>RANK(W52, W$47:W$61)</f>
        <v>2</v>
      </c>
      <c r="Y52" s="598"/>
      <c r="Z52" s="187">
        <v>20</v>
      </c>
      <c r="AA52" s="187">
        <v>1791.0629745447661</v>
      </c>
      <c r="AB52" s="184">
        <f t="shared" si="37"/>
        <v>89.553148727238309</v>
      </c>
      <c r="AC52" s="181">
        <f>RANK(AB52, AB$47:AB$61)</f>
        <v>2</v>
      </c>
      <c r="AD52" s="598"/>
      <c r="AE52" s="187">
        <v>20</v>
      </c>
      <c r="AF52" s="187">
        <v>1790.462974544766</v>
      </c>
      <c r="AG52" s="184">
        <f t="shared" si="38"/>
        <v>89.523148727238294</v>
      </c>
      <c r="AH52" s="181">
        <f>RANK(AG52, AG$47:AG$61)</f>
        <v>2</v>
      </c>
      <c r="AI52" s="598"/>
      <c r="AJ52" s="187">
        <v>20</v>
      </c>
      <c r="AK52" s="187">
        <v>1791.0629745447657</v>
      </c>
      <c r="AL52" s="184">
        <f t="shared" si="39"/>
        <v>89.55314872723828</v>
      </c>
      <c r="AM52" s="181">
        <f>RANK(AL52, AL$47:AL$61)</f>
        <v>2</v>
      </c>
      <c r="AN52" s="598"/>
      <c r="AO52" s="187">
        <v>20</v>
      </c>
      <c r="AP52" s="187">
        <v>1791.8629745447656</v>
      </c>
      <c r="AQ52" s="184">
        <f t="shared" si="40"/>
        <v>89.593148727238287</v>
      </c>
      <c r="AR52" s="181">
        <f>RANK(AQ52, AQ$47:AQ$61)</f>
        <v>2</v>
      </c>
      <c r="AS52" s="598"/>
      <c r="AT52" s="187">
        <v>20</v>
      </c>
      <c r="AU52" s="187">
        <v>1791.0629745447659</v>
      </c>
      <c r="AV52" s="184">
        <f t="shared" si="41"/>
        <v>89.553148727238295</v>
      </c>
      <c r="AW52" s="181">
        <f>RANK(AV52, AV$47:AV$61)</f>
        <v>2</v>
      </c>
      <c r="AX52" s="598"/>
    </row>
    <row r="53" spans="2:50" ht="14.25" customHeight="1">
      <c r="B53" s="597"/>
      <c r="C53" s="179">
        <v>7</v>
      </c>
      <c r="D53" s="182" t="s">
        <v>508</v>
      </c>
      <c r="E53" s="179">
        <v>25</v>
      </c>
      <c r="F53" s="179">
        <v>2000</v>
      </c>
      <c r="G53" s="184">
        <f t="shared" si="33"/>
        <v>80</v>
      </c>
      <c r="H53" s="598"/>
      <c r="I53" s="185">
        <f t="shared" si="35"/>
        <v>25</v>
      </c>
      <c r="J53" s="185">
        <f t="shared" si="35"/>
        <v>1791.614593548127</v>
      </c>
      <c r="K53" s="186">
        <f t="shared" si="35"/>
        <v>71.6645837419251</v>
      </c>
      <c r="L53" s="599"/>
      <c r="M53" s="185">
        <f>RANK(K53, K$47:$K$61)</f>
        <v>9</v>
      </c>
      <c r="N53" s="597"/>
      <c r="O53" s="597"/>
      <c r="P53" s="187">
        <v>25</v>
      </c>
      <c r="Q53" s="187">
        <v>1790.7860221195556</v>
      </c>
      <c r="R53" s="184">
        <f t="shared" si="36"/>
        <v>71.631440884782222</v>
      </c>
      <c r="S53" s="181">
        <f>RANK(R53, R$47:R$61)</f>
        <v>9</v>
      </c>
      <c r="T53" s="598"/>
      <c r="U53" s="187">
        <v>25</v>
      </c>
      <c r="V53" s="187">
        <v>1791.3860221195555</v>
      </c>
      <c r="W53" s="184">
        <f t="shared" si="34"/>
        <v>71.655440884782223</v>
      </c>
      <c r="X53" s="181">
        <f>RANK(W53, W$47:W$61)</f>
        <v>9</v>
      </c>
      <c r="Y53" s="598"/>
      <c r="Z53" s="187">
        <v>25</v>
      </c>
      <c r="AA53" s="187">
        <v>1791.3860221195555</v>
      </c>
      <c r="AB53" s="184">
        <f t="shared" si="37"/>
        <v>71.655440884782223</v>
      </c>
      <c r="AC53" s="181">
        <f>RANK(AB53, AB$47:AB$61)</f>
        <v>9</v>
      </c>
      <c r="AD53" s="598"/>
      <c r="AE53" s="187">
        <v>25</v>
      </c>
      <c r="AF53" s="187">
        <v>1792.1860221195557</v>
      </c>
      <c r="AG53" s="184">
        <f t="shared" si="38"/>
        <v>71.687440884782234</v>
      </c>
      <c r="AH53" s="181">
        <f>RANK(AG53, AG$47:AG$61)</f>
        <v>9</v>
      </c>
      <c r="AI53" s="598"/>
      <c r="AJ53" s="187">
        <v>25</v>
      </c>
      <c r="AK53" s="187">
        <v>1792.1860221195557</v>
      </c>
      <c r="AL53" s="184">
        <f t="shared" si="39"/>
        <v>71.687440884782234</v>
      </c>
      <c r="AM53" s="181">
        <f>RANK(AL53, AL$47:AL$61)</f>
        <v>9</v>
      </c>
      <c r="AN53" s="598"/>
      <c r="AO53" s="187">
        <v>25</v>
      </c>
      <c r="AP53" s="187">
        <v>1791.9860221195559</v>
      </c>
      <c r="AQ53" s="184">
        <f t="shared" si="40"/>
        <v>71.679440884782238</v>
      </c>
      <c r="AR53" s="181">
        <f>RANK(AQ53, AQ$47:AQ$61)</f>
        <v>9</v>
      </c>
      <c r="AS53" s="598"/>
      <c r="AT53" s="187">
        <v>25</v>
      </c>
      <c r="AU53" s="187">
        <v>1791.3860221195559</v>
      </c>
      <c r="AV53" s="184">
        <f t="shared" si="41"/>
        <v>71.655440884782237</v>
      </c>
      <c r="AW53" s="181">
        <f>RANK(AV53, AV$47:AV$61)</f>
        <v>9</v>
      </c>
      <c r="AX53" s="598"/>
    </row>
    <row r="54" spans="2:50" ht="14.25" customHeight="1">
      <c r="B54" s="597"/>
      <c r="C54" s="179">
        <v>8</v>
      </c>
      <c r="D54" s="182" t="s">
        <v>580</v>
      </c>
      <c r="E54" s="179">
        <v>20</v>
      </c>
      <c r="F54" s="179">
        <v>2000</v>
      </c>
      <c r="G54" s="184">
        <f t="shared" si="33"/>
        <v>100</v>
      </c>
      <c r="H54" s="598"/>
      <c r="I54" s="185">
        <f t="shared" si="35"/>
        <v>20</v>
      </c>
      <c r="J54" s="185">
        <f t="shared" si="35"/>
        <v>1794.8884430108296</v>
      </c>
      <c r="K54" s="186">
        <f t="shared" si="35"/>
        <v>89.744422150541482</v>
      </c>
      <c r="L54" s="599"/>
      <c r="M54" s="185">
        <f>RANK(K54, K$47:$K$61)</f>
        <v>1</v>
      </c>
      <c r="N54" s="597"/>
      <c r="O54" s="597"/>
      <c r="P54" s="187">
        <v>20</v>
      </c>
      <c r="Q54" s="187">
        <v>1793.3455858679724</v>
      </c>
      <c r="R54" s="184">
        <f t="shared" si="36"/>
        <v>89.667279293398622</v>
      </c>
      <c r="S54" s="181">
        <f t="shared" ref="S54:S55" si="49">RANK(R54, R$47:R$61)</f>
        <v>1</v>
      </c>
      <c r="T54" s="598"/>
      <c r="U54" s="187">
        <v>20</v>
      </c>
      <c r="V54" s="187">
        <v>1793.9455858679723</v>
      </c>
      <c r="W54" s="184">
        <f t="shared" si="34"/>
        <v>89.697279293398623</v>
      </c>
      <c r="X54" s="181">
        <f t="shared" ref="X54:X55" si="50">RANK(W54, W$47:W$61)</f>
        <v>1</v>
      </c>
      <c r="Y54" s="598"/>
      <c r="Z54" s="187">
        <v>20</v>
      </c>
      <c r="AA54" s="187">
        <v>1793.5455858679722</v>
      </c>
      <c r="AB54" s="184">
        <f t="shared" si="37"/>
        <v>89.677279293398612</v>
      </c>
      <c r="AC54" s="181">
        <f t="shared" ref="AC54:AC55" si="51">RANK(AB54, AB$47:AB$61)</f>
        <v>1</v>
      </c>
      <c r="AD54" s="598"/>
      <c r="AE54" s="187">
        <v>20</v>
      </c>
      <c r="AF54" s="187">
        <v>1794.5455858679722</v>
      </c>
      <c r="AG54" s="184">
        <f t="shared" si="38"/>
        <v>89.72727929339861</v>
      </c>
      <c r="AH54" s="181">
        <f t="shared" ref="AH54:AH55" si="52">RANK(AG54, AG$47:AG$61)</f>
        <v>1</v>
      </c>
      <c r="AI54" s="598"/>
      <c r="AJ54" s="187">
        <v>20</v>
      </c>
      <c r="AK54" s="187">
        <v>1795.345585867972</v>
      </c>
      <c r="AL54" s="184">
        <f t="shared" si="39"/>
        <v>89.767279293398602</v>
      </c>
      <c r="AM54" s="181">
        <f t="shared" ref="AM54:AM55" si="53">RANK(AL54, AL$47:AL$61)</f>
        <v>1</v>
      </c>
      <c r="AN54" s="598"/>
      <c r="AO54" s="187">
        <v>20</v>
      </c>
      <c r="AP54" s="187">
        <v>1796.345585867972</v>
      </c>
      <c r="AQ54" s="184">
        <f t="shared" si="40"/>
        <v>89.817279293398599</v>
      </c>
      <c r="AR54" s="181">
        <f t="shared" ref="AR54:AR55" si="54">RANK(AQ54, AQ$47:AQ$61)</f>
        <v>1</v>
      </c>
      <c r="AS54" s="598"/>
      <c r="AT54" s="187">
        <v>20</v>
      </c>
      <c r="AU54" s="187">
        <v>1797.1455858679719</v>
      </c>
      <c r="AV54" s="184">
        <f t="shared" si="41"/>
        <v>89.857279293398591</v>
      </c>
      <c r="AW54" s="181">
        <f t="shared" ref="AW54:AW55" si="55">RANK(AV54, AV$47:AV$61)</f>
        <v>1</v>
      </c>
      <c r="AX54" s="598"/>
    </row>
    <row r="55" spans="2:50" ht="14.25" customHeight="1">
      <c r="B55" s="597"/>
      <c r="C55" s="179">
        <v>9</v>
      </c>
      <c r="D55" s="182" t="s">
        <v>710</v>
      </c>
      <c r="E55" s="179">
        <v>24</v>
      </c>
      <c r="F55" s="179">
        <v>2000</v>
      </c>
      <c r="G55" s="184">
        <f t="shared" si="33"/>
        <v>83.333333333333329</v>
      </c>
      <c r="H55" s="598"/>
      <c r="I55" s="185">
        <f t="shared" si="35"/>
        <v>24</v>
      </c>
      <c r="J55" s="185">
        <f t="shared" si="35"/>
        <v>1787.770488950031</v>
      </c>
      <c r="K55" s="186">
        <f t="shared" si="35"/>
        <v>74.49043703958462</v>
      </c>
      <c r="L55" s="599"/>
      <c r="M55" s="185">
        <f>RANK(K55, K$47:$K$61)</f>
        <v>8</v>
      </c>
      <c r="N55" s="597"/>
      <c r="O55" s="597"/>
      <c r="P55" s="187">
        <v>24</v>
      </c>
      <c r="Q55" s="187">
        <v>1789.6847746643164</v>
      </c>
      <c r="R55" s="184">
        <f t="shared" si="36"/>
        <v>74.570198944346515</v>
      </c>
      <c r="S55" s="181">
        <f t="shared" si="49"/>
        <v>8</v>
      </c>
      <c r="T55" s="598"/>
      <c r="U55" s="187">
        <v>24</v>
      </c>
      <c r="V55" s="187">
        <v>1788.6847746643164</v>
      </c>
      <c r="W55" s="184">
        <f t="shared" si="34"/>
        <v>74.528532277679844</v>
      </c>
      <c r="X55" s="181">
        <f t="shared" si="50"/>
        <v>8</v>
      </c>
      <c r="Y55" s="598"/>
      <c r="Z55" s="187">
        <v>24</v>
      </c>
      <c r="AA55" s="187">
        <v>1787.6847746643166</v>
      </c>
      <c r="AB55" s="184">
        <f t="shared" si="37"/>
        <v>74.486865611013187</v>
      </c>
      <c r="AC55" s="181">
        <f t="shared" si="51"/>
        <v>8</v>
      </c>
      <c r="AD55" s="598"/>
      <c r="AE55" s="187">
        <v>24</v>
      </c>
      <c r="AF55" s="187">
        <v>1786.8847746643166</v>
      </c>
      <c r="AG55" s="184">
        <f t="shared" si="38"/>
        <v>74.453532277679855</v>
      </c>
      <c r="AH55" s="181">
        <f t="shared" si="52"/>
        <v>8</v>
      </c>
      <c r="AI55" s="598"/>
      <c r="AJ55" s="187">
        <v>24</v>
      </c>
      <c r="AK55" s="187">
        <v>1786.6847746643166</v>
      </c>
      <c r="AL55" s="184">
        <f t="shared" si="39"/>
        <v>74.445198944346529</v>
      </c>
      <c r="AM55" s="181">
        <f t="shared" si="53"/>
        <v>8</v>
      </c>
      <c r="AN55" s="598"/>
      <c r="AO55" s="187">
        <v>24</v>
      </c>
      <c r="AP55" s="187">
        <v>1787.284774664317</v>
      </c>
      <c r="AQ55" s="184">
        <f t="shared" si="40"/>
        <v>74.470198944346535</v>
      </c>
      <c r="AR55" s="181">
        <f t="shared" si="54"/>
        <v>8</v>
      </c>
      <c r="AS55" s="598"/>
      <c r="AT55" s="187">
        <v>24</v>
      </c>
      <c r="AU55" s="187">
        <v>1787.484774664317</v>
      </c>
      <c r="AV55" s="184">
        <f t="shared" si="41"/>
        <v>74.478532277679875</v>
      </c>
      <c r="AW55" s="181">
        <f t="shared" si="55"/>
        <v>8</v>
      </c>
      <c r="AX55" s="598"/>
    </row>
    <row r="56" spans="2:50" ht="14.25" customHeight="1">
      <c r="B56" s="597"/>
      <c r="C56" s="179">
        <v>10</v>
      </c>
      <c r="D56" s="182"/>
      <c r="E56" s="179"/>
      <c r="F56" s="179"/>
      <c r="G56" s="184"/>
      <c r="H56" s="598"/>
      <c r="I56" s="185"/>
      <c r="J56" s="185"/>
      <c r="K56" s="186"/>
      <c r="L56" s="599"/>
      <c r="M56" s="185"/>
      <c r="N56" s="597"/>
      <c r="O56" s="597"/>
      <c r="P56" s="187"/>
      <c r="Q56" s="187"/>
      <c r="R56" s="184"/>
      <c r="S56" s="181"/>
      <c r="T56" s="598"/>
      <c r="U56" s="187"/>
      <c r="V56" s="187"/>
      <c r="W56" s="184"/>
      <c r="X56" s="181"/>
      <c r="Y56" s="598"/>
      <c r="Z56" s="187"/>
      <c r="AA56" s="187"/>
      <c r="AB56" s="184"/>
      <c r="AC56" s="181"/>
      <c r="AD56" s="598"/>
      <c r="AE56" s="187"/>
      <c r="AF56" s="187"/>
      <c r="AG56" s="184"/>
      <c r="AH56" s="181"/>
      <c r="AI56" s="598"/>
      <c r="AJ56" s="187"/>
      <c r="AK56" s="187"/>
      <c r="AL56" s="184"/>
      <c r="AM56" s="181"/>
      <c r="AN56" s="598"/>
      <c r="AO56" s="187"/>
      <c r="AP56" s="187"/>
      <c r="AQ56" s="184"/>
      <c r="AR56" s="181"/>
      <c r="AS56" s="598"/>
      <c r="AT56" s="187"/>
      <c r="AU56" s="187"/>
      <c r="AV56" s="184"/>
      <c r="AW56" s="181"/>
      <c r="AX56" s="598"/>
    </row>
    <row r="57" spans="2:50" ht="14.25" customHeight="1">
      <c r="B57" s="597"/>
      <c r="C57" s="179">
        <v>11</v>
      </c>
      <c r="D57" s="182"/>
      <c r="E57" s="179"/>
      <c r="F57" s="179"/>
      <c r="G57" s="184"/>
      <c r="H57" s="598"/>
      <c r="I57" s="185"/>
      <c r="J57" s="185"/>
      <c r="K57" s="186"/>
      <c r="L57" s="599"/>
      <c r="M57" s="185"/>
      <c r="N57" s="597"/>
      <c r="O57" s="597"/>
      <c r="P57" s="187"/>
      <c r="Q57" s="187"/>
      <c r="R57" s="184"/>
      <c r="S57" s="181"/>
      <c r="T57" s="598"/>
      <c r="U57" s="187"/>
      <c r="V57" s="187"/>
      <c r="W57" s="184"/>
      <c r="X57" s="181"/>
      <c r="Y57" s="598"/>
      <c r="Z57" s="187"/>
      <c r="AA57" s="187"/>
      <c r="AB57" s="184"/>
      <c r="AC57" s="181"/>
      <c r="AD57" s="598"/>
      <c r="AE57" s="187"/>
      <c r="AF57" s="187"/>
      <c r="AG57" s="184"/>
      <c r="AH57" s="181"/>
      <c r="AI57" s="598"/>
      <c r="AJ57" s="187"/>
      <c r="AK57" s="187"/>
      <c r="AL57" s="184"/>
      <c r="AM57" s="181"/>
      <c r="AN57" s="598"/>
      <c r="AO57" s="187"/>
      <c r="AP57" s="187"/>
      <c r="AQ57" s="184"/>
      <c r="AR57" s="181"/>
      <c r="AS57" s="598"/>
      <c r="AT57" s="187"/>
      <c r="AU57" s="187"/>
      <c r="AV57" s="184"/>
      <c r="AW57" s="181"/>
      <c r="AX57" s="598"/>
    </row>
    <row r="58" spans="2:50" ht="14.25" customHeight="1">
      <c r="B58" s="597"/>
      <c r="C58" s="179">
        <v>12</v>
      </c>
      <c r="D58" s="182"/>
      <c r="E58" s="179"/>
      <c r="F58" s="179"/>
      <c r="G58" s="184"/>
      <c r="H58" s="598"/>
      <c r="I58" s="185"/>
      <c r="J58" s="185"/>
      <c r="K58" s="186"/>
      <c r="L58" s="599"/>
      <c r="M58" s="185"/>
      <c r="N58" s="597"/>
      <c r="O58" s="597"/>
      <c r="P58" s="187"/>
      <c r="Q58" s="187"/>
      <c r="R58" s="184"/>
      <c r="S58" s="181"/>
      <c r="T58" s="598"/>
      <c r="U58" s="187"/>
      <c r="V58" s="187"/>
      <c r="W58" s="184"/>
      <c r="X58" s="181"/>
      <c r="Y58" s="598"/>
      <c r="Z58" s="187"/>
      <c r="AA58" s="187"/>
      <c r="AB58" s="184"/>
      <c r="AC58" s="181"/>
      <c r="AD58" s="598"/>
      <c r="AE58" s="187"/>
      <c r="AF58" s="187"/>
      <c r="AG58" s="184"/>
      <c r="AH58" s="181"/>
      <c r="AI58" s="598"/>
      <c r="AJ58" s="187"/>
      <c r="AK58" s="187"/>
      <c r="AL58" s="184"/>
      <c r="AM58" s="181"/>
      <c r="AN58" s="598"/>
      <c r="AO58" s="187"/>
      <c r="AP58" s="187"/>
      <c r="AQ58" s="184"/>
      <c r="AR58" s="181"/>
      <c r="AS58" s="598"/>
      <c r="AT58" s="187"/>
      <c r="AU58" s="187"/>
      <c r="AV58" s="184"/>
      <c r="AW58" s="181"/>
      <c r="AX58" s="598"/>
    </row>
    <row r="59" spans="2:50" ht="14.25" customHeight="1">
      <c r="B59" s="597"/>
      <c r="C59" s="179">
        <v>13</v>
      </c>
      <c r="D59" s="182"/>
      <c r="E59" s="179"/>
      <c r="F59" s="179"/>
      <c r="G59" s="184"/>
      <c r="H59" s="598"/>
      <c r="I59" s="185"/>
      <c r="J59" s="185"/>
      <c r="K59" s="186"/>
      <c r="L59" s="599"/>
      <c r="M59" s="185"/>
      <c r="N59" s="597"/>
      <c r="O59" s="597"/>
      <c r="P59" s="187"/>
      <c r="Q59" s="187"/>
      <c r="R59" s="184"/>
      <c r="S59" s="181"/>
      <c r="T59" s="598"/>
      <c r="U59" s="187"/>
      <c r="V59" s="187"/>
      <c r="W59" s="184"/>
      <c r="X59" s="181"/>
      <c r="Y59" s="598"/>
      <c r="Z59" s="187"/>
      <c r="AA59" s="187"/>
      <c r="AB59" s="184"/>
      <c r="AC59" s="181"/>
      <c r="AD59" s="598"/>
      <c r="AE59" s="187"/>
      <c r="AF59" s="187"/>
      <c r="AG59" s="184"/>
      <c r="AH59" s="181"/>
      <c r="AI59" s="598"/>
      <c r="AJ59" s="187"/>
      <c r="AK59" s="187"/>
      <c r="AL59" s="184"/>
      <c r="AM59" s="181"/>
      <c r="AN59" s="598"/>
      <c r="AO59" s="187"/>
      <c r="AP59" s="187"/>
      <c r="AQ59" s="184"/>
      <c r="AR59" s="181"/>
      <c r="AS59" s="598"/>
      <c r="AT59" s="187"/>
      <c r="AU59" s="187"/>
      <c r="AV59" s="184"/>
      <c r="AW59" s="181"/>
      <c r="AX59" s="598"/>
    </row>
    <row r="60" spans="2:50" ht="14.25" customHeight="1">
      <c r="B60" s="597"/>
      <c r="C60" s="179">
        <v>14</v>
      </c>
      <c r="D60" s="182"/>
      <c r="E60" s="179"/>
      <c r="F60" s="179"/>
      <c r="G60" s="184"/>
      <c r="H60" s="598"/>
      <c r="I60" s="185"/>
      <c r="J60" s="185"/>
      <c r="K60" s="186"/>
      <c r="L60" s="599"/>
      <c r="M60" s="185"/>
      <c r="N60" s="597"/>
      <c r="O60" s="597"/>
      <c r="P60" s="187"/>
      <c r="Q60" s="187"/>
      <c r="R60" s="184"/>
      <c r="S60" s="181"/>
      <c r="T60" s="598"/>
      <c r="U60" s="187"/>
      <c r="V60" s="187"/>
      <c r="W60" s="184"/>
      <c r="X60" s="181"/>
      <c r="Y60" s="598"/>
      <c r="Z60" s="187"/>
      <c r="AA60" s="187"/>
      <c r="AB60" s="184"/>
      <c r="AC60" s="181"/>
      <c r="AD60" s="598"/>
      <c r="AE60" s="187"/>
      <c r="AF60" s="187"/>
      <c r="AG60" s="184"/>
      <c r="AH60" s="181"/>
      <c r="AI60" s="598"/>
      <c r="AJ60" s="187"/>
      <c r="AK60" s="187"/>
      <c r="AL60" s="184"/>
      <c r="AM60" s="181"/>
      <c r="AN60" s="598"/>
      <c r="AO60" s="187"/>
      <c r="AP60" s="187"/>
      <c r="AQ60" s="184"/>
      <c r="AR60" s="181"/>
      <c r="AS60" s="598"/>
      <c r="AT60" s="187"/>
      <c r="AU60" s="187"/>
      <c r="AV60" s="184"/>
      <c r="AW60" s="181"/>
      <c r="AX60" s="598"/>
    </row>
    <row r="61" spans="2:50" ht="14.25" customHeight="1">
      <c r="B61" s="597"/>
      <c r="C61" s="179">
        <v>15</v>
      </c>
      <c r="D61" s="182"/>
      <c r="E61" s="179"/>
      <c r="F61" s="179"/>
      <c r="G61" s="184"/>
      <c r="H61" s="598"/>
      <c r="I61" s="185"/>
      <c r="J61" s="185"/>
      <c r="K61" s="186"/>
      <c r="L61" s="599"/>
      <c r="M61" s="185"/>
      <c r="N61" s="597"/>
      <c r="O61" s="597"/>
      <c r="P61" s="187"/>
      <c r="Q61" s="187"/>
      <c r="R61" s="184"/>
      <c r="S61" s="181"/>
      <c r="T61" s="598"/>
      <c r="U61" s="187"/>
      <c r="V61" s="187"/>
      <c r="W61" s="184"/>
      <c r="X61" s="181"/>
      <c r="Y61" s="598"/>
      <c r="Z61" s="187"/>
      <c r="AA61" s="187"/>
      <c r="AB61" s="184"/>
      <c r="AC61" s="181"/>
      <c r="AD61" s="598"/>
      <c r="AE61" s="187"/>
      <c r="AF61" s="187"/>
      <c r="AG61" s="184"/>
      <c r="AH61" s="181"/>
      <c r="AI61" s="598"/>
      <c r="AJ61" s="187"/>
      <c r="AK61" s="187"/>
      <c r="AL61" s="184"/>
      <c r="AM61" s="181"/>
      <c r="AN61" s="598"/>
      <c r="AO61" s="187"/>
      <c r="AP61" s="187"/>
      <c r="AQ61" s="184"/>
      <c r="AR61" s="181"/>
      <c r="AS61" s="598"/>
      <c r="AT61" s="187"/>
      <c r="AU61" s="187"/>
      <c r="AV61" s="184"/>
      <c r="AW61" s="181"/>
      <c r="AX61" s="598"/>
    </row>
    <row r="86" spans="2:50" ht="14.25" customHeight="1">
      <c r="B86" s="521" t="s">
        <v>825</v>
      </c>
      <c r="C86" s="522"/>
      <c r="D86" s="523"/>
      <c r="E86" s="522"/>
      <c r="F86" s="522"/>
      <c r="G86" s="522"/>
      <c r="H86" s="522"/>
      <c r="I86" s="524"/>
      <c r="J86" s="524"/>
      <c r="K86" s="524"/>
      <c r="L86" s="524"/>
      <c r="M86" s="524"/>
      <c r="N86" s="629" t="s">
        <v>363</v>
      </c>
      <c r="O86" s="629" t="s">
        <v>105</v>
      </c>
      <c r="P86" s="617">
        <v>46217</v>
      </c>
      <c r="Q86" s="618"/>
      <c r="R86" s="618"/>
      <c r="S86" s="618"/>
      <c r="T86" s="618"/>
      <c r="U86" s="619">
        <v>46218</v>
      </c>
      <c r="V86" s="620"/>
      <c r="W86" s="620"/>
      <c r="X86" s="620"/>
      <c r="Y86" s="620"/>
      <c r="Z86" s="617">
        <v>46219</v>
      </c>
      <c r="AA86" s="618"/>
      <c r="AB86" s="618"/>
      <c r="AC86" s="618"/>
      <c r="AD86" s="618"/>
      <c r="AE86" s="619">
        <v>46220</v>
      </c>
      <c r="AF86" s="620"/>
      <c r="AG86" s="620"/>
      <c r="AH86" s="620"/>
      <c r="AI86" s="620"/>
      <c r="AJ86" s="602">
        <v>46221</v>
      </c>
      <c r="AK86" s="603"/>
      <c r="AL86" s="603"/>
      <c r="AM86" s="603"/>
      <c r="AN86" s="604"/>
      <c r="AO86" s="619">
        <v>46222</v>
      </c>
      <c r="AP86" s="620"/>
      <c r="AQ86" s="620"/>
      <c r="AR86" s="620"/>
      <c r="AS86" s="620"/>
      <c r="AT86" s="602">
        <v>46223</v>
      </c>
      <c r="AU86" s="603"/>
      <c r="AV86" s="603"/>
      <c r="AW86" s="603"/>
      <c r="AX86" s="604"/>
    </row>
    <row r="87" spans="2:50" ht="14.25" customHeight="1">
      <c r="B87" s="521"/>
      <c r="C87" s="522"/>
      <c r="D87" s="523"/>
      <c r="E87" s="522"/>
      <c r="F87" s="522"/>
      <c r="G87" s="522"/>
      <c r="H87" s="522"/>
      <c r="I87" s="524"/>
      <c r="J87" s="524"/>
      <c r="K87" s="524"/>
      <c r="L87" s="524"/>
      <c r="M87" s="524"/>
      <c r="N87" s="630"/>
      <c r="O87" s="630"/>
      <c r="P87" s="605">
        <v>46196</v>
      </c>
      <c r="Q87" s="605"/>
      <c r="R87" s="605"/>
      <c r="S87" s="605"/>
      <c r="T87" s="605"/>
      <c r="U87" s="606">
        <v>46197</v>
      </c>
      <c r="V87" s="606"/>
      <c r="W87" s="606"/>
      <c r="X87" s="606"/>
      <c r="Y87" s="606"/>
      <c r="Z87" s="605">
        <v>46198</v>
      </c>
      <c r="AA87" s="605"/>
      <c r="AB87" s="605"/>
      <c r="AC87" s="605"/>
      <c r="AD87" s="605"/>
      <c r="AE87" s="606">
        <v>46199</v>
      </c>
      <c r="AF87" s="606"/>
      <c r="AG87" s="606"/>
      <c r="AH87" s="606"/>
      <c r="AI87" s="606"/>
      <c r="AJ87" s="607">
        <v>46200</v>
      </c>
      <c r="AK87" s="608"/>
      <c r="AL87" s="608"/>
      <c r="AM87" s="608"/>
      <c r="AN87" s="609"/>
      <c r="AO87" s="606">
        <v>46201</v>
      </c>
      <c r="AP87" s="606"/>
      <c r="AQ87" s="606"/>
      <c r="AR87" s="606"/>
      <c r="AS87" s="606"/>
      <c r="AT87" s="607">
        <v>46202</v>
      </c>
      <c r="AU87" s="608"/>
      <c r="AV87" s="608"/>
      <c r="AW87" s="608"/>
      <c r="AX87" s="609"/>
    </row>
    <row r="88" spans="2:50" ht="14.25" customHeight="1">
      <c r="B88" s="597" t="s">
        <v>162</v>
      </c>
      <c r="C88" s="597" t="s">
        <v>157</v>
      </c>
      <c r="D88" s="597"/>
      <c r="E88" s="597" t="s">
        <v>158</v>
      </c>
      <c r="F88" s="597"/>
      <c r="G88" s="597"/>
      <c r="H88" s="597" t="s">
        <v>163</v>
      </c>
      <c r="I88" s="601" t="s">
        <v>364</v>
      </c>
      <c r="J88" s="601"/>
      <c r="K88" s="601"/>
      <c r="L88" s="601" t="s">
        <v>163</v>
      </c>
      <c r="M88" s="601" t="s">
        <v>165</v>
      </c>
      <c r="N88" s="597"/>
      <c r="O88" s="597" t="s">
        <v>164</v>
      </c>
      <c r="P88" s="597" t="s">
        <v>160</v>
      </c>
      <c r="Q88" s="597"/>
      <c r="R88" s="597"/>
      <c r="S88" s="597"/>
      <c r="T88" s="597" t="s">
        <v>163</v>
      </c>
      <c r="U88" s="597" t="s">
        <v>160</v>
      </c>
      <c r="V88" s="597"/>
      <c r="W88" s="597"/>
      <c r="X88" s="597"/>
      <c r="Y88" s="597" t="s">
        <v>163</v>
      </c>
      <c r="Z88" s="597" t="s">
        <v>160</v>
      </c>
      <c r="AA88" s="597"/>
      <c r="AB88" s="597"/>
      <c r="AC88" s="597"/>
      <c r="AD88" s="597" t="s">
        <v>163</v>
      </c>
      <c r="AE88" s="597" t="s">
        <v>160</v>
      </c>
      <c r="AF88" s="597"/>
      <c r="AG88" s="597"/>
      <c r="AH88" s="597"/>
      <c r="AI88" s="597" t="s">
        <v>163</v>
      </c>
      <c r="AJ88" s="597" t="s">
        <v>160</v>
      </c>
      <c r="AK88" s="597"/>
      <c r="AL88" s="597"/>
      <c r="AM88" s="597"/>
      <c r="AN88" s="597" t="s">
        <v>163</v>
      </c>
      <c r="AO88" s="597" t="s">
        <v>160</v>
      </c>
      <c r="AP88" s="597"/>
      <c r="AQ88" s="597"/>
      <c r="AR88" s="597"/>
      <c r="AS88" s="597" t="s">
        <v>163</v>
      </c>
      <c r="AT88" s="597" t="s">
        <v>160</v>
      </c>
      <c r="AU88" s="597"/>
      <c r="AV88" s="597"/>
      <c r="AW88" s="597"/>
      <c r="AX88" s="597" t="s">
        <v>163</v>
      </c>
    </row>
    <row r="89" spans="2:50" ht="14.25" customHeight="1">
      <c r="B89" s="597"/>
      <c r="C89" s="597"/>
      <c r="D89" s="597"/>
      <c r="E89" s="597" t="s">
        <v>365</v>
      </c>
      <c r="F89" s="597"/>
      <c r="G89" s="597"/>
      <c r="H89" s="597"/>
      <c r="I89" s="601" t="s">
        <v>365</v>
      </c>
      <c r="J89" s="601"/>
      <c r="K89" s="601"/>
      <c r="L89" s="601"/>
      <c r="M89" s="601"/>
      <c r="N89" s="597"/>
      <c r="O89" s="597"/>
      <c r="P89" s="597" t="s">
        <v>366</v>
      </c>
      <c r="Q89" s="597"/>
      <c r="R89" s="597"/>
      <c r="S89" s="597"/>
      <c r="T89" s="597"/>
      <c r="U89" s="597" t="s">
        <v>366</v>
      </c>
      <c r="V89" s="597"/>
      <c r="W89" s="597"/>
      <c r="X89" s="597"/>
      <c r="Y89" s="597"/>
      <c r="Z89" s="597" t="s">
        <v>366</v>
      </c>
      <c r="AA89" s="597"/>
      <c r="AB89" s="597"/>
      <c r="AC89" s="597"/>
      <c r="AD89" s="597"/>
      <c r="AE89" s="597" t="s">
        <v>366</v>
      </c>
      <c r="AF89" s="597"/>
      <c r="AG89" s="597"/>
      <c r="AH89" s="597"/>
      <c r="AI89" s="597"/>
      <c r="AJ89" s="597" t="s">
        <v>366</v>
      </c>
      <c r="AK89" s="597"/>
      <c r="AL89" s="597"/>
      <c r="AM89" s="597"/>
      <c r="AN89" s="597"/>
      <c r="AO89" s="597" t="s">
        <v>366</v>
      </c>
      <c r="AP89" s="597"/>
      <c r="AQ89" s="597"/>
      <c r="AR89" s="597"/>
      <c r="AS89" s="597"/>
      <c r="AT89" s="597" t="s">
        <v>366</v>
      </c>
      <c r="AU89" s="597"/>
      <c r="AV89" s="597"/>
      <c r="AW89" s="597"/>
      <c r="AX89" s="597"/>
    </row>
    <row r="90" spans="2:50" ht="14.25" customHeight="1">
      <c r="B90" s="597"/>
      <c r="C90" s="597"/>
      <c r="D90" s="597"/>
      <c r="E90" s="179" t="s">
        <v>159</v>
      </c>
      <c r="F90" s="179" t="s">
        <v>367</v>
      </c>
      <c r="G90" s="179" t="s">
        <v>161</v>
      </c>
      <c r="H90" s="597"/>
      <c r="I90" s="180" t="s">
        <v>159</v>
      </c>
      <c r="J90" s="180" t="s">
        <v>367</v>
      </c>
      <c r="K90" s="180" t="s">
        <v>161</v>
      </c>
      <c r="L90" s="601"/>
      <c r="M90" s="601"/>
      <c r="N90" s="597"/>
      <c r="O90" s="597"/>
      <c r="P90" s="179" t="s">
        <v>159</v>
      </c>
      <c r="Q90" s="179" t="s">
        <v>367</v>
      </c>
      <c r="R90" s="179" t="s">
        <v>161</v>
      </c>
      <c r="S90" s="181" t="s">
        <v>165</v>
      </c>
      <c r="T90" s="597"/>
      <c r="U90" s="179" t="s">
        <v>159</v>
      </c>
      <c r="V90" s="179" t="s">
        <v>367</v>
      </c>
      <c r="W90" s="179" t="s">
        <v>161</v>
      </c>
      <c r="X90" s="181" t="s">
        <v>165</v>
      </c>
      <c r="Y90" s="597"/>
      <c r="Z90" s="179" t="s">
        <v>159</v>
      </c>
      <c r="AA90" s="179" t="s">
        <v>367</v>
      </c>
      <c r="AB90" s="179" t="s">
        <v>161</v>
      </c>
      <c r="AC90" s="181" t="s">
        <v>165</v>
      </c>
      <c r="AD90" s="597"/>
      <c r="AE90" s="179" t="s">
        <v>159</v>
      </c>
      <c r="AF90" s="179" t="s">
        <v>367</v>
      </c>
      <c r="AG90" s="179" t="s">
        <v>161</v>
      </c>
      <c r="AH90" s="181" t="s">
        <v>165</v>
      </c>
      <c r="AI90" s="597"/>
      <c r="AJ90" s="179" t="s">
        <v>159</v>
      </c>
      <c r="AK90" s="179" t="s">
        <v>367</v>
      </c>
      <c r="AL90" s="179" t="s">
        <v>161</v>
      </c>
      <c r="AM90" s="181" t="s">
        <v>165</v>
      </c>
      <c r="AN90" s="597"/>
      <c r="AO90" s="179" t="s">
        <v>159</v>
      </c>
      <c r="AP90" s="179" t="s">
        <v>367</v>
      </c>
      <c r="AQ90" s="179" t="s">
        <v>161</v>
      </c>
      <c r="AR90" s="181" t="s">
        <v>165</v>
      </c>
      <c r="AS90" s="597"/>
      <c r="AT90" s="179" t="s">
        <v>159</v>
      </c>
      <c r="AU90" s="179" t="s">
        <v>367</v>
      </c>
      <c r="AV90" s="179" t="s">
        <v>161</v>
      </c>
      <c r="AW90" s="181" t="s">
        <v>165</v>
      </c>
      <c r="AX90" s="597"/>
    </row>
    <row r="91" spans="2:50" ht="14.25" customHeight="1">
      <c r="B91" s="597" t="s">
        <v>137</v>
      </c>
      <c r="C91" s="179">
        <v>1</v>
      </c>
      <c r="D91" s="182" t="s">
        <v>351</v>
      </c>
      <c r="E91" s="183">
        <v>24</v>
      </c>
      <c r="F91" s="179">
        <v>2000</v>
      </c>
      <c r="G91" s="184">
        <f t="shared" ref="G91:G99" si="56">IFERROR(F91/E91,"")</f>
        <v>83.333333333333329</v>
      </c>
      <c r="H91" s="598">
        <f>AVERAGE(G91:G105)</f>
        <v>88.716146977016535</v>
      </c>
      <c r="I91" s="185">
        <f>AVERAGE(P91,U91,Z91,AE91,AJ91,AO91,AT91)</f>
        <v>24</v>
      </c>
      <c r="J91" s="185">
        <f>AVERAGE(Q91,V91,AA91,AF91,AK91,AP91,AU91)</f>
        <v>1796.0116725059713</v>
      </c>
      <c r="K91" s="186">
        <f>AVERAGE(R91,W91,AB91,AG91,AL91,AQ91,AV91)</f>
        <v>74.8338196877488</v>
      </c>
      <c r="L91" s="599">
        <f>IFERROR(AVERAGE(K91:K105),"-")</f>
        <v>79.518358448192245</v>
      </c>
      <c r="M91" s="185">
        <f>RANK(K91, K$91:$K$127)</f>
        <v>7</v>
      </c>
      <c r="N91" s="597"/>
      <c r="O91" s="597"/>
      <c r="P91" s="187">
        <v>24</v>
      </c>
      <c r="Q91" s="187">
        <v>1796.0116725059704</v>
      </c>
      <c r="R91" s="184">
        <f>IFERROR(Q91/P91,"")</f>
        <v>74.833819687748772</v>
      </c>
      <c r="S91" s="181">
        <f>RANK(R91, R$91:R$127)</f>
        <v>7</v>
      </c>
      <c r="T91" s="598">
        <f>AVERAGE(R91:R105)</f>
        <v>79.518832275492144</v>
      </c>
      <c r="U91" s="187">
        <v>24</v>
      </c>
      <c r="V91" s="187">
        <v>1796.8116725059708</v>
      </c>
      <c r="W91" s="184">
        <f t="shared" ref="W91:W99" si="57">IFERROR(V91/U91,"")</f>
        <v>74.867153021082117</v>
      </c>
      <c r="X91" s="181">
        <f>RANK(W91, W$91:W$127)</f>
        <v>7</v>
      </c>
      <c r="Y91" s="598">
        <f>AVERAGE(W91:W105)</f>
        <v>79.528192691243873</v>
      </c>
      <c r="Z91" s="187">
        <v>24</v>
      </c>
      <c r="AA91" s="187">
        <v>1795.8116725059713</v>
      </c>
      <c r="AB91" s="184">
        <f>IFERROR(AA91/Z91,"")</f>
        <v>74.825486354415474</v>
      </c>
      <c r="AC91" s="181">
        <f>RANK(AB91, AB$91:AB$127)</f>
        <v>7</v>
      </c>
      <c r="AD91" s="598">
        <f>AVERAGE(AB91:AB105)</f>
        <v>79.515832861057945</v>
      </c>
      <c r="AE91" s="187">
        <v>24</v>
      </c>
      <c r="AF91" s="187">
        <v>1796.4116725059716</v>
      </c>
      <c r="AG91" s="184">
        <f>IFERROR(AF91/AE91,"")</f>
        <v>74.85048635441548</v>
      </c>
      <c r="AH91" s="181">
        <f>RANK(AG91, AG$91:AG$127)</f>
        <v>7</v>
      </c>
      <c r="AI91" s="598">
        <f>AVERAGE(AG91:AG105)</f>
        <v>79.512823492005111</v>
      </c>
      <c r="AJ91" s="187">
        <v>24</v>
      </c>
      <c r="AK91" s="187">
        <v>1796.2116725059716</v>
      </c>
      <c r="AL91" s="184">
        <f>IFERROR(AK91/AJ91,"")</f>
        <v>74.842153021082154</v>
      </c>
      <c r="AM91" s="181">
        <f>RANK(AL91, AL$91:AL$127)</f>
        <v>7</v>
      </c>
      <c r="AN91" s="598">
        <f>AVERAGE(AL91:AL105)</f>
        <v>79.517871069226601</v>
      </c>
      <c r="AO91" s="187">
        <v>24</v>
      </c>
      <c r="AP91" s="187">
        <v>1795.4116725059719</v>
      </c>
      <c r="AQ91" s="184">
        <f>IFERROR(AP91/AO91,"")</f>
        <v>74.808819687748823</v>
      </c>
      <c r="AR91" s="181">
        <f>RANK(AQ91, AQ$91:AQ$127)</f>
        <v>7</v>
      </c>
      <c r="AS91" s="598">
        <f>AVERAGE(AQ91:AQ105)</f>
        <v>79.5192490519524</v>
      </c>
      <c r="AT91" s="187">
        <v>24</v>
      </c>
      <c r="AU91" s="187">
        <v>1795.4116725059719</v>
      </c>
      <c r="AV91" s="184">
        <f>IFERROR(AU91/AT91,"")</f>
        <v>74.808819687748823</v>
      </c>
      <c r="AW91" s="181">
        <f>RANK(AV91, AV$91:AV$127)</f>
        <v>7</v>
      </c>
      <c r="AX91" s="598">
        <f>AVERAGE(AV91:AV105)</f>
        <v>79.515707696367571</v>
      </c>
    </row>
    <row r="92" spans="2:50" ht="14.25" customHeight="1">
      <c r="B92" s="597"/>
      <c r="C92" s="179">
        <v>2</v>
      </c>
      <c r="D92" s="182" t="s">
        <v>352</v>
      </c>
      <c r="E92" s="179">
        <v>23</v>
      </c>
      <c r="F92" s="179">
        <v>2000</v>
      </c>
      <c r="G92" s="184">
        <f t="shared" si="56"/>
        <v>86.956521739130437</v>
      </c>
      <c r="H92" s="598"/>
      <c r="I92" s="185">
        <f t="shared" ref="I92:K99" si="58">AVERAGE(P92,U92,Z92,AE92,AJ92,AO92,AT92)</f>
        <v>23</v>
      </c>
      <c r="J92" s="185">
        <f t="shared" si="58"/>
        <v>1792.7094895686553</v>
      </c>
      <c r="K92" s="186">
        <f t="shared" si="58"/>
        <v>77.943890850811087</v>
      </c>
      <c r="L92" s="599"/>
      <c r="M92" s="185">
        <f>RANK(K92, K$91:$K$127)</f>
        <v>6</v>
      </c>
      <c r="N92" s="597"/>
      <c r="O92" s="597"/>
      <c r="P92" s="187">
        <v>23</v>
      </c>
      <c r="Q92" s="187">
        <v>1794.3380609972264</v>
      </c>
      <c r="R92" s="184">
        <f t="shared" ref="R92:R99" si="59">IFERROR(Q92/P92,"")</f>
        <v>78.014698304227238</v>
      </c>
      <c r="S92" s="181">
        <f t="shared" ref="S92:S126" si="60">RANK(R92, R$91:R$127)</f>
        <v>4</v>
      </c>
      <c r="T92" s="598"/>
      <c r="U92" s="187">
        <v>23</v>
      </c>
      <c r="V92" s="187">
        <v>1793.7380609972265</v>
      </c>
      <c r="W92" s="184">
        <f t="shared" si="57"/>
        <v>77.988611347705501</v>
      </c>
      <c r="X92" s="181">
        <f t="shared" ref="X92:X126" si="61">RANK(W92, W$91:W$127)</f>
        <v>5</v>
      </c>
      <c r="Y92" s="598"/>
      <c r="Z92" s="187">
        <v>23</v>
      </c>
      <c r="AA92" s="187">
        <v>1793.3380609972269</v>
      </c>
      <c r="AB92" s="184">
        <f t="shared" ref="AB92:AB99" si="62">IFERROR(AA92/Z92,"")</f>
        <v>77.97122004335769</v>
      </c>
      <c r="AC92" s="181">
        <f t="shared" ref="AC92:AC126" si="63">RANK(AB92, AB$91:AB$127)</f>
        <v>5</v>
      </c>
      <c r="AD92" s="598"/>
      <c r="AE92" s="187">
        <v>23</v>
      </c>
      <c r="AF92" s="187">
        <v>1792.5380609972269</v>
      </c>
      <c r="AG92" s="184">
        <f t="shared" ref="AG92:AG99" si="64">IFERROR(AF92/AE92,"")</f>
        <v>77.936437434662039</v>
      </c>
      <c r="AH92" s="181">
        <f t="shared" ref="AH92:AH126" si="65">RANK(AG92, AG$91:AG$127)</f>
        <v>6</v>
      </c>
      <c r="AI92" s="598"/>
      <c r="AJ92" s="187">
        <v>23</v>
      </c>
      <c r="AK92" s="187">
        <v>1792.1380609972268</v>
      </c>
      <c r="AL92" s="184">
        <f t="shared" ref="AL92:AL99" si="66">IFERROR(AK92/AJ92,"")</f>
        <v>77.919046130314214</v>
      </c>
      <c r="AM92" s="181">
        <f t="shared" ref="AM92:AM126" si="67">RANK(AL92, AL$91:AL$127)</f>
        <v>6</v>
      </c>
      <c r="AN92" s="598"/>
      <c r="AO92" s="187">
        <v>23</v>
      </c>
      <c r="AP92" s="187">
        <v>1791.3380609972269</v>
      </c>
      <c r="AQ92" s="184">
        <f t="shared" ref="AQ92:AQ99" si="68">IFERROR(AP92/AO92,"")</f>
        <v>77.884263521618564</v>
      </c>
      <c r="AR92" s="181">
        <f t="shared" ref="AR92:AR126" si="69">RANK(AQ92, AQ$91:AQ$127)</f>
        <v>6</v>
      </c>
      <c r="AS92" s="598"/>
      <c r="AT92" s="187">
        <v>23</v>
      </c>
      <c r="AU92" s="187">
        <v>1791.5380609972269</v>
      </c>
      <c r="AV92" s="184">
        <f t="shared" ref="AV92:AV99" si="70">IFERROR(AU92/AT92,"")</f>
        <v>77.892959173792477</v>
      </c>
      <c r="AW92" s="181">
        <f t="shared" ref="AW92:AW126" si="71">RANK(AV92, AV$91:AV$127)</f>
        <v>6</v>
      </c>
      <c r="AX92" s="598"/>
    </row>
    <row r="93" spans="2:50" ht="14.25" customHeight="1">
      <c r="B93" s="597"/>
      <c r="C93" s="179">
        <v>3</v>
      </c>
      <c r="D93" s="182" t="s">
        <v>350</v>
      </c>
      <c r="E93" s="179">
        <v>23</v>
      </c>
      <c r="F93" s="179">
        <v>2000</v>
      </c>
      <c r="G93" s="184">
        <f t="shared" si="56"/>
        <v>86.956521739130437</v>
      </c>
      <c r="H93" s="598"/>
      <c r="I93" s="185">
        <f t="shared" si="58"/>
        <v>23</v>
      </c>
      <c r="J93" s="185">
        <f t="shared" si="58"/>
        <v>1793.1620868513201</v>
      </c>
      <c r="K93" s="186">
        <f t="shared" si="58"/>
        <v>77.96356899353566</v>
      </c>
      <c r="L93" s="599"/>
      <c r="M93" s="185">
        <f>RANK(K93, K$91:$K$127)</f>
        <v>5</v>
      </c>
      <c r="N93" s="597"/>
      <c r="O93" s="597"/>
      <c r="P93" s="187">
        <v>23</v>
      </c>
      <c r="Q93" s="187">
        <v>1794.0192297084634</v>
      </c>
      <c r="R93" s="184">
        <f t="shared" si="59"/>
        <v>78.000836074281011</v>
      </c>
      <c r="S93" s="181">
        <f t="shared" si="60"/>
        <v>6</v>
      </c>
      <c r="T93" s="598"/>
      <c r="U93" s="187">
        <v>23</v>
      </c>
      <c r="V93" s="187">
        <v>1793.419229708463</v>
      </c>
      <c r="W93" s="184">
        <f t="shared" si="57"/>
        <v>77.974749117759259</v>
      </c>
      <c r="X93" s="181">
        <f t="shared" si="61"/>
        <v>6</v>
      </c>
      <c r="Y93" s="598"/>
      <c r="Z93" s="187">
        <v>23</v>
      </c>
      <c r="AA93" s="187">
        <v>1793.0192297084632</v>
      </c>
      <c r="AB93" s="184">
        <f t="shared" si="62"/>
        <v>77.957357813411448</v>
      </c>
      <c r="AC93" s="181">
        <f t="shared" si="63"/>
        <v>6</v>
      </c>
      <c r="AD93" s="598"/>
      <c r="AE93" s="187">
        <v>23</v>
      </c>
      <c r="AF93" s="187">
        <v>1793.4192297084633</v>
      </c>
      <c r="AG93" s="184">
        <f t="shared" si="64"/>
        <v>77.974749117759274</v>
      </c>
      <c r="AH93" s="181">
        <f t="shared" si="65"/>
        <v>5</v>
      </c>
      <c r="AI93" s="598"/>
      <c r="AJ93" s="187">
        <v>23</v>
      </c>
      <c r="AK93" s="187">
        <v>1792.6192297084633</v>
      </c>
      <c r="AL93" s="184">
        <f t="shared" si="66"/>
        <v>77.939966509063623</v>
      </c>
      <c r="AM93" s="181">
        <f t="shared" si="67"/>
        <v>5</v>
      </c>
      <c r="AN93" s="598"/>
      <c r="AO93" s="187">
        <v>23</v>
      </c>
      <c r="AP93" s="187">
        <v>1793.219229708463</v>
      </c>
      <c r="AQ93" s="184">
        <f t="shared" si="68"/>
        <v>77.966053465585347</v>
      </c>
      <c r="AR93" s="181">
        <f t="shared" si="69"/>
        <v>5</v>
      </c>
      <c r="AS93" s="598"/>
      <c r="AT93" s="187">
        <v>23</v>
      </c>
      <c r="AU93" s="187">
        <v>1792.4192297084626</v>
      </c>
      <c r="AV93" s="184">
        <f t="shared" si="70"/>
        <v>77.931270856889682</v>
      </c>
      <c r="AW93" s="181">
        <f t="shared" si="71"/>
        <v>5</v>
      </c>
      <c r="AX93" s="598"/>
    </row>
    <row r="94" spans="2:50" ht="14.25" customHeight="1">
      <c r="B94" s="597"/>
      <c r="C94" s="179">
        <v>4</v>
      </c>
      <c r="D94" s="182" t="s">
        <v>433</v>
      </c>
      <c r="E94" s="179">
        <v>23</v>
      </c>
      <c r="F94" s="179">
        <v>2000</v>
      </c>
      <c r="G94" s="184">
        <f t="shared" si="56"/>
        <v>86.956521739130437</v>
      </c>
      <c r="H94" s="598"/>
      <c r="I94" s="185">
        <f t="shared" si="58"/>
        <v>23</v>
      </c>
      <c r="J94" s="185">
        <f t="shared" si="58"/>
        <v>1794.8290322028229</v>
      </c>
      <c r="K94" s="186">
        <f t="shared" si="58"/>
        <v>78.036044878383606</v>
      </c>
      <c r="L94" s="599"/>
      <c r="M94" s="185">
        <f>RANK(K94, K$91:$K$127)</f>
        <v>4</v>
      </c>
      <c r="N94" s="597"/>
      <c r="O94" s="597"/>
      <c r="P94" s="187">
        <v>23</v>
      </c>
      <c r="Q94" s="187">
        <v>1794.2576036313944</v>
      </c>
      <c r="R94" s="184">
        <f t="shared" si="59"/>
        <v>78.011200157886719</v>
      </c>
      <c r="S94" s="181">
        <f t="shared" si="60"/>
        <v>5</v>
      </c>
      <c r="T94" s="598"/>
      <c r="U94" s="187">
        <v>23</v>
      </c>
      <c r="V94" s="187">
        <v>1795.2576036313944</v>
      </c>
      <c r="W94" s="184">
        <f t="shared" si="57"/>
        <v>78.054678418756282</v>
      </c>
      <c r="X94" s="181">
        <f t="shared" si="61"/>
        <v>4</v>
      </c>
      <c r="Y94" s="598"/>
      <c r="Z94" s="187">
        <v>23</v>
      </c>
      <c r="AA94" s="187">
        <v>1795.4576036313942</v>
      </c>
      <c r="AB94" s="184">
        <f t="shared" si="62"/>
        <v>78.06337407093018</v>
      </c>
      <c r="AC94" s="181">
        <f t="shared" si="63"/>
        <v>4</v>
      </c>
      <c r="AD94" s="598"/>
      <c r="AE94" s="187">
        <v>23</v>
      </c>
      <c r="AF94" s="187">
        <v>1794.8576036313943</v>
      </c>
      <c r="AG94" s="184">
        <f t="shared" si="64"/>
        <v>78.037287114408443</v>
      </c>
      <c r="AH94" s="181">
        <f t="shared" si="65"/>
        <v>4</v>
      </c>
      <c r="AI94" s="598"/>
      <c r="AJ94" s="187">
        <v>23</v>
      </c>
      <c r="AK94" s="187">
        <v>1795.457603631394</v>
      </c>
      <c r="AL94" s="184">
        <f t="shared" si="66"/>
        <v>78.06337407093018</v>
      </c>
      <c r="AM94" s="181">
        <f t="shared" si="67"/>
        <v>4</v>
      </c>
      <c r="AN94" s="598"/>
      <c r="AO94" s="187">
        <v>23</v>
      </c>
      <c r="AP94" s="187">
        <v>1794.4576036313942</v>
      </c>
      <c r="AQ94" s="184">
        <f t="shared" si="68"/>
        <v>78.019895810060618</v>
      </c>
      <c r="AR94" s="181">
        <f t="shared" si="69"/>
        <v>4</v>
      </c>
      <c r="AS94" s="598"/>
      <c r="AT94" s="187">
        <v>23</v>
      </c>
      <c r="AU94" s="187">
        <v>1794.0576036313942</v>
      </c>
      <c r="AV94" s="184">
        <f t="shared" si="70"/>
        <v>78.002504505712793</v>
      </c>
      <c r="AW94" s="181">
        <f t="shared" si="71"/>
        <v>4</v>
      </c>
      <c r="AX94" s="598"/>
    </row>
    <row r="95" spans="2:50" ht="14.25" customHeight="1">
      <c r="B95" s="597"/>
      <c r="C95" s="179">
        <v>5</v>
      </c>
      <c r="D95" s="182" t="s">
        <v>435</v>
      </c>
      <c r="E95" s="179">
        <v>22</v>
      </c>
      <c r="F95" s="179">
        <v>2000</v>
      </c>
      <c r="G95" s="184">
        <f t="shared" si="56"/>
        <v>90.909090909090907</v>
      </c>
      <c r="H95" s="598"/>
      <c r="I95" s="185">
        <f t="shared" si="58"/>
        <v>22</v>
      </c>
      <c r="J95" s="185">
        <f t="shared" si="58"/>
        <v>1791.608247778581</v>
      </c>
      <c r="K95" s="186">
        <f t="shared" si="58"/>
        <v>81.436738535390063</v>
      </c>
      <c r="L95" s="599"/>
      <c r="M95" s="185">
        <f>RANK(K95, K$91:$K$127)</f>
        <v>3</v>
      </c>
      <c r="N95" s="597"/>
      <c r="O95" s="597"/>
      <c r="P95" s="187">
        <v>22</v>
      </c>
      <c r="Q95" s="187">
        <v>1790.9511049214379</v>
      </c>
      <c r="R95" s="184">
        <f t="shared" si="59"/>
        <v>81.406868405519901</v>
      </c>
      <c r="S95" s="181">
        <f t="shared" si="60"/>
        <v>3</v>
      </c>
      <c r="T95" s="598"/>
      <c r="U95" s="187">
        <v>22</v>
      </c>
      <c r="V95" s="187">
        <v>1791.5511049214383</v>
      </c>
      <c r="W95" s="184">
        <f t="shared" si="57"/>
        <v>81.434141132792647</v>
      </c>
      <c r="X95" s="181">
        <f t="shared" si="61"/>
        <v>3</v>
      </c>
      <c r="Y95" s="598"/>
      <c r="Z95" s="187">
        <v>22</v>
      </c>
      <c r="AA95" s="187">
        <v>1791.9511049214382</v>
      </c>
      <c r="AB95" s="184">
        <f t="shared" si="62"/>
        <v>81.452322950974462</v>
      </c>
      <c r="AC95" s="181">
        <f t="shared" si="63"/>
        <v>3</v>
      </c>
      <c r="AD95" s="598"/>
      <c r="AE95" s="187">
        <v>22</v>
      </c>
      <c r="AF95" s="187">
        <v>1791.3511049214383</v>
      </c>
      <c r="AG95" s="184">
        <f t="shared" si="64"/>
        <v>81.425050223701746</v>
      </c>
      <c r="AH95" s="181">
        <f t="shared" si="65"/>
        <v>3</v>
      </c>
      <c r="AI95" s="598"/>
      <c r="AJ95" s="187">
        <v>22</v>
      </c>
      <c r="AK95" s="187">
        <v>1791.7511049214386</v>
      </c>
      <c r="AL95" s="184">
        <f t="shared" si="66"/>
        <v>81.443232041883576</v>
      </c>
      <c r="AM95" s="181">
        <f t="shared" si="67"/>
        <v>3</v>
      </c>
      <c r="AN95" s="598"/>
      <c r="AO95" s="187">
        <v>22</v>
      </c>
      <c r="AP95" s="187">
        <v>1791.5511049214388</v>
      </c>
      <c r="AQ95" s="184">
        <f t="shared" si="68"/>
        <v>81.434141132792675</v>
      </c>
      <c r="AR95" s="181">
        <f t="shared" si="69"/>
        <v>3</v>
      </c>
      <c r="AS95" s="598"/>
      <c r="AT95" s="187">
        <v>22</v>
      </c>
      <c r="AU95" s="187">
        <v>1792.1511049214389</v>
      </c>
      <c r="AV95" s="184">
        <f t="shared" si="70"/>
        <v>81.461413860065406</v>
      </c>
      <c r="AW95" s="181">
        <f t="shared" si="71"/>
        <v>3</v>
      </c>
      <c r="AX95" s="598"/>
    </row>
    <row r="96" spans="2:50" ht="14.25" customHeight="1">
      <c r="B96" s="597"/>
      <c r="C96" s="179">
        <v>6</v>
      </c>
      <c r="D96" s="182" t="s">
        <v>437</v>
      </c>
      <c r="E96" s="179">
        <v>20</v>
      </c>
      <c r="F96" s="179">
        <v>2000</v>
      </c>
      <c r="G96" s="184">
        <f t="shared" si="56"/>
        <v>100</v>
      </c>
      <c r="H96" s="598"/>
      <c r="I96" s="185">
        <f t="shared" si="58"/>
        <v>20</v>
      </c>
      <c r="J96" s="185">
        <f t="shared" si="58"/>
        <v>1791.0344031161947</v>
      </c>
      <c r="K96" s="186">
        <f t="shared" si="58"/>
        <v>89.551720155809718</v>
      </c>
      <c r="L96" s="599"/>
      <c r="M96" s="185">
        <f>RANK(K96, K$91:$K$127)</f>
        <v>2</v>
      </c>
      <c r="N96" s="597"/>
      <c r="O96" s="597"/>
      <c r="P96" s="187">
        <v>20</v>
      </c>
      <c r="Q96" s="187">
        <v>1790.6629745447665</v>
      </c>
      <c r="R96" s="184">
        <f t="shared" si="59"/>
        <v>89.533148727238327</v>
      </c>
      <c r="S96" s="181">
        <f t="shared" si="60"/>
        <v>2</v>
      </c>
      <c r="T96" s="598"/>
      <c r="U96" s="187">
        <v>20</v>
      </c>
      <c r="V96" s="187">
        <v>1791.0629745447666</v>
      </c>
      <c r="W96" s="184">
        <f t="shared" si="57"/>
        <v>89.553148727238323</v>
      </c>
      <c r="X96" s="181">
        <f t="shared" si="61"/>
        <v>2</v>
      </c>
      <c r="Y96" s="598"/>
      <c r="Z96" s="187">
        <v>20</v>
      </c>
      <c r="AA96" s="187">
        <v>1791.0629745447661</v>
      </c>
      <c r="AB96" s="184">
        <f t="shared" si="62"/>
        <v>89.553148727238309</v>
      </c>
      <c r="AC96" s="181">
        <f t="shared" si="63"/>
        <v>2</v>
      </c>
      <c r="AD96" s="598"/>
      <c r="AE96" s="187">
        <v>20</v>
      </c>
      <c r="AF96" s="187">
        <v>1790.462974544766</v>
      </c>
      <c r="AG96" s="184">
        <f t="shared" si="64"/>
        <v>89.523148727238294</v>
      </c>
      <c r="AH96" s="181">
        <f t="shared" si="65"/>
        <v>2</v>
      </c>
      <c r="AI96" s="598"/>
      <c r="AJ96" s="187">
        <v>20</v>
      </c>
      <c r="AK96" s="187">
        <v>1791.0629745447657</v>
      </c>
      <c r="AL96" s="184">
        <f t="shared" si="66"/>
        <v>89.55314872723828</v>
      </c>
      <c r="AM96" s="181">
        <f t="shared" si="67"/>
        <v>2</v>
      </c>
      <c r="AN96" s="598"/>
      <c r="AO96" s="187">
        <v>20</v>
      </c>
      <c r="AP96" s="187">
        <v>1791.8629745447656</v>
      </c>
      <c r="AQ96" s="184">
        <f t="shared" si="68"/>
        <v>89.593148727238287</v>
      </c>
      <c r="AR96" s="181">
        <f t="shared" si="69"/>
        <v>2</v>
      </c>
      <c r="AS96" s="598"/>
      <c r="AT96" s="187">
        <v>20</v>
      </c>
      <c r="AU96" s="187">
        <v>1791.0629745447659</v>
      </c>
      <c r="AV96" s="184">
        <f t="shared" si="70"/>
        <v>89.553148727238295</v>
      </c>
      <c r="AW96" s="181">
        <f t="shared" si="71"/>
        <v>2</v>
      </c>
      <c r="AX96" s="598"/>
    </row>
    <row r="97" spans="2:50" ht="14.25" customHeight="1">
      <c r="B97" s="597"/>
      <c r="C97" s="179">
        <v>7</v>
      </c>
      <c r="D97" s="182" t="s">
        <v>508</v>
      </c>
      <c r="E97" s="179">
        <v>25</v>
      </c>
      <c r="F97" s="179">
        <v>2000</v>
      </c>
      <c r="G97" s="184">
        <f t="shared" si="56"/>
        <v>80</v>
      </c>
      <c r="H97" s="598"/>
      <c r="I97" s="185">
        <f t="shared" si="58"/>
        <v>25</v>
      </c>
      <c r="J97" s="185">
        <f t="shared" si="58"/>
        <v>1791.614593548127</v>
      </c>
      <c r="K97" s="186">
        <f t="shared" si="58"/>
        <v>71.6645837419251</v>
      </c>
      <c r="L97" s="599"/>
      <c r="M97" s="185">
        <f>RANK(K97, K$91:$K$127)</f>
        <v>9</v>
      </c>
      <c r="N97" s="597"/>
      <c r="O97" s="597"/>
      <c r="P97" s="187">
        <v>25</v>
      </c>
      <c r="Q97" s="187">
        <v>1790.7860221195556</v>
      </c>
      <c r="R97" s="184">
        <f t="shared" si="59"/>
        <v>71.631440884782222</v>
      </c>
      <c r="S97" s="181">
        <f t="shared" si="60"/>
        <v>9</v>
      </c>
      <c r="T97" s="598"/>
      <c r="U97" s="187">
        <v>25</v>
      </c>
      <c r="V97" s="187">
        <v>1791.3860221195555</v>
      </c>
      <c r="W97" s="184">
        <f t="shared" si="57"/>
        <v>71.655440884782223</v>
      </c>
      <c r="X97" s="181">
        <f t="shared" si="61"/>
        <v>9</v>
      </c>
      <c r="Y97" s="598"/>
      <c r="Z97" s="187">
        <v>25</v>
      </c>
      <c r="AA97" s="187">
        <v>1791.3860221195555</v>
      </c>
      <c r="AB97" s="184">
        <f t="shared" si="62"/>
        <v>71.655440884782223</v>
      </c>
      <c r="AC97" s="181">
        <f t="shared" si="63"/>
        <v>9</v>
      </c>
      <c r="AD97" s="598"/>
      <c r="AE97" s="187">
        <v>25</v>
      </c>
      <c r="AF97" s="187">
        <v>1792.1860221195557</v>
      </c>
      <c r="AG97" s="184">
        <f t="shared" si="64"/>
        <v>71.687440884782234</v>
      </c>
      <c r="AH97" s="181">
        <f t="shared" si="65"/>
        <v>9</v>
      </c>
      <c r="AI97" s="598"/>
      <c r="AJ97" s="187">
        <v>25</v>
      </c>
      <c r="AK97" s="187">
        <v>1792.1860221195557</v>
      </c>
      <c r="AL97" s="184">
        <f t="shared" si="66"/>
        <v>71.687440884782234</v>
      </c>
      <c r="AM97" s="181">
        <f t="shared" si="67"/>
        <v>9</v>
      </c>
      <c r="AN97" s="598"/>
      <c r="AO97" s="187">
        <v>25</v>
      </c>
      <c r="AP97" s="187">
        <v>1791.9860221195559</v>
      </c>
      <c r="AQ97" s="184">
        <f t="shared" si="68"/>
        <v>71.679440884782238</v>
      </c>
      <c r="AR97" s="181">
        <f t="shared" si="69"/>
        <v>9</v>
      </c>
      <c r="AS97" s="598"/>
      <c r="AT97" s="187">
        <v>25</v>
      </c>
      <c r="AU97" s="187">
        <v>1791.3860221195559</v>
      </c>
      <c r="AV97" s="184">
        <f t="shared" si="70"/>
        <v>71.655440884782237</v>
      </c>
      <c r="AW97" s="181">
        <f t="shared" si="71"/>
        <v>9</v>
      </c>
      <c r="AX97" s="598"/>
    </row>
    <row r="98" spans="2:50" ht="14.25" customHeight="1">
      <c r="B98" s="597"/>
      <c r="C98" s="179">
        <v>8</v>
      </c>
      <c r="D98" s="182" t="s">
        <v>580</v>
      </c>
      <c r="E98" s="179">
        <v>20</v>
      </c>
      <c r="F98" s="179">
        <v>2000</v>
      </c>
      <c r="G98" s="184">
        <f t="shared" si="56"/>
        <v>100</v>
      </c>
      <c r="H98" s="598"/>
      <c r="I98" s="185">
        <f t="shared" si="58"/>
        <v>20</v>
      </c>
      <c r="J98" s="185">
        <f t="shared" si="58"/>
        <v>1794.8884430108296</v>
      </c>
      <c r="K98" s="186">
        <f t="shared" si="58"/>
        <v>89.744422150541482</v>
      </c>
      <c r="L98" s="599"/>
      <c r="M98" s="185">
        <f>RANK(K98, K$91:$K$127)</f>
        <v>1</v>
      </c>
      <c r="N98" s="597"/>
      <c r="O98" s="597"/>
      <c r="P98" s="187">
        <v>20</v>
      </c>
      <c r="Q98" s="187">
        <v>1793.3455858679724</v>
      </c>
      <c r="R98" s="184">
        <f t="shared" si="59"/>
        <v>89.667279293398622</v>
      </c>
      <c r="S98" s="181">
        <f t="shared" si="60"/>
        <v>1</v>
      </c>
      <c r="T98" s="598"/>
      <c r="U98" s="187">
        <v>20</v>
      </c>
      <c r="V98" s="187">
        <v>1793.9455858679723</v>
      </c>
      <c r="W98" s="184">
        <f t="shared" si="57"/>
        <v>89.697279293398623</v>
      </c>
      <c r="X98" s="181">
        <f t="shared" si="61"/>
        <v>1</v>
      </c>
      <c r="Y98" s="598"/>
      <c r="Z98" s="187">
        <v>20</v>
      </c>
      <c r="AA98" s="187">
        <v>1793.5455858679722</v>
      </c>
      <c r="AB98" s="184">
        <f t="shared" si="62"/>
        <v>89.677279293398612</v>
      </c>
      <c r="AC98" s="181">
        <f t="shared" si="63"/>
        <v>1</v>
      </c>
      <c r="AD98" s="598"/>
      <c r="AE98" s="187">
        <v>20</v>
      </c>
      <c r="AF98" s="187">
        <v>1794.5455858679722</v>
      </c>
      <c r="AG98" s="184">
        <f t="shared" si="64"/>
        <v>89.72727929339861</v>
      </c>
      <c r="AH98" s="181">
        <f t="shared" si="65"/>
        <v>1</v>
      </c>
      <c r="AI98" s="598"/>
      <c r="AJ98" s="187">
        <v>20</v>
      </c>
      <c r="AK98" s="187">
        <v>1795.345585867972</v>
      </c>
      <c r="AL98" s="184">
        <f t="shared" si="66"/>
        <v>89.767279293398602</v>
      </c>
      <c r="AM98" s="181">
        <f t="shared" si="67"/>
        <v>1</v>
      </c>
      <c r="AN98" s="598"/>
      <c r="AO98" s="187">
        <v>20</v>
      </c>
      <c r="AP98" s="187">
        <v>1796.345585867972</v>
      </c>
      <c r="AQ98" s="184">
        <f t="shared" si="68"/>
        <v>89.817279293398599</v>
      </c>
      <c r="AR98" s="181">
        <f t="shared" si="69"/>
        <v>1</v>
      </c>
      <c r="AS98" s="598"/>
      <c r="AT98" s="187">
        <v>20</v>
      </c>
      <c r="AU98" s="187">
        <v>1797.1455858679719</v>
      </c>
      <c r="AV98" s="184">
        <f t="shared" si="70"/>
        <v>89.857279293398591</v>
      </c>
      <c r="AW98" s="181">
        <f t="shared" si="71"/>
        <v>1</v>
      </c>
      <c r="AX98" s="598"/>
    </row>
    <row r="99" spans="2:50" ht="14.25" customHeight="1">
      <c r="B99" s="597"/>
      <c r="C99" s="179">
        <v>9</v>
      </c>
      <c r="D99" s="182" t="s">
        <v>710</v>
      </c>
      <c r="E99" s="179">
        <v>24</v>
      </c>
      <c r="F99" s="179">
        <v>2000</v>
      </c>
      <c r="G99" s="184">
        <f t="shared" si="56"/>
        <v>83.333333333333329</v>
      </c>
      <c r="H99" s="598"/>
      <c r="I99" s="185">
        <f t="shared" si="58"/>
        <v>24</v>
      </c>
      <c r="J99" s="185">
        <f t="shared" si="58"/>
        <v>1787.770488950031</v>
      </c>
      <c r="K99" s="186">
        <f t="shared" si="58"/>
        <v>74.49043703958462</v>
      </c>
      <c r="L99" s="599"/>
      <c r="M99" s="185">
        <f>RANK(K99, K$91:$K$127)</f>
        <v>8</v>
      </c>
      <c r="N99" s="597"/>
      <c r="O99" s="597"/>
      <c r="P99" s="187">
        <v>24</v>
      </c>
      <c r="Q99" s="187">
        <v>1789.6847746643164</v>
      </c>
      <c r="R99" s="184">
        <f t="shared" si="59"/>
        <v>74.570198944346515</v>
      </c>
      <c r="S99" s="181">
        <f t="shared" si="60"/>
        <v>8</v>
      </c>
      <c r="T99" s="598"/>
      <c r="U99" s="187">
        <v>24</v>
      </c>
      <c r="V99" s="187">
        <v>1788.6847746643164</v>
      </c>
      <c r="W99" s="184">
        <f t="shared" si="57"/>
        <v>74.528532277679844</v>
      </c>
      <c r="X99" s="181">
        <f t="shared" si="61"/>
        <v>8</v>
      </c>
      <c r="Y99" s="598"/>
      <c r="Z99" s="187">
        <v>24</v>
      </c>
      <c r="AA99" s="187">
        <v>1787.6847746643166</v>
      </c>
      <c r="AB99" s="184">
        <f t="shared" si="62"/>
        <v>74.486865611013187</v>
      </c>
      <c r="AC99" s="181">
        <f t="shared" si="63"/>
        <v>8</v>
      </c>
      <c r="AD99" s="598"/>
      <c r="AE99" s="187">
        <v>24</v>
      </c>
      <c r="AF99" s="187">
        <v>1786.8847746643166</v>
      </c>
      <c r="AG99" s="184">
        <f t="shared" si="64"/>
        <v>74.453532277679855</v>
      </c>
      <c r="AH99" s="181">
        <f t="shared" si="65"/>
        <v>8</v>
      </c>
      <c r="AI99" s="598"/>
      <c r="AJ99" s="187">
        <v>24</v>
      </c>
      <c r="AK99" s="187">
        <v>1786.6847746643166</v>
      </c>
      <c r="AL99" s="184">
        <f t="shared" si="66"/>
        <v>74.445198944346529</v>
      </c>
      <c r="AM99" s="181">
        <f t="shared" si="67"/>
        <v>8</v>
      </c>
      <c r="AN99" s="598"/>
      <c r="AO99" s="187">
        <v>24</v>
      </c>
      <c r="AP99" s="187">
        <v>1787.284774664317</v>
      </c>
      <c r="AQ99" s="184">
        <f t="shared" si="68"/>
        <v>74.470198944346535</v>
      </c>
      <c r="AR99" s="181">
        <f t="shared" si="69"/>
        <v>8</v>
      </c>
      <c r="AS99" s="598"/>
      <c r="AT99" s="187">
        <v>24</v>
      </c>
      <c r="AU99" s="187">
        <v>1787.484774664317</v>
      </c>
      <c r="AV99" s="184">
        <f t="shared" si="70"/>
        <v>74.478532277679875</v>
      </c>
      <c r="AW99" s="181">
        <f t="shared" si="71"/>
        <v>8</v>
      </c>
      <c r="AX99" s="598"/>
    </row>
    <row r="100" spans="2:50" ht="14.25" customHeight="1">
      <c r="B100" s="597"/>
      <c r="C100" s="179">
        <v>10</v>
      </c>
      <c r="D100" s="182"/>
      <c r="E100" s="179"/>
      <c r="F100" s="179"/>
      <c r="G100" s="184"/>
      <c r="H100" s="598"/>
      <c r="I100" s="185"/>
      <c r="J100" s="185"/>
      <c r="K100" s="186"/>
      <c r="L100" s="599"/>
      <c r="M100" s="185" t="e">
        <f>RANK(K100, K$91:$K$127)</f>
        <v>#N/A</v>
      </c>
      <c r="N100" s="597"/>
      <c r="O100" s="597"/>
      <c r="P100" s="187"/>
      <c r="Q100" s="187"/>
      <c r="R100" s="184"/>
      <c r="S100" s="181" t="e">
        <f t="shared" si="60"/>
        <v>#N/A</v>
      </c>
      <c r="T100" s="598"/>
      <c r="U100" s="187"/>
      <c r="V100" s="187"/>
      <c r="W100" s="184"/>
      <c r="X100" s="181" t="e">
        <f t="shared" si="61"/>
        <v>#N/A</v>
      </c>
      <c r="Y100" s="598"/>
      <c r="Z100" s="187"/>
      <c r="AA100" s="187"/>
      <c r="AB100" s="184"/>
      <c r="AC100" s="181" t="e">
        <f t="shared" si="63"/>
        <v>#N/A</v>
      </c>
      <c r="AD100" s="598"/>
      <c r="AE100" s="187"/>
      <c r="AF100" s="187"/>
      <c r="AG100" s="184"/>
      <c r="AH100" s="181" t="e">
        <f t="shared" si="65"/>
        <v>#N/A</v>
      </c>
      <c r="AI100" s="598"/>
      <c r="AJ100" s="187"/>
      <c r="AK100" s="187"/>
      <c r="AL100" s="184"/>
      <c r="AM100" s="181" t="e">
        <f t="shared" si="67"/>
        <v>#N/A</v>
      </c>
      <c r="AN100" s="598"/>
      <c r="AO100" s="187"/>
      <c r="AP100" s="187"/>
      <c r="AQ100" s="184"/>
      <c r="AR100" s="181" t="e">
        <f t="shared" si="69"/>
        <v>#N/A</v>
      </c>
      <c r="AS100" s="598"/>
      <c r="AT100" s="187"/>
      <c r="AU100" s="187"/>
      <c r="AV100" s="184"/>
      <c r="AW100" s="181" t="e">
        <f t="shared" si="71"/>
        <v>#N/A</v>
      </c>
      <c r="AX100" s="598"/>
    </row>
    <row r="101" spans="2:50" ht="14.25" customHeight="1">
      <c r="B101" s="597"/>
      <c r="C101" s="179">
        <v>11</v>
      </c>
      <c r="D101" s="182"/>
      <c r="E101" s="179"/>
      <c r="F101" s="179"/>
      <c r="G101" s="184"/>
      <c r="H101" s="598"/>
      <c r="I101" s="185"/>
      <c r="J101" s="185"/>
      <c r="K101" s="186"/>
      <c r="L101" s="599"/>
      <c r="M101" s="185" t="e">
        <f>RANK(K101, K$91:$K$127)</f>
        <v>#N/A</v>
      </c>
      <c r="N101" s="597"/>
      <c r="O101" s="597"/>
      <c r="P101" s="187"/>
      <c r="Q101" s="187"/>
      <c r="R101" s="184"/>
      <c r="S101" s="181" t="e">
        <f t="shared" si="60"/>
        <v>#N/A</v>
      </c>
      <c r="T101" s="598"/>
      <c r="U101" s="187"/>
      <c r="V101" s="187"/>
      <c r="W101" s="184"/>
      <c r="X101" s="181" t="e">
        <f t="shared" si="61"/>
        <v>#N/A</v>
      </c>
      <c r="Y101" s="598"/>
      <c r="Z101" s="187"/>
      <c r="AA101" s="187"/>
      <c r="AB101" s="184"/>
      <c r="AC101" s="181" t="e">
        <f t="shared" si="63"/>
        <v>#N/A</v>
      </c>
      <c r="AD101" s="598"/>
      <c r="AE101" s="187"/>
      <c r="AF101" s="187"/>
      <c r="AG101" s="184"/>
      <c r="AH101" s="181" t="e">
        <f t="shared" si="65"/>
        <v>#N/A</v>
      </c>
      <c r="AI101" s="598"/>
      <c r="AJ101" s="187"/>
      <c r="AK101" s="187"/>
      <c r="AL101" s="184"/>
      <c r="AM101" s="181" t="e">
        <f t="shared" si="67"/>
        <v>#N/A</v>
      </c>
      <c r="AN101" s="598"/>
      <c r="AO101" s="187"/>
      <c r="AP101" s="187"/>
      <c r="AQ101" s="184"/>
      <c r="AR101" s="181" t="e">
        <f t="shared" si="69"/>
        <v>#N/A</v>
      </c>
      <c r="AS101" s="598"/>
      <c r="AT101" s="187"/>
      <c r="AU101" s="187"/>
      <c r="AV101" s="184"/>
      <c r="AW101" s="181" t="e">
        <f t="shared" si="71"/>
        <v>#N/A</v>
      </c>
      <c r="AX101" s="598"/>
    </row>
    <row r="102" spans="2:50" ht="14.25" customHeight="1">
      <c r="B102" s="597"/>
      <c r="C102" s="179">
        <v>12</v>
      </c>
      <c r="D102" s="182"/>
      <c r="E102" s="179"/>
      <c r="F102" s="179"/>
      <c r="G102" s="184"/>
      <c r="H102" s="598"/>
      <c r="I102" s="185"/>
      <c r="J102" s="185"/>
      <c r="K102" s="186"/>
      <c r="L102" s="599"/>
      <c r="M102" s="185" t="e">
        <f>RANK(K102, K$91:$K$127)</f>
        <v>#N/A</v>
      </c>
      <c r="N102" s="597"/>
      <c r="O102" s="597"/>
      <c r="P102" s="187"/>
      <c r="Q102" s="187"/>
      <c r="R102" s="184"/>
      <c r="S102" s="181" t="e">
        <f t="shared" si="60"/>
        <v>#N/A</v>
      </c>
      <c r="T102" s="598"/>
      <c r="U102" s="187"/>
      <c r="V102" s="187"/>
      <c r="W102" s="184"/>
      <c r="X102" s="181" t="e">
        <f t="shared" si="61"/>
        <v>#N/A</v>
      </c>
      <c r="Y102" s="598"/>
      <c r="Z102" s="187"/>
      <c r="AA102" s="187"/>
      <c r="AB102" s="184"/>
      <c r="AC102" s="181" t="e">
        <f t="shared" si="63"/>
        <v>#N/A</v>
      </c>
      <c r="AD102" s="598"/>
      <c r="AE102" s="187"/>
      <c r="AF102" s="187"/>
      <c r="AG102" s="184"/>
      <c r="AH102" s="181" t="e">
        <f t="shared" si="65"/>
        <v>#N/A</v>
      </c>
      <c r="AI102" s="598"/>
      <c r="AJ102" s="187"/>
      <c r="AK102" s="187"/>
      <c r="AL102" s="184"/>
      <c r="AM102" s="181" t="e">
        <f t="shared" si="67"/>
        <v>#N/A</v>
      </c>
      <c r="AN102" s="598"/>
      <c r="AO102" s="187"/>
      <c r="AP102" s="187"/>
      <c r="AQ102" s="184"/>
      <c r="AR102" s="181" t="e">
        <f t="shared" si="69"/>
        <v>#N/A</v>
      </c>
      <c r="AS102" s="598"/>
      <c r="AT102" s="187"/>
      <c r="AU102" s="187"/>
      <c r="AV102" s="184"/>
      <c r="AW102" s="181" t="e">
        <f t="shared" si="71"/>
        <v>#N/A</v>
      </c>
      <c r="AX102" s="598"/>
    </row>
    <row r="103" spans="2:50" ht="14.25" customHeight="1">
      <c r="B103" s="597"/>
      <c r="C103" s="179">
        <v>13</v>
      </c>
      <c r="D103" s="182"/>
      <c r="E103" s="179"/>
      <c r="F103" s="179"/>
      <c r="G103" s="184"/>
      <c r="H103" s="598"/>
      <c r="I103" s="185"/>
      <c r="J103" s="185"/>
      <c r="K103" s="186"/>
      <c r="L103" s="599"/>
      <c r="M103" s="185" t="e">
        <f>RANK(K103, K$91:$K$127)</f>
        <v>#N/A</v>
      </c>
      <c r="N103" s="597"/>
      <c r="O103" s="597"/>
      <c r="P103" s="187"/>
      <c r="Q103" s="187"/>
      <c r="R103" s="184"/>
      <c r="S103" s="181" t="e">
        <f t="shared" si="60"/>
        <v>#N/A</v>
      </c>
      <c r="T103" s="598"/>
      <c r="U103" s="187"/>
      <c r="V103" s="187"/>
      <c r="W103" s="184"/>
      <c r="X103" s="181"/>
      <c r="Y103" s="598"/>
      <c r="Z103" s="187"/>
      <c r="AA103" s="187"/>
      <c r="AB103" s="184"/>
      <c r="AC103" s="181"/>
      <c r="AD103" s="598"/>
      <c r="AE103" s="187"/>
      <c r="AF103" s="187"/>
      <c r="AG103" s="184"/>
      <c r="AH103" s="181"/>
      <c r="AI103" s="598"/>
      <c r="AJ103" s="187"/>
      <c r="AK103" s="187"/>
      <c r="AL103" s="184"/>
      <c r="AM103" s="181"/>
      <c r="AN103" s="598"/>
      <c r="AO103" s="187"/>
      <c r="AP103" s="187"/>
      <c r="AQ103" s="184"/>
      <c r="AR103" s="181"/>
      <c r="AS103" s="598"/>
      <c r="AT103" s="187"/>
      <c r="AU103" s="187"/>
      <c r="AV103" s="184"/>
      <c r="AW103" s="181"/>
      <c r="AX103" s="598"/>
    </row>
    <row r="104" spans="2:50" ht="14.25" customHeight="1">
      <c r="B104" s="597"/>
      <c r="C104" s="179">
        <v>14</v>
      </c>
      <c r="D104" s="182"/>
      <c r="E104" s="179"/>
      <c r="F104" s="179"/>
      <c r="G104" s="184"/>
      <c r="H104" s="598"/>
      <c r="I104" s="185"/>
      <c r="J104" s="185"/>
      <c r="K104" s="186"/>
      <c r="L104" s="599"/>
      <c r="M104" s="185" t="e">
        <f>RANK(K104, K$91:$K$127)</f>
        <v>#N/A</v>
      </c>
      <c r="N104" s="597"/>
      <c r="O104" s="597"/>
      <c r="P104" s="187"/>
      <c r="Q104" s="187"/>
      <c r="R104" s="184"/>
      <c r="S104" s="181" t="e">
        <f t="shared" si="60"/>
        <v>#N/A</v>
      </c>
      <c r="T104" s="598"/>
      <c r="U104" s="187"/>
      <c r="V104" s="187"/>
      <c r="W104" s="184"/>
      <c r="X104" s="181" t="e">
        <f t="shared" si="61"/>
        <v>#N/A</v>
      </c>
      <c r="Y104" s="598"/>
      <c r="Z104" s="187"/>
      <c r="AA104" s="187"/>
      <c r="AB104" s="184"/>
      <c r="AC104" s="181" t="e">
        <f t="shared" si="63"/>
        <v>#N/A</v>
      </c>
      <c r="AD104" s="598"/>
      <c r="AE104" s="187"/>
      <c r="AF104" s="187"/>
      <c r="AG104" s="184"/>
      <c r="AH104" s="181" t="e">
        <f t="shared" si="65"/>
        <v>#N/A</v>
      </c>
      <c r="AI104" s="598"/>
      <c r="AJ104" s="187"/>
      <c r="AK104" s="187"/>
      <c r="AL104" s="184"/>
      <c r="AM104" s="181" t="e">
        <f t="shared" si="67"/>
        <v>#N/A</v>
      </c>
      <c r="AN104" s="598"/>
      <c r="AO104" s="187"/>
      <c r="AP104" s="187"/>
      <c r="AQ104" s="184"/>
      <c r="AR104" s="181" t="e">
        <f t="shared" si="69"/>
        <v>#N/A</v>
      </c>
      <c r="AS104" s="598"/>
      <c r="AT104" s="187"/>
      <c r="AU104" s="187"/>
      <c r="AV104" s="184"/>
      <c r="AW104" s="181" t="e">
        <f t="shared" si="71"/>
        <v>#N/A</v>
      </c>
      <c r="AX104" s="598"/>
    </row>
    <row r="105" spans="2:50" ht="14.25" customHeight="1">
      <c r="B105" s="597"/>
      <c r="C105" s="179">
        <v>15</v>
      </c>
      <c r="D105" s="182"/>
      <c r="E105" s="179"/>
      <c r="F105" s="179"/>
      <c r="G105" s="184"/>
      <c r="H105" s="598"/>
      <c r="I105" s="185"/>
      <c r="J105" s="185"/>
      <c r="K105" s="186"/>
      <c r="L105" s="599"/>
      <c r="M105" s="185" t="e">
        <f>RANK(K105, K$91:$K$127)</f>
        <v>#N/A</v>
      </c>
      <c r="N105" s="597"/>
      <c r="O105" s="597"/>
      <c r="P105" s="187"/>
      <c r="Q105" s="187"/>
      <c r="R105" s="184"/>
      <c r="S105" s="181" t="e">
        <f t="shared" si="60"/>
        <v>#N/A</v>
      </c>
      <c r="T105" s="598"/>
      <c r="U105" s="187"/>
      <c r="V105" s="187"/>
      <c r="W105" s="184"/>
      <c r="X105" s="181" t="e">
        <f t="shared" si="61"/>
        <v>#N/A</v>
      </c>
      <c r="Y105" s="598"/>
      <c r="Z105" s="187"/>
      <c r="AA105" s="187"/>
      <c r="AB105" s="184"/>
      <c r="AC105" s="181" t="e">
        <f t="shared" si="63"/>
        <v>#N/A</v>
      </c>
      <c r="AD105" s="598"/>
      <c r="AE105" s="187"/>
      <c r="AF105" s="187"/>
      <c r="AG105" s="184"/>
      <c r="AH105" s="181" t="e">
        <f t="shared" si="65"/>
        <v>#N/A</v>
      </c>
      <c r="AI105" s="598"/>
      <c r="AJ105" s="187"/>
      <c r="AK105" s="187"/>
      <c r="AL105" s="184"/>
      <c r="AM105" s="181" t="e">
        <f t="shared" si="67"/>
        <v>#N/A</v>
      </c>
      <c r="AN105" s="598"/>
      <c r="AO105" s="187"/>
      <c r="AP105" s="187"/>
      <c r="AQ105" s="184"/>
      <c r="AR105" s="181" t="e">
        <f t="shared" si="69"/>
        <v>#N/A</v>
      </c>
      <c r="AS105" s="598"/>
      <c r="AT105" s="187"/>
      <c r="AU105" s="187"/>
      <c r="AV105" s="184"/>
      <c r="AW105" s="181" t="e">
        <f t="shared" si="71"/>
        <v>#N/A</v>
      </c>
      <c r="AX105" s="598"/>
    </row>
    <row r="106" spans="2:50">
      <c r="M106" s="185" t="e">
        <f>RANK(K106, K$91:$K$127)</f>
        <v>#N/A</v>
      </c>
      <c r="S106" s="181" t="e">
        <f t="shared" si="60"/>
        <v>#N/A</v>
      </c>
      <c r="X106" s="181" t="e">
        <f t="shared" si="61"/>
        <v>#N/A</v>
      </c>
      <c r="AC106" s="181" t="e">
        <f t="shared" si="63"/>
        <v>#N/A</v>
      </c>
      <c r="AH106" s="181" t="e">
        <f t="shared" si="65"/>
        <v>#N/A</v>
      </c>
      <c r="AM106" s="181" t="e">
        <f t="shared" si="67"/>
        <v>#N/A</v>
      </c>
      <c r="AR106" s="181" t="e">
        <f t="shared" si="69"/>
        <v>#N/A</v>
      </c>
      <c r="AW106" s="181" t="e">
        <f t="shared" si="71"/>
        <v>#N/A</v>
      </c>
    </row>
    <row r="107" spans="2:50">
      <c r="M107" s="185" t="e">
        <f>RANK(K107, K$91:$K$127)</f>
        <v>#N/A</v>
      </c>
      <c r="S107" s="181" t="e">
        <f t="shared" si="60"/>
        <v>#N/A</v>
      </c>
      <c r="X107" s="181" t="e">
        <f t="shared" si="61"/>
        <v>#N/A</v>
      </c>
      <c r="AC107" s="181" t="e">
        <f t="shared" si="63"/>
        <v>#N/A</v>
      </c>
      <c r="AH107" s="181" t="e">
        <f t="shared" si="65"/>
        <v>#N/A</v>
      </c>
      <c r="AM107" s="181" t="e">
        <f t="shared" si="67"/>
        <v>#N/A</v>
      </c>
      <c r="AR107" s="181" t="e">
        <f t="shared" si="69"/>
        <v>#N/A</v>
      </c>
      <c r="AW107" s="181" t="e">
        <f t="shared" si="71"/>
        <v>#N/A</v>
      </c>
    </row>
    <row r="108" spans="2:50">
      <c r="M108" s="185" t="e">
        <f>RANK(K108, K$91:$K$127)</f>
        <v>#N/A</v>
      </c>
      <c r="S108" s="181" t="e">
        <f t="shared" si="60"/>
        <v>#N/A</v>
      </c>
      <c r="X108" s="181" t="e">
        <f t="shared" si="61"/>
        <v>#N/A</v>
      </c>
      <c r="AC108" s="181" t="e">
        <f t="shared" si="63"/>
        <v>#N/A</v>
      </c>
      <c r="AH108" s="181" t="e">
        <f t="shared" si="65"/>
        <v>#N/A</v>
      </c>
      <c r="AM108" s="181" t="e">
        <f t="shared" si="67"/>
        <v>#N/A</v>
      </c>
      <c r="AR108" s="181" t="e">
        <f t="shared" si="69"/>
        <v>#N/A</v>
      </c>
      <c r="AW108" s="181" t="e">
        <f t="shared" si="71"/>
        <v>#N/A</v>
      </c>
    </row>
    <row r="109" spans="2:50">
      <c r="M109" s="185" t="e">
        <f>RANK(K109, K$91:$K$127)</f>
        <v>#N/A</v>
      </c>
      <c r="S109" s="181" t="e">
        <f t="shared" si="60"/>
        <v>#N/A</v>
      </c>
      <c r="X109" s="181" t="e">
        <f t="shared" si="61"/>
        <v>#N/A</v>
      </c>
      <c r="AC109" s="181" t="e">
        <f t="shared" si="63"/>
        <v>#N/A</v>
      </c>
      <c r="AH109" s="181" t="e">
        <f t="shared" si="65"/>
        <v>#N/A</v>
      </c>
      <c r="AM109" s="181" t="e">
        <f t="shared" si="67"/>
        <v>#N/A</v>
      </c>
      <c r="AR109" s="181" t="e">
        <f t="shared" si="69"/>
        <v>#N/A</v>
      </c>
      <c r="AW109" s="181" t="e">
        <f t="shared" si="71"/>
        <v>#N/A</v>
      </c>
    </row>
    <row r="110" spans="2:50">
      <c r="M110" s="185" t="e">
        <f>RANK(K110, K$91:$K$127)</f>
        <v>#N/A</v>
      </c>
      <c r="S110" s="181" t="e">
        <f t="shared" si="60"/>
        <v>#N/A</v>
      </c>
      <c r="X110" s="181" t="e">
        <f t="shared" si="61"/>
        <v>#N/A</v>
      </c>
      <c r="AC110" s="181" t="e">
        <f t="shared" si="63"/>
        <v>#N/A</v>
      </c>
      <c r="AH110" s="181" t="e">
        <f t="shared" si="65"/>
        <v>#N/A</v>
      </c>
      <c r="AM110" s="181" t="e">
        <f t="shared" si="67"/>
        <v>#N/A</v>
      </c>
      <c r="AR110" s="181" t="e">
        <f t="shared" si="69"/>
        <v>#N/A</v>
      </c>
      <c r="AW110" s="181" t="e">
        <f t="shared" si="71"/>
        <v>#N/A</v>
      </c>
    </row>
    <row r="111" spans="2:50">
      <c r="M111" s="185" t="e">
        <f>RANK(K111, K$91:$K$127)</f>
        <v>#N/A</v>
      </c>
      <c r="S111" s="181" t="e">
        <f t="shared" si="60"/>
        <v>#N/A</v>
      </c>
      <c r="X111" s="181" t="e">
        <f t="shared" si="61"/>
        <v>#N/A</v>
      </c>
      <c r="AC111" s="181" t="e">
        <f t="shared" si="63"/>
        <v>#N/A</v>
      </c>
      <c r="AH111" s="181" t="e">
        <f t="shared" si="65"/>
        <v>#N/A</v>
      </c>
      <c r="AM111" s="181" t="e">
        <f t="shared" si="67"/>
        <v>#N/A</v>
      </c>
      <c r="AR111" s="181" t="e">
        <f t="shared" si="69"/>
        <v>#N/A</v>
      </c>
      <c r="AW111" s="181" t="e">
        <f t="shared" si="71"/>
        <v>#N/A</v>
      </c>
    </row>
    <row r="112" spans="2:50">
      <c r="M112" s="185" t="e">
        <f>RANK(K112, K$91:$K$127)</f>
        <v>#N/A</v>
      </c>
      <c r="S112" s="181" t="e">
        <f t="shared" si="60"/>
        <v>#N/A</v>
      </c>
      <c r="X112" s="181" t="e">
        <f t="shared" si="61"/>
        <v>#N/A</v>
      </c>
      <c r="AC112" s="181" t="e">
        <f t="shared" si="63"/>
        <v>#N/A</v>
      </c>
      <c r="AH112" s="181" t="e">
        <f t="shared" si="65"/>
        <v>#N/A</v>
      </c>
      <c r="AM112" s="181" t="e">
        <f t="shared" si="67"/>
        <v>#N/A</v>
      </c>
      <c r="AR112" s="181" t="e">
        <f t="shared" si="69"/>
        <v>#N/A</v>
      </c>
      <c r="AW112" s="181" t="e">
        <f t="shared" si="71"/>
        <v>#N/A</v>
      </c>
    </row>
    <row r="113" spans="13:49">
      <c r="M113" s="185" t="e">
        <f>RANK(K113, K$91:$K$127)</f>
        <v>#N/A</v>
      </c>
      <c r="S113" s="181" t="e">
        <f t="shared" si="60"/>
        <v>#N/A</v>
      </c>
      <c r="X113" s="181" t="e">
        <f t="shared" si="61"/>
        <v>#N/A</v>
      </c>
      <c r="AC113" s="181" t="e">
        <f t="shared" si="63"/>
        <v>#N/A</v>
      </c>
      <c r="AH113" s="181" t="e">
        <f t="shared" si="65"/>
        <v>#N/A</v>
      </c>
      <c r="AM113" s="181" t="e">
        <f t="shared" si="67"/>
        <v>#N/A</v>
      </c>
      <c r="AR113" s="181" t="e">
        <f t="shared" si="69"/>
        <v>#N/A</v>
      </c>
      <c r="AW113" s="181" t="e">
        <f t="shared" si="71"/>
        <v>#N/A</v>
      </c>
    </row>
    <row r="114" spans="13:49">
      <c r="M114" s="185" t="e">
        <f>RANK(K114, K$91:$K$127)</f>
        <v>#N/A</v>
      </c>
      <c r="S114" s="181" t="e">
        <f t="shared" si="60"/>
        <v>#N/A</v>
      </c>
      <c r="X114" s="181" t="e">
        <f t="shared" si="61"/>
        <v>#N/A</v>
      </c>
      <c r="AC114" s="181" t="e">
        <f t="shared" si="63"/>
        <v>#N/A</v>
      </c>
      <c r="AH114" s="181" t="e">
        <f t="shared" si="65"/>
        <v>#N/A</v>
      </c>
      <c r="AM114" s="181" t="e">
        <f t="shared" si="67"/>
        <v>#N/A</v>
      </c>
      <c r="AR114" s="181" t="e">
        <f t="shared" si="69"/>
        <v>#N/A</v>
      </c>
      <c r="AW114" s="181" t="e">
        <f t="shared" si="71"/>
        <v>#N/A</v>
      </c>
    </row>
    <row r="115" spans="13:49">
      <c r="M115" s="185" t="e">
        <f>RANK(K115, K$91:$K$127)</f>
        <v>#N/A</v>
      </c>
      <c r="S115" s="181" t="e">
        <f t="shared" si="60"/>
        <v>#N/A</v>
      </c>
      <c r="X115" s="181" t="e">
        <f t="shared" si="61"/>
        <v>#N/A</v>
      </c>
      <c r="AC115" s="181" t="e">
        <f t="shared" si="63"/>
        <v>#N/A</v>
      </c>
      <c r="AH115" s="181" t="e">
        <f t="shared" si="65"/>
        <v>#N/A</v>
      </c>
      <c r="AM115" s="181" t="e">
        <f t="shared" si="67"/>
        <v>#N/A</v>
      </c>
      <c r="AR115" s="181" t="e">
        <f t="shared" si="69"/>
        <v>#N/A</v>
      </c>
      <c r="AW115" s="181" t="e">
        <f t="shared" si="71"/>
        <v>#N/A</v>
      </c>
    </row>
    <row r="116" spans="13:49">
      <c r="M116" s="185" t="e">
        <f>RANK(K116, K$91:$K$127)</f>
        <v>#N/A</v>
      </c>
      <c r="S116" s="181" t="e">
        <f t="shared" si="60"/>
        <v>#N/A</v>
      </c>
      <c r="X116" s="181" t="e">
        <f t="shared" si="61"/>
        <v>#N/A</v>
      </c>
      <c r="AC116" s="181" t="e">
        <f t="shared" si="63"/>
        <v>#N/A</v>
      </c>
      <c r="AH116" s="181" t="e">
        <f t="shared" si="65"/>
        <v>#N/A</v>
      </c>
      <c r="AM116" s="181" t="e">
        <f t="shared" si="67"/>
        <v>#N/A</v>
      </c>
      <c r="AR116" s="181" t="e">
        <f t="shared" si="69"/>
        <v>#N/A</v>
      </c>
      <c r="AW116" s="181" t="e">
        <f t="shared" si="71"/>
        <v>#N/A</v>
      </c>
    </row>
    <row r="117" spans="13:49">
      <c r="M117" s="185" t="e">
        <f>RANK(K117, K$91:$K$127)</f>
        <v>#N/A</v>
      </c>
      <c r="S117" s="181" t="e">
        <f t="shared" si="60"/>
        <v>#N/A</v>
      </c>
      <c r="X117" s="181" t="e">
        <f t="shared" si="61"/>
        <v>#N/A</v>
      </c>
      <c r="AC117" s="181" t="e">
        <f t="shared" si="63"/>
        <v>#N/A</v>
      </c>
      <c r="AH117" s="181" t="e">
        <f t="shared" si="65"/>
        <v>#N/A</v>
      </c>
      <c r="AM117" s="181" t="e">
        <f t="shared" si="67"/>
        <v>#N/A</v>
      </c>
      <c r="AR117" s="181" t="e">
        <f t="shared" si="69"/>
        <v>#N/A</v>
      </c>
      <c r="AW117" s="181" t="e">
        <f t="shared" si="71"/>
        <v>#N/A</v>
      </c>
    </row>
    <row r="118" spans="13:49">
      <c r="M118" s="185" t="e">
        <f>RANK(K118, K$91:$K$127)</f>
        <v>#N/A</v>
      </c>
      <c r="S118" s="181" t="e">
        <f t="shared" si="60"/>
        <v>#N/A</v>
      </c>
      <c r="X118" s="181" t="e">
        <f t="shared" si="61"/>
        <v>#N/A</v>
      </c>
      <c r="AC118" s="181" t="e">
        <f t="shared" si="63"/>
        <v>#N/A</v>
      </c>
      <c r="AH118" s="181" t="e">
        <f t="shared" si="65"/>
        <v>#N/A</v>
      </c>
      <c r="AM118" s="181" t="e">
        <f t="shared" si="67"/>
        <v>#N/A</v>
      </c>
      <c r="AR118" s="181" t="e">
        <f t="shared" si="69"/>
        <v>#N/A</v>
      </c>
      <c r="AW118" s="181" t="e">
        <f t="shared" si="71"/>
        <v>#N/A</v>
      </c>
    </row>
    <row r="119" spans="13:49">
      <c r="M119" s="185" t="e">
        <f>RANK(K119, K$91:$K$127)</f>
        <v>#N/A</v>
      </c>
      <c r="S119" s="181" t="e">
        <f t="shared" si="60"/>
        <v>#N/A</v>
      </c>
      <c r="X119" s="181" t="e">
        <f t="shared" si="61"/>
        <v>#N/A</v>
      </c>
      <c r="AC119" s="181" t="e">
        <f t="shared" si="63"/>
        <v>#N/A</v>
      </c>
      <c r="AH119" s="181" t="e">
        <f t="shared" si="65"/>
        <v>#N/A</v>
      </c>
      <c r="AM119" s="181" t="e">
        <f t="shared" si="67"/>
        <v>#N/A</v>
      </c>
      <c r="AR119" s="181" t="e">
        <f t="shared" si="69"/>
        <v>#N/A</v>
      </c>
      <c r="AW119" s="181" t="e">
        <f t="shared" si="71"/>
        <v>#N/A</v>
      </c>
    </row>
    <row r="120" spans="13:49">
      <c r="M120" s="185" t="e">
        <f>RANK(K120, K$91:$K$127)</f>
        <v>#N/A</v>
      </c>
      <c r="S120" s="181" t="e">
        <f t="shared" si="60"/>
        <v>#N/A</v>
      </c>
      <c r="X120" s="181" t="e">
        <f t="shared" si="61"/>
        <v>#N/A</v>
      </c>
      <c r="AC120" s="181" t="e">
        <f t="shared" si="63"/>
        <v>#N/A</v>
      </c>
      <c r="AH120" s="181" t="e">
        <f t="shared" si="65"/>
        <v>#N/A</v>
      </c>
      <c r="AM120" s="181" t="e">
        <f t="shared" si="67"/>
        <v>#N/A</v>
      </c>
      <c r="AR120" s="181" t="e">
        <f t="shared" si="69"/>
        <v>#N/A</v>
      </c>
      <c r="AW120" s="181" t="e">
        <f t="shared" si="71"/>
        <v>#N/A</v>
      </c>
    </row>
    <row r="121" spans="13:49">
      <c r="M121" s="185" t="e">
        <f>RANK(K121, K$91:$K$127)</f>
        <v>#N/A</v>
      </c>
      <c r="S121" s="181" t="e">
        <f t="shared" si="60"/>
        <v>#N/A</v>
      </c>
      <c r="X121" s="181" t="e">
        <f t="shared" si="61"/>
        <v>#N/A</v>
      </c>
      <c r="AC121" s="181" t="e">
        <f t="shared" si="63"/>
        <v>#N/A</v>
      </c>
      <c r="AH121" s="181" t="e">
        <f t="shared" si="65"/>
        <v>#N/A</v>
      </c>
      <c r="AM121" s="181" t="e">
        <f t="shared" si="67"/>
        <v>#N/A</v>
      </c>
      <c r="AR121" s="181" t="e">
        <f t="shared" si="69"/>
        <v>#N/A</v>
      </c>
      <c r="AW121" s="181" t="e">
        <f t="shared" si="71"/>
        <v>#N/A</v>
      </c>
    </row>
    <row r="122" spans="13:49">
      <c r="M122" s="185" t="e">
        <f>RANK(K122, K$91:$K$127)</f>
        <v>#N/A</v>
      </c>
      <c r="S122" s="181" t="e">
        <f t="shared" si="60"/>
        <v>#N/A</v>
      </c>
      <c r="X122" s="181" t="e">
        <f t="shared" si="61"/>
        <v>#N/A</v>
      </c>
      <c r="AC122" s="181" t="e">
        <f t="shared" si="63"/>
        <v>#N/A</v>
      </c>
      <c r="AH122" s="181" t="e">
        <f t="shared" si="65"/>
        <v>#N/A</v>
      </c>
      <c r="AM122" s="181" t="e">
        <f t="shared" si="67"/>
        <v>#N/A</v>
      </c>
      <c r="AR122" s="181" t="e">
        <f t="shared" si="69"/>
        <v>#N/A</v>
      </c>
      <c r="AW122" s="181" t="e">
        <f t="shared" si="71"/>
        <v>#N/A</v>
      </c>
    </row>
    <row r="123" spans="13:49">
      <c r="M123" s="185" t="e">
        <f>RANK(K123, K$91:$K$127)</f>
        <v>#N/A</v>
      </c>
      <c r="S123" s="181" t="e">
        <f t="shared" si="60"/>
        <v>#N/A</v>
      </c>
      <c r="X123" s="181" t="e">
        <f t="shared" si="61"/>
        <v>#N/A</v>
      </c>
      <c r="AC123" s="181" t="e">
        <f t="shared" si="63"/>
        <v>#N/A</v>
      </c>
      <c r="AH123" s="181" t="e">
        <f t="shared" si="65"/>
        <v>#N/A</v>
      </c>
      <c r="AM123" s="181" t="e">
        <f t="shared" si="67"/>
        <v>#N/A</v>
      </c>
      <c r="AR123" s="181" t="e">
        <f t="shared" si="69"/>
        <v>#N/A</v>
      </c>
      <c r="AW123" s="181" t="e">
        <f t="shared" si="71"/>
        <v>#N/A</v>
      </c>
    </row>
    <row r="124" spans="13:49">
      <c r="M124" s="185" t="e">
        <f>RANK(K124, K$91:$K$127)</f>
        <v>#N/A</v>
      </c>
      <c r="S124" s="181" t="e">
        <f t="shared" si="60"/>
        <v>#N/A</v>
      </c>
      <c r="X124" s="181" t="e">
        <f t="shared" si="61"/>
        <v>#N/A</v>
      </c>
      <c r="AC124" s="181" t="e">
        <f t="shared" si="63"/>
        <v>#N/A</v>
      </c>
      <c r="AH124" s="181" t="e">
        <f t="shared" si="65"/>
        <v>#N/A</v>
      </c>
      <c r="AM124" s="181" t="e">
        <f t="shared" si="67"/>
        <v>#N/A</v>
      </c>
      <c r="AR124" s="181" t="e">
        <f t="shared" si="69"/>
        <v>#N/A</v>
      </c>
      <c r="AW124" s="181" t="e">
        <f t="shared" si="71"/>
        <v>#N/A</v>
      </c>
    </row>
    <row r="125" spans="13:49">
      <c r="M125" s="185" t="e">
        <f>RANK(K125, K$91:$K$127)</f>
        <v>#N/A</v>
      </c>
      <c r="S125" s="181" t="e">
        <f t="shared" si="60"/>
        <v>#N/A</v>
      </c>
      <c r="X125" s="181" t="e">
        <f t="shared" si="61"/>
        <v>#N/A</v>
      </c>
      <c r="AC125" s="181" t="e">
        <f t="shared" si="63"/>
        <v>#N/A</v>
      </c>
      <c r="AH125" s="181" t="e">
        <f t="shared" si="65"/>
        <v>#N/A</v>
      </c>
      <c r="AM125" s="181" t="e">
        <f t="shared" si="67"/>
        <v>#N/A</v>
      </c>
      <c r="AR125" s="181" t="e">
        <f t="shared" si="69"/>
        <v>#N/A</v>
      </c>
      <c r="AW125" s="181" t="e">
        <f t="shared" si="71"/>
        <v>#N/A</v>
      </c>
    </row>
    <row r="126" spans="13:49">
      <c r="M126" s="185" t="e">
        <f>RANK(K126, K$91:$K$127)</f>
        <v>#N/A</v>
      </c>
      <c r="S126" s="181" t="e">
        <f t="shared" si="60"/>
        <v>#N/A</v>
      </c>
      <c r="X126" s="181" t="e">
        <f t="shared" si="61"/>
        <v>#N/A</v>
      </c>
      <c r="AC126" s="181" t="e">
        <f t="shared" si="63"/>
        <v>#N/A</v>
      </c>
      <c r="AH126" s="181" t="e">
        <f t="shared" si="65"/>
        <v>#N/A</v>
      </c>
      <c r="AM126" s="181" t="e">
        <f t="shared" si="67"/>
        <v>#N/A</v>
      </c>
      <c r="AR126" s="181" t="e">
        <f t="shared" si="69"/>
        <v>#N/A</v>
      </c>
      <c r="AW126" s="181" t="e">
        <f t="shared" si="71"/>
        <v>#N/A</v>
      </c>
    </row>
  </sheetData>
  <mergeCells count="235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AJ86:AN86"/>
    <mergeCell ref="AO86:AS8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86:AX86"/>
    <mergeCell ref="P87:T87"/>
    <mergeCell ref="U87:Y87"/>
    <mergeCell ref="Z87:AD87"/>
    <mergeCell ref="AE87:AI87"/>
    <mergeCell ref="AJ87:AN87"/>
    <mergeCell ref="AO87:AS87"/>
    <mergeCell ref="AT87:AX87"/>
    <mergeCell ref="B88:B90"/>
    <mergeCell ref="C88:D90"/>
    <mergeCell ref="E88:G88"/>
    <mergeCell ref="H88:H90"/>
    <mergeCell ref="I88:K88"/>
    <mergeCell ref="L88:L90"/>
    <mergeCell ref="M88:M90"/>
    <mergeCell ref="N88:N105"/>
    <mergeCell ref="O88:O105"/>
    <mergeCell ref="P88:S88"/>
    <mergeCell ref="T88:T90"/>
    <mergeCell ref="U88:X88"/>
    <mergeCell ref="Y88:Y90"/>
    <mergeCell ref="Z88:AC88"/>
    <mergeCell ref="AD88:AD90"/>
    <mergeCell ref="AE88:AH88"/>
    <mergeCell ref="AN91:AN105"/>
    <mergeCell ref="AS91:AS105"/>
    <mergeCell ref="AI88:AI90"/>
    <mergeCell ref="AJ88:AM88"/>
    <mergeCell ref="AN88:AN90"/>
    <mergeCell ref="AO88:AR88"/>
    <mergeCell ref="AS88:AS90"/>
    <mergeCell ref="AT88:AW88"/>
    <mergeCell ref="AX88:AX90"/>
    <mergeCell ref="AJ89:AM89"/>
    <mergeCell ref="AO89:AR89"/>
    <mergeCell ref="AT89:AW89"/>
    <mergeCell ref="I44:K44"/>
    <mergeCell ref="L44:L46"/>
    <mergeCell ref="B91:B105"/>
    <mergeCell ref="H91:H105"/>
    <mergeCell ref="L91:L105"/>
    <mergeCell ref="T91:T105"/>
    <mergeCell ref="Y91:Y105"/>
    <mergeCell ref="AD91:AD105"/>
    <mergeCell ref="AI91:AI105"/>
    <mergeCell ref="E89:G89"/>
    <mergeCell ref="I89:K89"/>
    <mergeCell ref="P89:S89"/>
    <mergeCell ref="U89:X89"/>
    <mergeCell ref="Z89:AC89"/>
    <mergeCell ref="AE89:AH89"/>
    <mergeCell ref="N86:N87"/>
    <mergeCell ref="O86:O87"/>
    <mergeCell ref="P86:T86"/>
    <mergeCell ref="U86:Y86"/>
    <mergeCell ref="Z86:AD86"/>
    <mergeCell ref="AE86:AI86"/>
    <mergeCell ref="Z44:AC44"/>
    <mergeCell ref="AD44:AD46"/>
    <mergeCell ref="AX91:AX105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FFFFCC"/>
  </sheetPr>
  <dimension ref="A1:AX126"/>
  <sheetViews>
    <sheetView zoomScaleNormal="100" workbookViewId="0">
      <pane xSplit="13" ySplit="1" topLeftCell="N23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B2" sqref="B2:M3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8" t="s">
        <v>744</v>
      </c>
      <c r="C1" s="174"/>
    </row>
    <row r="2" spans="1:50" ht="14.25" customHeight="1">
      <c r="B2" s="625" t="s">
        <v>709</v>
      </c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2"/>
      <c r="N2" s="629" t="s">
        <v>363</v>
      </c>
      <c r="O2" s="615" t="s">
        <v>105</v>
      </c>
      <c r="P2" s="617">
        <v>46203</v>
      </c>
      <c r="Q2" s="618"/>
      <c r="R2" s="618"/>
      <c r="S2" s="618"/>
      <c r="T2" s="618"/>
      <c r="U2" s="619">
        <f>P2+1</f>
        <v>46204</v>
      </c>
      <c r="V2" s="620"/>
      <c r="W2" s="620"/>
      <c r="X2" s="620"/>
      <c r="Y2" s="620"/>
      <c r="Z2" s="617">
        <f t="shared" ref="Z2" si="0">U2+1</f>
        <v>46205</v>
      </c>
      <c r="AA2" s="618"/>
      <c r="AB2" s="618"/>
      <c r="AC2" s="618"/>
      <c r="AD2" s="618"/>
      <c r="AE2" s="619">
        <f t="shared" ref="AE2" si="1">Z2+1</f>
        <v>46206</v>
      </c>
      <c r="AF2" s="620"/>
      <c r="AG2" s="620"/>
      <c r="AH2" s="620"/>
      <c r="AI2" s="620"/>
      <c r="AJ2" s="602">
        <f t="shared" ref="AJ2" si="2">AE2+1</f>
        <v>46207</v>
      </c>
      <c r="AK2" s="603"/>
      <c r="AL2" s="603"/>
      <c r="AM2" s="603"/>
      <c r="AN2" s="604"/>
      <c r="AO2" s="619">
        <f t="shared" ref="AO2" si="3">AJ2+1</f>
        <v>46208</v>
      </c>
      <c r="AP2" s="620"/>
      <c r="AQ2" s="620"/>
      <c r="AR2" s="620"/>
      <c r="AS2" s="620"/>
      <c r="AT2" s="602">
        <f t="shared" ref="AT2" si="4">AO2+1</f>
        <v>46209</v>
      </c>
      <c r="AU2" s="603"/>
      <c r="AV2" s="603"/>
      <c r="AW2" s="603"/>
      <c r="AX2" s="604"/>
    </row>
    <row r="3" spans="1:50" ht="14.25" customHeight="1"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4"/>
      <c r="N3" s="630"/>
      <c r="O3" s="616"/>
      <c r="P3" s="605">
        <v>46196</v>
      </c>
      <c r="Q3" s="605"/>
      <c r="R3" s="605"/>
      <c r="S3" s="605"/>
      <c r="T3" s="605"/>
      <c r="U3" s="606">
        <v>46197</v>
      </c>
      <c r="V3" s="606"/>
      <c r="W3" s="606"/>
      <c r="X3" s="606"/>
      <c r="Y3" s="606"/>
      <c r="Z3" s="605">
        <v>46198</v>
      </c>
      <c r="AA3" s="605"/>
      <c r="AB3" s="605"/>
      <c r="AC3" s="605"/>
      <c r="AD3" s="605"/>
      <c r="AE3" s="606">
        <v>46199</v>
      </c>
      <c r="AF3" s="606"/>
      <c r="AG3" s="606"/>
      <c r="AH3" s="606"/>
      <c r="AI3" s="606"/>
      <c r="AJ3" s="607">
        <v>46200</v>
      </c>
      <c r="AK3" s="608"/>
      <c r="AL3" s="608"/>
      <c r="AM3" s="608"/>
      <c r="AN3" s="609"/>
      <c r="AO3" s="606">
        <v>46201</v>
      </c>
      <c r="AP3" s="606"/>
      <c r="AQ3" s="606"/>
      <c r="AR3" s="606"/>
      <c r="AS3" s="606"/>
      <c r="AT3" s="607">
        <v>46202</v>
      </c>
      <c r="AU3" s="608"/>
      <c r="AV3" s="608"/>
      <c r="AW3" s="608"/>
      <c r="AX3" s="609"/>
    </row>
    <row r="4" spans="1:50" ht="14.25" customHeight="1">
      <c r="B4" s="597" t="s">
        <v>162</v>
      </c>
      <c r="C4" s="597" t="s">
        <v>157</v>
      </c>
      <c r="D4" s="597"/>
      <c r="E4" s="597" t="s">
        <v>158</v>
      </c>
      <c r="F4" s="597"/>
      <c r="G4" s="597"/>
      <c r="H4" s="597" t="s">
        <v>163</v>
      </c>
      <c r="I4" s="601" t="s">
        <v>364</v>
      </c>
      <c r="J4" s="601"/>
      <c r="K4" s="601"/>
      <c r="L4" s="601" t="s">
        <v>163</v>
      </c>
      <c r="M4" s="601" t="s">
        <v>165</v>
      </c>
      <c r="N4" s="597"/>
      <c r="O4" s="597" t="s">
        <v>164</v>
      </c>
      <c r="P4" s="597" t="s">
        <v>160</v>
      </c>
      <c r="Q4" s="597"/>
      <c r="R4" s="597"/>
      <c r="S4" s="597"/>
      <c r="T4" s="597" t="s">
        <v>163</v>
      </c>
      <c r="U4" s="597" t="s">
        <v>160</v>
      </c>
      <c r="V4" s="597"/>
      <c r="W4" s="597"/>
      <c r="X4" s="597"/>
      <c r="Y4" s="597" t="s">
        <v>163</v>
      </c>
      <c r="Z4" s="597" t="s">
        <v>160</v>
      </c>
      <c r="AA4" s="597"/>
      <c r="AB4" s="597"/>
      <c r="AC4" s="597"/>
      <c r="AD4" s="597" t="s">
        <v>163</v>
      </c>
      <c r="AE4" s="597" t="s">
        <v>160</v>
      </c>
      <c r="AF4" s="597"/>
      <c r="AG4" s="597"/>
      <c r="AH4" s="597"/>
      <c r="AI4" s="597" t="s">
        <v>163</v>
      </c>
      <c r="AJ4" s="597" t="s">
        <v>160</v>
      </c>
      <c r="AK4" s="597"/>
      <c r="AL4" s="597"/>
      <c r="AM4" s="597"/>
      <c r="AN4" s="597" t="s">
        <v>163</v>
      </c>
      <c r="AO4" s="597" t="s">
        <v>160</v>
      </c>
      <c r="AP4" s="597"/>
      <c r="AQ4" s="597"/>
      <c r="AR4" s="597"/>
      <c r="AS4" s="597" t="s">
        <v>163</v>
      </c>
      <c r="AT4" s="597" t="s">
        <v>160</v>
      </c>
      <c r="AU4" s="597"/>
      <c r="AV4" s="597"/>
      <c r="AW4" s="597"/>
      <c r="AX4" s="597" t="s">
        <v>163</v>
      </c>
    </row>
    <row r="5" spans="1:50" ht="14.25" customHeight="1">
      <c r="B5" s="597"/>
      <c r="C5" s="597"/>
      <c r="D5" s="597"/>
      <c r="E5" s="597" t="s">
        <v>365</v>
      </c>
      <c r="F5" s="597"/>
      <c r="G5" s="597"/>
      <c r="H5" s="597"/>
      <c r="I5" s="601" t="s">
        <v>365</v>
      </c>
      <c r="J5" s="601"/>
      <c r="K5" s="601"/>
      <c r="L5" s="601"/>
      <c r="M5" s="601"/>
      <c r="N5" s="597"/>
      <c r="O5" s="597"/>
      <c r="P5" s="597" t="s">
        <v>366</v>
      </c>
      <c r="Q5" s="597"/>
      <c r="R5" s="597"/>
      <c r="S5" s="597"/>
      <c r="T5" s="597"/>
      <c r="U5" s="597" t="s">
        <v>366</v>
      </c>
      <c r="V5" s="597"/>
      <c r="W5" s="597"/>
      <c r="X5" s="597"/>
      <c r="Y5" s="597"/>
      <c r="Z5" s="597" t="s">
        <v>366</v>
      </c>
      <c r="AA5" s="597"/>
      <c r="AB5" s="597"/>
      <c r="AC5" s="597"/>
      <c r="AD5" s="597"/>
      <c r="AE5" s="597" t="s">
        <v>366</v>
      </c>
      <c r="AF5" s="597"/>
      <c r="AG5" s="597"/>
      <c r="AH5" s="597"/>
      <c r="AI5" s="597"/>
      <c r="AJ5" s="597" t="s">
        <v>366</v>
      </c>
      <c r="AK5" s="597"/>
      <c r="AL5" s="597"/>
      <c r="AM5" s="597"/>
      <c r="AN5" s="597"/>
      <c r="AO5" s="597" t="s">
        <v>366</v>
      </c>
      <c r="AP5" s="597"/>
      <c r="AQ5" s="597"/>
      <c r="AR5" s="597"/>
      <c r="AS5" s="597"/>
      <c r="AT5" s="597" t="s">
        <v>366</v>
      </c>
      <c r="AU5" s="597"/>
      <c r="AV5" s="597"/>
      <c r="AW5" s="597"/>
      <c r="AX5" s="597"/>
    </row>
    <row r="6" spans="1:50" ht="14.25" customHeight="1">
      <c r="B6" s="597"/>
      <c r="C6" s="597"/>
      <c r="D6" s="597"/>
      <c r="E6" s="179" t="s">
        <v>159</v>
      </c>
      <c r="F6" s="179" t="s">
        <v>367</v>
      </c>
      <c r="G6" s="179" t="s">
        <v>161</v>
      </c>
      <c r="H6" s="597"/>
      <c r="I6" s="180" t="s">
        <v>159</v>
      </c>
      <c r="J6" s="180" t="s">
        <v>367</v>
      </c>
      <c r="K6" s="180" t="s">
        <v>161</v>
      </c>
      <c r="L6" s="601"/>
      <c r="M6" s="601"/>
      <c r="N6" s="597"/>
      <c r="O6" s="597"/>
      <c r="P6" s="179" t="s">
        <v>159</v>
      </c>
      <c r="Q6" s="179" t="s">
        <v>367</v>
      </c>
      <c r="R6" s="179" t="s">
        <v>161</v>
      </c>
      <c r="S6" s="181" t="s">
        <v>165</v>
      </c>
      <c r="T6" s="597"/>
      <c r="U6" s="179" t="s">
        <v>159</v>
      </c>
      <c r="V6" s="179" t="s">
        <v>367</v>
      </c>
      <c r="W6" s="179" t="s">
        <v>161</v>
      </c>
      <c r="X6" s="181" t="s">
        <v>165</v>
      </c>
      <c r="Y6" s="597"/>
      <c r="Z6" s="179" t="s">
        <v>159</v>
      </c>
      <c r="AA6" s="179" t="s">
        <v>367</v>
      </c>
      <c r="AB6" s="179" t="s">
        <v>161</v>
      </c>
      <c r="AC6" s="181" t="s">
        <v>165</v>
      </c>
      <c r="AD6" s="597"/>
      <c r="AE6" s="179" t="s">
        <v>159</v>
      </c>
      <c r="AF6" s="179" t="s">
        <v>367</v>
      </c>
      <c r="AG6" s="179" t="s">
        <v>161</v>
      </c>
      <c r="AH6" s="181" t="s">
        <v>165</v>
      </c>
      <c r="AI6" s="597"/>
      <c r="AJ6" s="179" t="s">
        <v>159</v>
      </c>
      <c r="AK6" s="179" t="s">
        <v>367</v>
      </c>
      <c r="AL6" s="179" t="s">
        <v>161</v>
      </c>
      <c r="AM6" s="181" t="s">
        <v>165</v>
      </c>
      <c r="AN6" s="597"/>
      <c r="AO6" s="179" t="s">
        <v>159</v>
      </c>
      <c r="AP6" s="179" t="s">
        <v>367</v>
      </c>
      <c r="AQ6" s="179" t="s">
        <v>161</v>
      </c>
      <c r="AR6" s="181" t="s">
        <v>165</v>
      </c>
      <c r="AS6" s="597"/>
      <c r="AT6" s="179" t="s">
        <v>159</v>
      </c>
      <c r="AU6" s="179" t="s">
        <v>367</v>
      </c>
      <c r="AV6" s="179" t="s">
        <v>161</v>
      </c>
      <c r="AW6" s="181" t="s">
        <v>165</v>
      </c>
      <c r="AX6" s="597"/>
    </row>
    <row r="7" spans="1:50" ht="14.25" customHeight="1">
      <c r="B7" s="597" t="s">
        <v>426</v>
      </c>
      <c r="C7" s="179">
        <v>1</v>
      </c>
      <c r="D7" s="182"/>
      <c r="E7" s="183"/>
      <c r="F7" s="179"/>
      <c r="G7" s="184"/>
      <c r="H7" s="598"/>
      <c r="I7" s="185"/>
      <c r="J7" s="185"/>
      <c r="K7" s="186"/>
      <c r="L7" s="599"/>
      <c r="M7" s="185"/>
      <c r="N7" s="597"/>
      <c r="O7" s="597"/>
      <c r="P7" s="187"/>
      <c r="Q7" s="187"/>
      <c r="R7" s="184"/>
      <c r="S7" s="181"/>
      <c r="T7" s="598"/>
      <c r="U7" s="187"/>
      <c r="V7" s="187"/>
      <c r="W7" s="184"/>
      <c r="X7" s="181"/>
      <c r="Y7" s="598"/>
      <c r="Z7" s="187"/>
      <c r="AA7" s="187"/>
      <c r="AB7" s="184"/>
      <c r="AC7" s="181"/>
      <c r="AD7" s="598"/>
      <c r="AE7" s="187"/>
      <c r="AF7" s="187"/>
      <c r="AG7" s="184"/>
      <c r="AH7" s="181"/>
      <c r="AI7" s="598"/>
      <c r="AJ7" s="187"/>
      <c r="AK7" s="187"/>
      <c r="AL7" s="184"/>
      <c r="AM7" s="181"/>
      <c r="AN7" s="598"/>
      <c r="AO7" s="187"/>
      <c r="AP7" s="187"/>
      <c r="AQ7" s="184"/>
      <c r="AR7" s="181"/>
      <c r="AS7" s="598"/>
      <c r="AT7" s="187"/>
      <c r="AU7" s="187"/>
      <c r="AV7" s="184"/>
      <c r="AW7" s="181"/>
      <c r="AX7" s="598"/>
    </row>
    <row r="8" spans="1:50" ht="14.25" customHeight="1">
      <c r="B8" s="597"/>
      <c r="C8" s="179">
        <v>2</v>
      </c>
      <c r="D8" s="182"/>
      <c r="E8" s="179"/>
      <c r="F8" s="179"/>
      <c r="G8" s="184"/>
      <c r="H8" s="598"/>
      <c r="I8" s="185"/>
      <c r="J8" s="185"/>
      <c r="K8" s="186"/>
      <c r="L8" s="599"/>
      <c r="M8" s="185"/>
      <c r="N8" s="597"/>
      <c r="O8" s="597"/>
      <c r="P8" s="187"/>
      <c r="Q8" s="187"/>
      <c r="R8" s="184"/>
      <c r="S8" s="181"/>
      <c r="T8" s="598"/>
      <c r="U8" s="187"/>
      <c r="V8" s="187"/>
      <c r="W8" s="184"/>
      <c r="X8" s="181"/>
      <c r="Y8" s="598"/>
      <c r="Z8" s="187"/>
      <c r="AA8" s="187"/>
      <c r="AB8" s="184"/>
      <c r="AC8" s="181"/>
      <c r="AD8" s="598"/>
      <c r="AE8" s="187"/>
      <c r="AF8" s="187"/>
      <c r="AG8" s="184"/>
      <c r="AH8" s="181"/>
      <c r="AI8" s="598"/>
      <c r="AJ8" s="187"/>
      <c r="AK8" s="187"/>
      <c r="AL8" s="184"/>
      <c r="AM8" s="181"/>
      <c r="AN8" s="598"/>
      <c r="AO8" s="187"/>
      <c r="AP8" s="187"/>
      <c r="AQ8" s="184"/>
      <c r="AR8" s="181"/>
      <c r="AS8" s="598"/>
      <c r="AT8" s="187"/>
      <c r="AU8" s="187"/>
      <c r="AV8" s="184"/>
      <c r="AW8" s="181"/>
      <c r="AX8" s="598"/>
    </row>
    <row r="9" spans="1:50" ht="14.25" customHeight="1">
      <c r="B9" s="597"/>
      <c r="C9" s="179">
        <v>3</v>
      </c>
      <c r="D9" s="182"/>
      <c r="E9" s="179"/>
      <c r="F9" s="179"/>
      <c r="G9" s="184"/>
      <c r="H9" s="598"/>
      <c r="I9" s="185"/>
      <c r="J9" s="185"/>
      <c r="K9" s="186"/>
      <c r="L9" s="599"/>
      <c r="M9" s="185"/>
      <c r="N9" s="597"/>
      <c r="O9" s="597"/>
      <c r="P9" s="187"/>
      <c r="Q9" s="187"/>
      <c r="R9" s="184"/>
      <c r="S9" s="181"/>
      <c r="T9" s="598"/>
      <c r="U9" s="187"/>
      <c r="V9" s="187"/>
      <c r="W9" s="184"/>
      <c r="X9" s="181"/>
      <c r="Y9" s="598"/>
      <c r="Z9" s="187"/>
      <c r="AA9" s="187"/>
      <c r="AB9" s="184"/>
      <c r="AC9" s="181"/>
      <c r="AD9" s="598"/>
      <c r="AE9" s="187"/>
      <c r="AF9" s="187"/>
      <c r="AG9" s="184"/>
      <c r="AH9" s="181"/>
      <c r="AI9" s="598"/>
      <c r="AJ9" s="187"/>
      <c r="AK9" s="187"/>
      <c r="AL9" s="184"/>
      <c r="AM9" s="181"/>
      <c r="AN9" s="598"/>
      <c r="AO9" s="187"/>
      <c r="AP9" s="187"/>
      <c r="AQ9" s="184"/>
      <c r="AR9" s="181"/>
      <c r="AS9" s="598"/>
      <c r="AT9" s="187"/>
      <c r="AU9" s="187"/>
      <c r="AV9" s="184"/>
      <c r="AW9" s="181"/>
      <c r="AX9" s="598"/>
    </row>
    <row r="10" spans="1:50" ht="14.25" customHeight="1">
      <c r="B10" s="597"/>
      <c r="C10" s="179">
        <v>4</v>
      </c>
      <c r="D10" s="182"/>
      <c r="E10" s="179"/>
      <c r="F10" s="179"/>
      <c r="G10" s="184"/>
      <c r="H10" s="598"/>
      <c r="I10" s="185"/>
      <c r="J10" s="185"/>
      <c r="K10" s="186"/>
      <c r="L10" s="599"/>
      <c r="M10" s="185"/>
      <c r="N10" s="597"/>
      <c r="O10" s="597"/>
      <c r="P10" s="187"/>
      <c r="Q10" s="187"/>
      <c r="R10" s="184"/>
      <c r="S10" s="181"/>
      <c r="T10" s="598"/>
      <c r="U10" s="187"/>
      <c r="V10" s="187"/>
      <c r="W10" s="184"/>
      <c r="X10" s="181"/>
      <c r="Y10" s="598"/>
      <c r="Z10" s="187"/>
      <c r="AA10" s="187"/>
      <c r="AB10" s="184"/>
      <c r="AC10" s="181"/>
      <c r="AD10" s="598"/>
      <c r="AE10" s="187"/>
      <c r="AF10" s="187"/>
      <c r="AG10" s="184"/>
      <c r="AH10" s="181"/>
      <c r="AI10" s="598"/>
      <c r="AJ10" s="187"/>
      <c r="AK10" s="187"/>
      <c r="AL10" s="184"/>
      <c r="AM10" s="181"/>
      <c r="AN10" s="598"/>
      <c r="AO10" s="187"/>
      <c r="AP10" s="187"/>
      <c r="AQ10" s="184"/>
      <c r="AR10" s="181"/>
      <c r="AS10" s="598"/>
      <c r="AT10" s="187"/>
      <c r="AU10" s="187"/>
      <c r="AV10" s="184"/>
      <c r="AW10" s="181"/>
      <c r="AX10" s="598"/>
    </row>
    <row r="11" spans="1:50" ht="14.25" customHeight="1">
      <c r="B11" s="597"/>
      <c r="C11" s="179">
        <v>5</v>
      </c>
      <c r="D11" s="182"/>
      <c r="E11" s="179"/>
      <c r="F11" s="179"/>
      <c r="G11" s="184"/>
      <c r="H11" s="598"/>
      <c r="I11" s="185"/>
      <c r="J11" s="185"/>
      <c r="K11" s="186"/>
      <c r="L11" s="599"/>
      <c r="M11" s="185"/>
      <c r="N11" s="597"/>
      <c r="O11" s="597"/>
      <c r="P11" s="187"/>
      <c r="Q11" s="187"/>
      <c r="R11" s="184"/>
      <c r="S11" s="181"/>
      <c r="T11" s="598"/>
      <c r="U11" s="187"/>
      <c r="V11" s="187"/>
      <c r="W11" s="184"/>
      <c r="X11" s="181"/>
      <c r="Y11" s="598"/>
      <c r="Z11" s="187"/>
      <c r="AA11" s="187"/>
      <c r="AB11" s="184"/>
      <c r="AC11" s="181"/>
      <c r="AD11" s="598"/>
      <c r="AE11" s="187"/>
      <c r="AF11" s="187"/>
      <c r="AG11" s="184"/>
      <c r="AH11" s="181"/>
      <c r="AI11" s="598"/>
      <c r="AJ11" s="187"/>
      <c r="AK11" s="187"/>
      <c r="AL11" s="184"/>
      <c r="AM11" s="181"/>
      <c r="AN11" s="598"/>
      <c r="AO11" s="187"/>
      <c r="AP11" s="187"/>
      <c r="AQ11" s="184"/>
      <c r="AR11" s="181"/>
      <c r="AS11" s="598"/>
      <c r="AT11" s="187"/>
      <c r="AU11" s="187"/>
      <c r="AV11" s="184"/>
      <c r="AW11" s="181"/>
      <c r="AX11" s="598"/>
    </row>
    <row r="12" spans="1:50" ht="14.25" customHeight="1">
      <c r="B12" s="597"/>
      <c r="C12" s="179">
        <v>6</v>
      </c>
      <c r="D12" s="182"/>
      <c r="E12" s="179"/>
      <c r="F12" s="179"/>
      <c r="G12" s="184"/>
      <c r="H12" s="598"/>
      <c r="I12" s="185"/>
      <c r="J12" s="185"/>
      <c r="K12" s="186"/>
      <c r="L12" s="599"/>
      <c r="M12" s="185"/>
      <c r="N12" s="597"/>
      <c r="O12" s="597"/>
      <c r="P12" s="187"/>
      <c r="Q12" s="187"/>
      <c r="R12" s="184"/>
      <c r="S12" s="181"/>
      <c r="T12" s="598"/>
      <c r="U12" s="187"/>
      <c r="V12" s="187"/>
      <c r="W12" s="184"/>
      <c r="X12" s="181"/>
      <c r="Y12" s="598"/>
      <c r="Z12" s="187"/>
      <c r="AA12" s="187"/>
      <c r="AB12" s="184"/>
      <c r="AC12" s="181"/>
      <c r="AD12" s="598"/>
      <c r="AE12" s="187"/>
      <c r="AF12" s="187"/>
      <c r="AG12" s="184"/>
      <c r="AH12" s="181"/>
      <c r="AI12" s="598"/>
      <c r="AJ12" s="187"/>
      <c r="AK12" s="187"/>
      <c r="AL12" s="184"/>
      <c r="AM12" s="181"/>
      <c r="AN12" s="598"/>
      <c r="AO12" s="187"/>
      <c r="AP12" s="187"/>
      <c r="AQ12" s="184"/>
      <c r="AR12" s="181"/>
      <c r="AS12" s="598"/>
      <c r="AT12" s="187"/>
      <c r="AU12" s="187"/>
      <c r="AV12" s="184"/>
      <c r="AW12" s="181"/>
      <c r="AX12" s="598"/>
    </row>
    <row r="13" spans="1:50" ht="14.25" customHeight="1">
      <c r="B13" s="597"/>
      <c r="C13" s="179">
        <v>7</v>
      </c>
      <c r="D13" s="182"/>
      <c r="E13" s="179"/>
      <c r="F13" s="179"/>
      <c r="G13" s="184"/>
      <c r="H13" s="598"/>
      <c r="I13" s="185"/>
      <c r="J13" s="185"/>
      <c r="K13" s="186"/>
      <c r="L13" s="599"/>
      <c r="M13" s="185"/>
      <c r="N13" s="597"/>
      <c r="O13" s="597"/>
      <c r="P13" s="187"/>
      <c r="Q13" s="187"/>
      <c r="R13" s="184"/>
      <c r="S13" s="181"/>
      <c r="T13" s="598"/>
      <c r="U13" s="187"/>
      <c r="V13" s="187"/>
      <c r="W13" s="184"/>
      <c r="X13" s="181"/>
      <c r="Y13" s="598"/>
      <c r="Z13" s="187"/>
      <c r="AA13" s="187"/>
      <c r="AB13" s="184"/>
      <c r="AC13" s="181"/>
      <c r="AD13" s="598"/>
      <c r="AE13" s="187"/>
      <c r="AF13" s="187"/>
      <c r="AG13" s="184"/>
      <c r="AH13" s="181"/>
      <c r="AI13" s="598"/>
      <c r="AJ13" s="187"/>
      <c r="AK13" s="187"/>
      <c r="AL13" s="184"/>
      <c r="AM13" s="181"/>
      <c r="AN13" s="598"/>
      <c r="AO13" s="187"/>
      <c r="AP13" s="187"/>
      <c r="AQ13" s="184"/>
      <c r="AR13" s="181"/>
      <c r="AS13" s="598"/>
      <c r="AT13" s="187"/>
      <c r="AU13" s="187"/>
      <c r="AV13" s="184"/>
      <c r="AW13" s="181"/>
      <c r="AX13" s="598"/>
    </row>
    <row r="14" spans="1:50" ht="14.25" customHeight="1">
      <c r="B14" s="597"/>
      <c r="C14" s="179">
        <v>8</v>
      </c>
      <c r="D14" s="182"/>
      <c r="E14" s="179"/>
      <c r="F14" s="179"/>
      <c r="G14" s="184"/>
      <c r="H14" s="598"/>
      <c r="I14" s="185"/>
      <c r="J14" s="185"/>
      <c r="K14" s="186"/>
      <c r="L14" s="599"/>
      <c r="M14" s="185"/>
      <c r="N14" s="597"/>
      <c r="O14" s="597"/>
      <c r="P14" s="187"/>
      <c r="Q14" s="187"/>
      <c r="R14" s="184"/>
      <c r="S14" s="181"/>
      <c r="T14" s="598"/>
      <c r="U14" s="187"/>
      <c r="V14" s="187"/>
      <c r="W14" s="184"/>
      <c r="X14" s="181"/>
      <c r="Y14" s="598"/>
      <c r="Z14" s="187"/>
      <c r="AA14" s="187"/>
      <c r="AB14" s="184"/>
      <c r="AC14" s="181"/>
      <c r="AD14" s="598"/>
      <c r="AE14" s="187"/>
      <c r="AF14" s="187"/>
      <c r="AG14" s="184"/>
      <c r="AH14" s="181"/>
      <c r="AI14" s="598"/>
      <c r="AJ14" s="187"/>
      <c r="AK14" s="187"/>
      <c r="AL14" s="184"/>
      <c r="AM14" s="181"/>
      <c r="AN14" s="598"/>
      <c r="AO14" s="187"/>
      <c r="AP14" s="187"/>
      <c r="AQ14" s="184"/>
      <c r="AR14" s="181"/>
      <c r="AS14" s="598"/>
      <c r="AT14" s="187"/>
      <c r="AU14" s="187"/>
      <c r="AV14" s="184"/>
      <c r="AW14" s="181"/>
      <c r="AX14" s="598"/>
    </row>
    <row r="15" spans="1:50" ht="14.25" customHeight="1">
      <c r="B15" s="597"/>
      <c r="C15" s="179">
        <v>9</v>
      </c>
      <c r="D15" s="182"/>
      <c r="E15" s="179"/>
      <c r="F15" s="179"/>
      <c r="G15" s="184"/>
      <c r="H15" s="598"/>
      <c r="I15" s="185"/>
      <c r="J15" s="185"/>
      <c r="K15" s="186"/>
      <c r="L15" s="599"/>
      <c r="M15" s="185"/>
      <c r="N15" s="597"/>
      <c r="O15" s="597"/>
      <c r="P15" s="187"/>
      <c r="Q15" s="187"/>
      <c r="R15" s="184"/>
      <c r="S15" s="181"/>
      <c r="T15" s="598"/>
      <c r="U15" s="187"/>
      <c r="V15" s="187"/>
      <c r="W15" s="184"/>
      <c r="X15" s="181"/>
      <c r="Y15" s="598"/>
      <c r="Z15" s="187"/>
      <c r="AA15" s="187"/>
      <c r="AB15" s="184"/>
      <c r="AC15" s="181"/>
      <c r="AD15" s="598"/>
      <c r="AE15" s="187"/>
      <c r="AF15" s="187"/>
      <c r="AG15" s="184"/>
      <c r="AH15" s="181"/>
      <c r="AI15" s="598"/>
      <c r="AJ15" s="187"/>
      <c r="AK15" s="187"/>
      <c r="AL15" s="184"/>
      <c r="AM15" s="181"/>
      <c r="AN15" s="598"/>
      <c r="AO15" s="187"/>
      <c r="AP15" s="187"/>
      <c r="AQ15" s="184"/>
      <c r="AR15" s="181"/>
      <c r="AS15" s="598"/>
      <c r="AT15" s="187"/>
      <c r="AU15" s="187"/>
      <c r="AV15" s="184"/>
      <c r="AW15" s="181"/>
      <c r="AX15" s="598"/>
    </row>
    <row r="16" spans="1:50" ht="14.25" customHeight="1">
      <c r="B16" s="597"/>
      <c r="C16" s="179">
        <v>10</v>
      </c>
      <c r="D16" s="182"/>
      <c r="E16" s="179"/>
      <c r="F16" s="179"/>
      <c r="G16" s="184"/>
      <c r="H16" s="598"/>
      <c r="I16" s="185"/>
      <c r="J16" s="185"/>
      <c r="K16" s="186"/>
      <c r="L16" s="599"/>
      <c r="M16" s="185"/>
      <c r="N16" s="597"/>
      <c r="O16" s="597"/>
      <c r="P16" s="187"/>
      <c r="Q16" s="187"/>
      <c r="R16" s="184"/>
      <c r="S16" s="181"/>
      <c r="T16" s="598"/>
      <c r="U16" s="187"/>
      <c r="V16" s="187"/>
      <c r="W16" s="184"/>
      <c r="X16" s="181"/>
      <c r="Y16" s="598"/>
      <c r="Z16" s="187"/>
      <c r="AA16" s="187"/>
      <c r="AB16" s="184"/>
      <c r="AC16" s="181"/>
      <c r="AD16" s="598"/>
      <c r="AE16" s="187"/>
      <c r="AF16" s="187"/>
      <c r="AG16" s="184"/>
      <c r="AH16" s="181"/>
      <c r="AI16" s="598"/>
      <c r="AJ16" s="187"/>
      <c r="AK16" s="187"/>
      <c r="AL16" s="184"/>
      <c r="AM16" s="181"/>
      <c r="AN16" s="598"/>
      <c r="AO16" s="187"/>
      <c r="AP16" s="187"/>
      <c r="AQ16" s="184"/>
      <c r="AR16" s="181"/>
      <c r="AS16" s="598"/>
      <c r="AT16" s="187"/>
      <c r="AU16" s="187"/>
      <c r="AV16" s="184"/>
      <c r="AW16" s="181"/>
      <c r="AX16" s="598"/>
    </row>
    <row r="17" spans="2:50" ht="14.25" customHeight="1">
      <c r="B17" s="597"/>
      <c r="C17" s="179">
        <v>11</v>
      </c>
      <c r="D17" s="182"/>
      <c r="E17" s="179"/>
      <c r="F17" s="179"/>
      <c r="G17" s="184"/>
      <c r="H17" s="598"/>
      <c r="I17" s="185"/>
      <c r="J17" s="185"/>
      <c r="K17" s="186"/>
      <c r="L17" s="599"/>
      <c r="M17" s="185"/>
      <c r="N17" s="597"/>
      <c r="O17" s="597"/>
      <c r="P17" s="187"/>
      <c r="Q17" s="187"/>
      <c r="R17" s="184"/>
      <c r="S17" s="181"/>
      <c r="T17" s="598"/>
      <c r="U17" s="187"/>
      <c r="V17" s="187"/>
      <c r="W17" s="184"/>
      <c r="X17" s="181"/>
      <c r="Y17" s="598"/>
      <c r="Z17" s="187"/>
      <c r="AA17" s="187"/>
      <c r="AB17" s="184"/>
      <c r="AC17" s="181"/>
      <c r="AD17" s="598"/>
      <c r="AE17" s="187"/>
      <c r="AF17" s="187"/>
      <c r="AG17" s="184"/>
      <c r="AH17" s="181"/>
      <c r="AI17" s="598"/>
      <c r="AJ17" s="187"/>
      <c r="AK17" s="187"/>
      <c r="AL17" s="184"/>
      <c r="AM17" s="181"/>
      <c r="AN17" s="598"/>
      <c r="AO17" s="187"/>
      <c r="AP17" s="187"/>
      <c r="AQ17" s="184"/>
      <c r="AR17" s="181"/>
      <c r="AS17" s="598"/>
      <c r="AT17" s="187"/>
      <c r="AU17" s="187"/>
      <c r="AV17" s="184"/>
      <c r="AW17" s="181"/>
      <c r="AX17" s="598"/>
    </row>
    <row r="18" spans="2:50" ht="14.25" customHeight="1">
      <c r="B18" s="597"/>
      <c r="C18" s="179">
        <v>12</v>
      </c>
      <c r="D18" s="182"/>
      <c r="E18" s="179"/>
      <c r="F18" s="179"/>
      <c r="G18" s="184"/>
      <c r="H18" s="598"/>
      <c r="I18" s="185"/>
      <c r="J18" s="185"/>
      <c r="K18" s="186"/>
      <c r="L18" s="599"/>
      <c r="M18" s="185"/>
      <c r="N18" s="597"/>
      <c r="O18" s="597"/>
      <c r="P18" s="187"/>
      <c r="Q18" s="187"/>
      <c r="R18" s="184"/>
      <c r="S18" s="181"/>
      <c r="T18" s="598"/>
      <c r="U18" s="187"/>
      <c r="V18" s="187"/>
      <c r="W18" s="184"/>
      <c r="X18" s="181"/>
      <c r="Y18" s="598"/>
      <c r="Z18" s="187"/>
      <c r="AA18" s="187"/>
      <c r="AB18" s="184"/>
      <c r="AC18" s="181"/>
      <c r="AD18" s="598"/>
      <c r="AE18" s="187"/>
      <c r="AF18" s="187"/>
      <c r="AG18" s="184"/>
      <c r="AH18" s="181"/>
      <c r="AI18" s="598"/>
      <c r="AJ18" s="187"/>
      <c r="AK18" s="187"/>
      <c r="AL18" s="184"/>
      <c r="AM18" s="181"/>
      <c r="AN18" s="598"/>
      <c r="AO18" s="187"/>
      <c r="AP18" s="187"/>
      <c r="AQ18" s="184"/>
      <c r="AR18" s="181"/>
      <c r="AS18" s="598"/>
      <c r="AT18" s="187"/>
      <c r="AU18" s="187"/>
      <c r="AV18" s="184"/>
      <c r="AW18" s="181"/>
      <c r="AX18" s="598"/>
    </row>
    <row r="19" spans="2:50" ht="14.25" customHeight="1">
      <c r="B19" s="597"/>
      <c r="C19" s="179">
        <v>13</v>
      </c>
      <c r="D19" s="182"/>
      <c r="E19" s="179"/>
      <c r="F19" s="179"/>
      <c r="G19" s="184"/>
      <c r="H19" s="598"/>
      <c r="I19" s="185"/>
      <c r="J19" s="185"/>
      <c r="K19" s="186"/>
      <c r="L19" s="599"/>
      <c r="M19" s="185"/>
      <c r="N19" s="597"/>
      <c r="O19" s="597"/>
      <c r="P19" s="187"/>
      <c r="Q19" s="187"/>
      <c r="R19" s="184"/>
      <c r="S19" s="181"/>
      <c r="T19" s="598"/>
      <c r="U19" s="187"/>
      <c r="V19" s="187"/>
      <c r="W19" s="184"/>
      <c r="X19" s="181"/>
      <c r="Y19" s="598"/>
      <c r="Z19" s="187"/>
      <c r="AA19" s="187"/>
      <c r="AB19" s="184"/>
      <c r="AC19" s="181"/>
      <c r="AD19" s="598"/>
      <c r="AE19" s="187"/>
      <c r="AF19" s="187"/>
      <c r="AG19" s="184"/>
      <c r="AH19" s="181"/>
      <c r="AI19" s="598"/>
      <c r="AJ19" s="187"/>
      <c r="AK19" s="187"/>
      <c r="AL19" s="184"/>
      <c r="AM19" s="181"/>
      <c r="AN19" s="598"/>
      <c r="AO19" s="187"/>
      <c r="AP19" s="187"/>
      <c r="AQ19" s="184"/>
      <c r="AR19" s="181"/>
      <c r="AS19" s="598"/>
      <c r="AT19" s="187"/>
      <c r="AU19" s="187"/>
      <c r="AV19" s="184"/>
      <c r="AW19" s="181"/>
      <c r="AX19" s="598"/>
    </row>
    <row r="20" spans="2:50" ht="14.25" customHeight="1">
      <c r="B20" s="597"/>
      <c r="C20" s="179">
        <v>14</v>
      </c>
      <c r="D20" s="182"/>
      <c r="E20" s="179"/>
      <c r="F20" s="179"/>
      <c r="G20" s="184"/>
      <c r="H20" s="598"/>
      <c r="I20" s="185"/>
      <c r="J20" s="185"/>
      <c r="K20" s="186"/>
      <c r="L20" s="599"/>
      <c r="M20" s="185"/>
      <c r="N20" s="597"/>
      <c r="O20" s="597"/>
      <c r="P20" s="187"/>
      <c r="Q20" s="187"/>
      <c r="R20" s="184"/>
      <c r="S20" s="181"/>
      <c r="T20" s="598"/>
      <c r="U20" s="187"/>
      <c r="V20" s="187"/>
      <c r="W20" s="184"/>
      <c r="X20" s="181"/>
      <c r="Y20" s="598"/>
      <c r="Z20" s="187"/>
      <c r="AA20" s="187"/>
      <c r="AB20" s="184"/>
      <c r="AC20" s="181"/>
      <c r="AD20" s="598"/>
      <c r="AE20" s="187"/>
      <c r="AF20" s="187"/>
      <c r="AG20" s="184"/>
      <c r="AH20" s="181"/>
      <c r="AI20" s="598"/>
      <c r="AJ20" s="187"/>
      <c r="AK20" s="187"/>
      <c r="AL20" s="184"/>
      <c r="AM20" s="181"/>
      <c r="AN20" s="598"/>
      <c r="AO20" s="187"/>
      <c r="AP20" s="187"/>
      <c r="AQ20" s="184"/>
      <c r="AR20" s="181"/>
      <c r="AS20" s="598"/>
      <c r="AT20" s="187"/>
      <c r="AU20" s="187"/>
      <c r="AV20" s="184"/>
      <c r="AW20" s="181"/>
      <c r="AX20" s="598"/>
    </row>
    <row r="21" spans="2:50" ht="14.25" customHeight="1">
      <c r="B21" s="597"/>
      <c r="C21" s="179">
        <v>15</v>
      </c>
      <c r="D21" s="182"/>
      <c r="E21" s="179"/>
      <c r="F21" s="179"/>
      <c r="G21" s="184"/>
      <c r="H21" s="598"/>
      <c r="I21" s="185"/>
      <c r="J21" s="185"/>
      <c r="K21" s="186"/>
      <c r="L21" s="599"/>
      <c r="M21" s="185"/>
      <c r="N21" s="597"/>
      <c r="O21" s="597"/>
      <c r="P21" s="187"/>
      <c r="Q21" s="187"/>
      <c r="R21" s="184"/>
      <c r="S21" s="181"/>
      <c r="T21" s="598"/>
      <c r="U21" s="187"/>
      <c r="V21" s="187"/>
      <c r="W21" s="184"/>
      <c r="X21" s="181"/>
      <c r="Y21" s="598"/>
      <c r="Z21" s="187"/>
      <c r="AA21" s="187"/>
      <c r="AB21" s="184"/>
      <c r="AC21" s="181"/>
      <c r="AD21" s="598"/>
      <c r="AE21" s="187"/>
      <c r="AF21" s="187"/>
      <c r="AG21" s="184"/>
      <c r="AH21" s="181"/>
      <c r="AI21" s="598"/>
      <c r="AJ21" s="187"/>
      <c r="AK21" s="187"/>
      <c r="AL21" s="184"/>
      <c r="AM21" s="181"/>
      <c r="AN21" s="598"/>
      <c r="AO21" s="187"/>
      <c r="AP21" s="187"/>
      <c r="AQ21" s="184"/>
      <c r="AR21" s="181"/>
      <c r="AS21" s="598"/>
      <c r="AT21" s="187"/>
      <c r="AU21" s="187"/>
      <c r="AV21" s="184"/>
      <c r="AW21" s="181"/>
      <c r="AX21" s="598"/>
    </row>
    <row r="22" spans="2:50" ht="14.25" customHeight="1">
      <c r="B22" s="625" t="s">
        <v>773</v>
      </c>
      <c r="C22" s="631"/>
      <c r="D22" s="631"/>
      <c r="E22" s="631"/>
      <c r="F22" s="631"/>
      <c r="G22" s="631"/>
      <c r="H22" s="631"/>
      <c r="I22" s="631"/>
      <c r="J22" s="631"/>
      <c r="K22" s="631"/>
      <c r="L22" s="631"/>
      <c r="M22" s="632"/>
      <c r="N22" s="629" t="s">
        <v>363</v>
      </c>
      <c r="O22" s="629" t="s">
        <v>105</v>
      </c>
      <c r="P22" s="617">
        <v>46210</v>
      </c>
      <c r="Q22" s="618"/>
      <c r="R22" s="618"/>
      <c r="S22" s="618"/>
      <c r="T22" s="618"/>
      <c r="U22" s="619">
        <f>P22+1</f>
        <v>46211</v>
      </c>
      <c r="V22" s="620"/>
      <c r="W22" s="620"/>
      <c r="X22" s="620"/>
      <c r="Y22" s="620"/>
      <c r="Z22" s="617">
        <f t="shared" ref="Z22" si="5">U22+1</f>
        <v>46212</v>
      </c>
      <c r="AA22" s="618"/>
      <c r="AB22" s="618"/>
      <c r="AC22" s="618"/>
      <c r="AD22" s="618"/>
      <c r="AE22" s="619">
        <f t="shared" ref="AE22" si="6">Z22+1</f>
        <v>46213</v>
      </c>
      <c r="AF22" s="620"/>
      <c r="AG22" s="620"/>
      <c r="AH22" s="620"/>
      <c r="AI22" s="620"/>
      <c r="AJ22" s="602">
        <f t="shared" ref="AJ22" si="7">AE22+1</f>
        <v>46214</v>
      </c>
      <c r="AK22" s="603"/>
      <c r="AL22" s="603"/>
      <c r="AM22" s="603"/>
      <c r="AN22" s="604"/>
      <c r="AO22" s="619">
        <f t="shared" ref="AO22" si="8">AJ22+1</f>
        <v>46215</v>
      </c>
      <c r="AP22" s="620"/>
      <c r="AQ22" s="620"/>
      <c r="AR22" s="620"/>
      <c r="AS22" s="620"/>
      <c r="AT22" s="602">
        <f t="shared" ref="AT22" si="9">AO22+1</f>
        <v>46216</v>
      </c>
      <c r="AU22" s="603"/>
      <c r="AV22" s="603"/>
      <c r="AW22" s="603"/>
      <c r="AX22" s="604"/>
    </row>
    <row r="23" spans="2:50" ht="14.25" customHeight="1"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4"/>
      <c r="N23" s="630"/>
      <c r="O23" s="630"/>
      <c r="P23" s="605">
        <v>46196</v>
      </c>
      <c r="Q23" s="605"/>
      <c r="R23" s="605"/>
      <c r="S23" s="605"/>
      <c r="T23" s="605"/>
      <c r="U23" s="606">
        <v>46197</v>
      </c>
      <c r="V23" s="606"/>
      <c r="W23" s="606"/>
      <c r="X23" s="606"/>
      <c r="Y23" s="606"/>
      <c r="Z23" s="605">
        <v>46198</v>
      </c>
      <c r="AA23" s="605"/>
      <c r="AB23" s="605"/>
      <c r="AC23" s="605"/>
      <c r="AD23" s="605"/>
      <c r="AE23" s="606">
        <v>46199</v>
      </c>
      <c r="AF23" s="606"/>
      <c r="AG23" s="606"/>
      <c r="AH23" s="606"/>
      <c r="AI23" s="606"/>
      <c r="AJ23" s="607">
        <v>46200</v>
      </c>
      <c r="AK23" s="608"/>
      <c r="AL23" s="608"/>
      <c r="AM23" s="608"/>
      <c r="AN23" s="609"/>
      <c r="AO23" s="606">
        <v>46201</v>
      </c>
      <c r="AP23" s="606"/>
      <c r="AQ23" s="606"/>
      <c r="AR23" s="606"/>
      <c r="AS23" s="606"/>
      <c r="AT23" s="607">
        <v>46202</v>
      </c>
      <c r="AU23" s="608"/>
      <c r="AV23" s="608"/>
      <c r="AW23" s="608"/>
      <c r="AX23" s="609"/>
    </row>
    <row r="24" spans="2:50" ht="14.25" customHeight="1">
      <c r="B24" s="597" t="s">
        <v>162</v>
      </c>
      <c r="C24" s="597" t="s">
        <v>157</v>
      </c>
      <c r="D24" s="597"/>
      <c r="E24" s="597" t="s">
        <v>158</v>
      </c>
      <c r="F24" s="597"/>
      <c r="G24" s="597"/>
      <c r="H24" s="597" t="s">
        <v>163</v>
      </c>
      <c r="I24" s="601" t="s">
        <v>364</v>
      </c>
      <c r="J24" s="601"/>
      <c r="K24" s="601"/>
      <c r="L24" s="601" t="s">
        <v>163</v>
      </c>
      <c r="M24" s="601" t="s">
        <v>165</v>
      </c>
      <c r="N24" s="597"/>
      <c r="O24" s="597" t="s">
        <v>164</v>
      </c>
      <c r="P24" s="597" t="s">
        <v>160</v>
      </c>
      <c r="Q24" s="597"/>
      <c r="R24" s="597"/>
      <c r="S24" s="597"/>
      <c r="T24" s="597" t="s">
        <v>163</v>
      </c>
      <c r="U24" s="597" t="s">
        <v>160</v>
      </c>
      <c r="V24" s="597"/>
      <c r="W24" s="597"/>
      <c r="X24" s="597"/>
      <c r="Y24" s="597" t="s">
        <v>163</v>
      </c>
      <c r="Z24" s="597" t="s">
        <v>160</v>
      </c>
      <c r="AA24" s="597"/>
      <c r="AB24" s="597"/>
      <c r="AC24" s="597"/>
      <c r="AD24" s="597" t="s">
        <v>163</v>
      </c>
      <c r="AE24" s="597" t="s">
        <v>160</v>
      </c>
      <c r="AF24" s="597"/>
      <c r="AG24" s="597"/>
      <c r="AH24" s="597"/>
      <c r="AI24" s="597" t="s">
        <v>163</v>
      </c>
      <c r="AJ24" s="597" t="s">
        <v>160</v>
      </c>
      <c r="AK24" s="597"/>
      <c r="AL24" s="597"/>
      <c r="AM24" s="597"/>
      <c r="AN24" s="597" t="s">
        <v>163</v>
      </c>
      <c r="AO24" s="597" t="s">
        <v>160</v>
      </c>
      <c r="AP24" s="597"/>
      <c r="AQ24" s="597"/>
      <c r="AR24" s="597"/>
      <c r="AS24" s="597" t="s">
        <v>163</v>
      </c>
      <c r="AT24" s="597" t="s">
        <v>160</v>
      </c>
      <c r="AU24" s="597"/>
      <c r="AV24" s="597"/>
      <c r="AW24" s="597"/>
      <c r="AX24" s="597" t="s">
        <v>163</v>
      </c>
    </row>
    <row r="25" spans="2:50" ht="14.25" customHeight="1">
      <c r="B25" s="597"/>
      <c r="C25" s="597"/>
      <c r="D25" s="597"/>
      <c r="E25" s="597" t="s">
        <v>365</v>
      </c>
      <c r="F25" s="597"/>
      <c r="G25" s="597"/>
      <c r="H25" s="597"/>
      <c r="I25" s="601" t="s">
        <v>365</v>
      </c>
      <c r="J25" s="601"/>
      <c r="K25" s="601"/>
      <c r="L25" s="601"/>
      <c r="M25" s="601"/>
      <c r="N25" s="597"/>
      <c r="O25" s="597"/>
      <c r="P25" s="597" t="s">
        <v>366</v>
      </c>
      <c r="Q25" s="597"/>
      <c r="R25" s="597"/>
      <c r="S25" s="597"/>
      <c r="T25" s="597"/>
      <c r="U25" s="597" t="s">
        <v>366</v>
      </c>
      <c r="V25" s="597"/>
      <c r="W25" s="597"/>
      <c r="X25" s="597"/>
      <c r="Y25" s="597"/>
      <c r="Z25" s="597" t="s">
        <v>366</v>
      </c>
      <c r="AA25" s="597"/>
      <c r="AB25" s="597"/>
      <c r="AC25" s="597"/>
      <c r="AD25" s="597"/>
      <c r="AE25" s="597" t="s">
        <v>366</v>
      </c>
      <c r="AF25" s="597"/>
      <c r="AG25" s="597"/>
      <c r="AH25" s="597"/>
      <c r="AI25" s="597"/>
      <c r="AJ25" s="597" t="s">
        <v>366</v>
      </c>
      <c r="AK25" s="597"/>
      <c r="AL25" s="597"/>
      <c r="AM25" s="597"/>
      <c r="AN25" s="597"/>
      <c r="AO25" s="597" t="s">
        <v>366</v>
      </c>
      <c r="AP25" s="597"/>
      <c r="AQ25" s="597"/>
      <c r="AR25" s="597"/>
      <c r="AS25" s="597"/>
      <c r="AT25" s="597" t="s">
        <v>366</v>
      </c>
      <c r="AU25" s="597"/>
      <c r="AV25" s="597"/>
      <c r="AW25" s="597"/>
      <c r="AX25" s="597"/>
    </row>
    <row r="26" spans="2:50" ht="14.25" customHeight="1">
      <c r="B26" s="597"/>
      <c r="C26" s="597"/>
      <c r="D26" s="597"/>
      <c r="E26" s="179" t="s">
        <v>159</v>
      </c>
      <c r="F26" s="179" t="s">
        <v>367</v>
      </c>
      <c r="G26" s="179" t="s">
        <v>161</v>
      </c>
      <c r="H26" s="597"/>
      <c r="I26" s="180" t="s">
        <v>159</v>
      </c>
      <c r="J26" s="180" t="s">
        <v>367</v>
      </c>
      <c r="K26" s="180" t="s">
        <v>161</v>
      </c>
      <c r="L26" s="601"/>
      <c r="M26" s="601"/>
      <c r="N26" s="597"/>
      <c r="O26" s="597"/>
      <c r="P26" s="179" t="s">
        <v>159</v>
      </c>
      <c r="Q26" s="179" t="s">
        <v>367</v>
      </c>
      <c r="R26" s="179" t="s">
        <v>161</v>
      </c>
      <c r="S26" s="181" t="s">
        <v>165</v>
      </c>
      <c r="T26" s="597"/>
      <c r="U26" s="179" t="s">
        <v>159</v>
      </c>
      <c r="V26" s="179" t="s">
        <v>367</v>
      </c>
      <c r="W26" s="179" t="s">
        <v>161</v>
      </c>
      <c r="X26" s="181" t="s">
        <v>165</v>
      </c>
      <c r="Y26" s="597"/>
      <c r="Z26" s="179" t="s">
        <v>159</v>
      </c>
      <c r="AA26" s="179" t="s">
        <v>367</v>
      </c>
      <c r="AB26" s="179" t="s">
        <v>161</v>
      </c>
      <c r="AC26" s="181" t="s">
        <v>165</v>
      </c>
      <c r="AD26" s="597"/>
      <c r="AE26" s="179" t="s">
        <v>159</v>
      </c>
      <c r="AF26" s="179" t="s">
        <v>367</v>
      </c>
      <c r="AG26" s="179" t="s">
        <v>161</v>
      </c>
      <c r="AH26" s="181" t="s">
        <v>165</v>
      </c>
      <c r="AI26" s="597"/>
      <c r="AJ26" s="179" t="s">
        <v>159</v>
      </c>
      <c r="AK26" s="179" t="s">
        <v>367</v>
      </c>
      <c r="AL26" s="179" t="s">
        <v>161</v>
      </c>
      <c r="AM26" s="181" t="s">
        <v>165</v>
      </c>
      <c r="AN26" s="597"/>
      <c r="AO26" s="179" t="s">
        <v>159</v>
      </c>
      <c r="AP26" s="179" t="s">
        <v>367</v>
      </c>
      <c r="AQ26" s="179" t="s">
        <v>161</v>
      </c>
      <c r="AR26" s="181" t="s">
        <v>165</v>
      </c>
      <c r="AS26" s="597"/>
      <c r="AT26" s="179" t="s">
        <v>159</v>
      </c>
      <c r="AU26" s="179" t="s">
        <v>367</v>
      </c>
      <c r="AV26" s="179" t="s">
        <v>161</v>
      </c>
      <c r="AW26" s="181" t="s">
        <v>165</v>
      </c>
      <c r="AX26" s="597"/>
    </row>
    <row r="27" spans="2:50" ht="14.25" customHeight="1">
      <c r="B27" s="597" t="s">
        <v>426</v>
      </c>
      <c r="C27" s="179">
        <v>1</v>
      </c>
      <c r="D27" s="182"/>
      <c r="E27" s="183"/>
      <c r="F27" s="179"/>
      <c r="G27" s="184"/>
      <c r="H27" s="598"/>
      <c r="I27" s="185"/>
      <c r="J27" s="185"/>
      <c r="K27" s="186"/>
      <c r="L27" s="599"/>
      <c r="M27" s="185"/>
      <c r="N27" s="597"/>
      <c r="O27" s="597"/>
      <c r="P27" s="187"/>
      <c r="Q27" s="187"/>
      <c r="R27" s="184"/>
      <c r="S27" s="181"/>
      <c r="T27" s="598"/>
      <c r="U27" s="187"/>
      <c r="V27" s="187"/>
      <c r="W27" s="184"/>
      <c r="X27" s="181"/>
      <c r="Y27" s="598"/>
      <c r="Z27" s="187"/>
      <c r="AA27" s="187"/>
      <c r="AB27" s="184"/>
      <c r="AC27" s="181"/>
      <c r="AD27" s="598"/>
      <c r="AE27" s="187"/>
      <c r="AF27" s="187"/>
      <c r="AG27" s="184"/>
      <c r="AH27" s="181"/>
      <c r="AI27" s="598"/>
      <c r="AJ27" s="187"/>
      <c r="AK27" s="187"/>
      <c r="AL27" s="184"/>
      <c r="AM27" s="181"/>
      <c r="AN27" s="598"/>
      <c r="AO27" s="187"/>
      <c r="AP27" s="187"/>
      <c r="AQ27" s="184"/>
      <c r="AR27" s="181"/>
      <c r="AS27" s="598"/>
      <c r="AT27" s="187"/>
      <c r="AU27" s="187"/>
      <c r="AV27" s="184"/>
      <c r="AW27" s="181"/>
      <c r="AX27" s="598"/>
    </row>
    <row r="28" spans="2:50" ht="14.25" customHeight="1">
      <c r="B28" s="597"/>
      <c r="C28" s="179">
        <v>2</v>
      </c>
      <c r="D28" s="182"/>
      <c r="E28" s="179"/>
      <c r="F28" s="179"/>
      <c r="G28" s="184"/>
      <c r="H28" s="598"/>
      <c r="I28" s="185"/>
      <c r="J28" s="185"/>
      <c r="K28" s="186"/>
      <c r="L28" s="599"/>
      <c r="M28" s="185"/>
      <c r="N28" s="597"/>
      <c r="O28" s="597"/>
      <c r="P28" s="187"/>
      <c r="Q28" s="187"/>
      <c r="R28" s="184"/>
      <c r="S28" s="181"/>
      <c r="T28" s="598"/>
      <c r="U28" s="187"/>
      <c r="V28" s="187"/>
      <c r="W28" s="184"/>
      <c r="X28" s="181"/>
      <c r="Y28" s="598"/>
      <c r="Z28" s="187"/>
      <c r="AA28" s="187"/>
      <c r="AB28" s="184"/>
      <c r="AC28" s="181"/>
      <c r="AD28" s="598"/>
      <c r="AE28" s="187"/>
      <c r="AF28" s="187"/>
      <c r="AG28" s="184"/>
      <c r="AH28" s="181"/>
      <c r="AI28" s="598"/>
      <c r="AJ28" s="187"/>
      <c r="AK28" s="187"/>
      <c r="AL28" s="184"/>
      <c r="AM28" s="181"/>
      <c r="AN28" s="598"/>
      <c r="AO28" s="187"/>
      <c r="AP28" s="187"/>
      <c r="AQ28" s="184"/>
      <c r="AR28" s="181"/>
      <c r="AS28" s="598"/>
      <c r="AT28" s="187"/>
      <c r="AU28" s="187"/>
      <c r="AV28" s="184"/>
      <c r="AW28" s="181"/>
      <c r="AX28" s="598"/>
    </row>
    <row r="29" spans="2:50" ht="14.25" customHeight="1">
      <c r="B29" s="597"/>
      <c r="C29" s="179">
        <v>3</v>
      </c>
      <c r="D29" s="182"/>
      <c r="E29" s="179"/>
      <c r="F29" s="179"/>
      <c r="G29" s="184"/>
      <c r="H29" s="598"/>
      <c r="I29" s="185"/>
      <c r="J29" s="185"/>
      <c r="K29" s="186"/>
      <c r="L29" s="599"/>
      <c r="M29" s="185"/>
      <c r="N29" s="597"/>
      <c r="O29" s="597"/>
      <c r="P29" s="187"/>
      <c r="Q29" s="187"/>
      <c r="R29" s="184"/>
      <c r="S29" s="181"/>
      <c r="T29" s="598"/>
      <c r="U29" s="187"/>
      <c r="V29" s="187"/>
      <c r="W29" s="184"/>
      <c r="X29" s="181"/>
      <c r="Y29" s="598"/>
      <c r="Z29" s="187"/>
      <c r="AA29" s="187"/>
      <c r="AB29" s="184"/>
      <c r="AC29" s="181"/>
      <c r="AD29" s="598"/>
      <c r="AE29" s="187"/>
      <c r="AF29" s="187"/>
      <c r="AG29" s="184"/>
      <c r="AH29" s="181"/>
      <c r="AI29" s="598"/>
      <c r="AJ29" s="187"/>
      <c r="AK29" s="187"/>
      <c r="AL29" s="184"/>
      <c r="AM29" s="181"/>
      <c r="AN29" s="598"/>
      <c r="AO29" s="187"/>
      <c r="AP29" s="187"/>
      <c r="AQ29" s="184"/>
      <c r="AR29" s="181"/>
      <c r="AS29" s="598"/>
      <c r="AT29" s="187"/>
      <c r="AU29" s="187"/>
      <c r="AV29" s="184"/>
      <c r="AW29" s="181"/>
      <c r="AX29" s="598"/>
    </row>
    <row r="30" spans="2:50" ht="14.25" customHeight="1">
      <c r="B30" s="597"/>
      <c r="C30" s="179">
        <v>4</v>
      </c>
      <c r="D30" s="182"/>
      <c r="E30" s="179"/>
      <c r="F30" s="179"/>
      <c r="G30" s="184"/>
      <c r="H30" s="598"/>
      <c r="I30" s="185"/>
      <c r="J30" s="185"/>
      <c r="K30" s="186"/>
      <c r="L30" s="599"/>
      <c r="M30" s="185"/>
      <c r="N30" s="597"/>
      <c r="O30" s="597"/>
      <c r="P30" s="187"/>
      <c r="Q30" s="187"/>
      <c r="R30" s="184"/>
      <c r="S30" s="181"/>
      <c r="T30" s="598"/>
      <c r="U30" s="187"/>
      <c r="V30" s="187"/>
      <c r="W30" s="184"/>
      <c r="X30" s="181"/>
      <c r="Y30" s="598"/>
      <c r="Z30" s="187"/>
      <c r="AA30" s="187"/>
      <c r="AB30" s="184"/>
      <c r="AC30" s="181"/>
      <c r="AD30" s="598"/>
      <c r="AE30" s="187"/>
      <c r="AF30" s="187"/>
      <c r="AG30" s="184"/>
      <c r="AH30" s="181"/>
      <c r="AI30" s="598"/>
      <c r="AJ30" s="187"/>
      <c r="AK30" s="187"/>
      <c r="AL30" s="184"/>
      <c r="AM30" s="181"/>
      <c r="AN30" s="598"/>
      <c r="AO30" s="187"/>
      <c r="AP30" s="187"/>
      <c r="AQ30" s="184"/>
      <c r="AR30" s="181"/>
      <c r="AS30" s="598"/>
      <c r="AT30" s="187"/>
      <c r="AU30" s="187"/>
      <c r="AV30" s="184"/>
      <c r="AW30" s="181"/>
      <c r="AX30" s="598"/>
    </row>
    <row r="31" spans="2:50" ht="14.25" customHeight="1">
      <c r="B31" s="597"/>
      <c r="C31" s="179">
        <v>5</v>
      </c>
      <c r="D31" s="182"/>
      <c r="E31" s="179"/>
      <c r="F31" s="179"/>
      <c r="G31" s="184"/>
      <c r="H31" s="598"/>
      <c r="I31" s="185"/>
      <c r="J31" s="185"/>
      <c r="K31" s="186"/>
      <c r="L31" s="599"/>
      <c r="M31" s="185"/>
      <c r="N31" s="597"/>
      <c r="O31" s="597"/>
      <c r="P31" s="187"/>
      <c r="Q31" s="187"/>
      <c r="R31" s="184"/>
      <c r="S31" s="181"/>
      <c r="T31" s="598"/>
      <c r="U31" s="187"/>
      <c r="V31" s="187"/>
      <c r="W31" s="184"/>
      <c r="X31" s="181"/>
      <c r="Y31" s="598"/>
      <c r="Z31" s="187"/>
      <c r="AA31" s="187"/>
      <c r="AB31" s="184"/>
      <c r="AC31" s="181"/>
      <c r="AD31" s="598"/>
      <c r="AE31" s="187"/>
      <c r="AF31" s="187"/>
      <c r="AG31" s="184"/>
      <c r="AH31" s="181"/>
      <c r="AI31" s="598"/>
      <c r="AJ31" s="187"/>
      <c r="AK31" s="187"/>
      <c r="AL31" s="184"/>
      <c r="AM31" s="181"/>
      <c r="AN31" s="598"/>
      <c r="AO31" s="187"/>
      <c r="AP31" s="187"/>
      <c r="AQ31" s="184"/>
      <c r="AR31" s="181"/>
      <c r="AS31" s="598"/>
      <c r="AT31" s="187"/>
      <c r="AU31" s="187"/>
      <c r="AV31" s="184"/>
      <c r="AW31" s="181"/>
      <c r="AX31" s="598"/>
    </row>
    <row r="32" spans="2:50" ht="14.25" customHeight="1">
      <c r="B32" s="597"/>
      <c r="C32" s="179">
        <v>6</v>
      </c>
      <c r="D32" s="182"/>
      <c r="E32" s="179"/>
      <c r="F32" s="179"/>
      <c r="G32" s="184"/>
      <c r="H32" s="598"/>
      <c r="I32" s="185"/>
      <c r="J32" s="185"/>
      <c r="K32" s="186"/>
      <c r="L32" s="599"/>
      <c r="M32" s="185"/>
      <c r="N32" s="597"/>
      <c r="O32" s="597"/>
      <c r="P32" s="187"/>
      <c r="Q32" s="187"/>
      <c r="R32" s="184"/>
      <c r="S32" s="181"/>
      <c r="T32" s="598"/>
      <c r="U32" s="187"/>
      <c r="V32" s="187"/>
      <c r="W32" s="184"/>
      <c r="X32" s="181"/>
      <c r="Y32" s="598"/>
      <c r="Z32" s="187"/>
      <c r="AA32" s="187"/>
      <c r="AB32" s="184"/>
      <c r="AC32" s="181"/>
      <c r="AD32" s="598"/>
      <c r="AE32" s="187"/>
      <c r="AF32" s="187"/>
      <c r="AG32" s="184"/>
      <c r="AH32" s="181"/>
      <c r="AI32" s="598"/>
      <c r="AJ32" s="187"/>
      <c r="AK32" s="187"/>
      <c r="AL32" s="184"/>
      <c r="AM32" s="181"/>
      <c r="AN32" s="598"/>
      <c r="AO32" s="187"/>
      <c r="AP32" s="187"/>
      <c r="AQ32" s="184"/>
      <c r="AR32" s="181"/>
      <c r="AS32" s="598"/>
      <c r="AT32" s="187"/>
      <c r="AU32" s="187"/>
      <c r="AV32" s="184"/>
      <c r="AW32" s="181"/>
      <c r="AX32" s="598"/>
    </row>
    <row r="33" spans="2:50" ht="14.25" customHeight="1">
      <c r="B33" s="597"/>
      <c r="C33" s="179">
        <v>7</v>
      </c>
      <c r="D33" s="182"/>
      <c r="E33" s="179"/>
      <c r="F33" s="179"/>
      <c r="G33" s="184"/>
      <c r="H33" s="598"/>
      <c r="I33" s="185"/>
      <c r="J33" s="185"/>
      <c r="K33" s="186"/>
      <c r="L33" s="599"/>
      <c r="M33" s="185"/>
      <c r="N33" s="597"/>
      <c r="O33" s="597"/>
      <c r="P33" s="187"/>
      <c r="Q33" s="187"/>
      <c r="R33" s="184"/>
      <c r="S33" s="181"/>
      <c r="T33" s="598"/>
      <c r="U33" s="187"/>
      <c r="V33" s="187"/>
      <c r="W33" s="184"/>
      <c r="X33" s="181"/>
      <c r="Y33" s="598"/>
      <c r="Z33" s="187"/>
      <c r="AA33" s="187"/>
      <c r="AB33" s="184"/>
      <c r="AC33" s="181"/>
      <c r="AD33" s="598"/>
      <c r="AE33" s="187"/>
      <c r="AF33" s="187"/>
      <c r="AG33" s="184"/>
      <c r="AH33" s="181"/>
      <c r="AI33" s="598"/>
      <c r="AJ33" s="187"/>
      <c r="AK33" s="187"/>
      <c r="AL33" s="184"/>
      <c r="AM33" s="181"/>
      <c r="AN33" s="598"/>
      <c r="AO33" s="187"/>
      <c r="AP33" s="187"/>
      <c r="AQ33" s="184"/>
      <c r="AR33" s="181"/>
      <c r="AS33" s="598"/>
      <c r="AT33" s="187"/>
      <c r="AU33" s="187"/>
      <c r="AV33" s="184"/>
      <c r="AW33" s="181"/>
      <c r="AX33" s="598"/>
    </row>
    <row r="34" spans="2:50" ht="14.25" customHeight="1">
      <c r="B34" s="597"/>
      <c r="C34" s="179">
        <v>8</v>
      </c>
      <c r="D34" s="182"/>
      <c r="E34" s="179"/>
      <c r="F34" s="179"/>
      <c r="G34" s="184"/>
      <c r="H34" s="598"/>
      <c r="I34" s="185"/>
      <c r="J34" s="185"/>
      <c r="K34" s="186"/>
      <c r="L34" s="599"/>
      <c r="M34" s="185"/>
      <c r="N34" s="597"/>
      <c r="O34" s="597"/>
      <c r="P34" s="187"/>
      <c r="Q34" s="187"/>
      <c r="R34" s="184"/>
      <c r="S34" s="181"/>
      <c r="T34" s="598"/>
      <c r="U34" s="187"/>
      <c r="V34" s="187"/>
      <c r="W34" s="184"/>
      <c r="X34" s="181"/>
      <c r="Y34" s="598"/>
      <c r="Z34" s="187"/>
      <c r="AA34" s="187"/>
      <c r="AB34" s="184"/>
      <c r="AC34" s="181"/>
      <c r="AD34" s="598"/>
      <c r="AE34" s="187"/>
      <c r="AF34" s="187"/>
      <c r="AG34" s="184"/>
      <c r="AH34" s="181"/>
      <c r="AI34" s="598"/>
      <c r="AJ34" s="187"/>
      <c r="AK34" s="187"/>
      <c r="AL34" s="184"/>
      <c r="AM34" s="181"/>
      <c r="AN34" s="598"/>
      <c r="AO34" s="187"/>
      <c r="AP34" s="187"/>
      <c r="AQ34" s="184"/>
      <c r="AR34" s="181"/>
      <c r="AS34" s="598"/>
      <c r="AT34" s="187"/>
      <c r="AU34" s="187"/>
      <c r="AV34" s="184"/>
      <c r="AW34" s="181"/>
      <c r="AX34" s="598"/>
    </row>
    <row r="35" spans="2:50" ht="14.25" customHeight="1">
      <c r="B35" s="597"/>
      <c r="C35" s="179">
        <v>9</v>
      </c>
      <c r="D35" s="182"/>
      <c r="E35" s="179"/>
      <c r="F35" s="179"/>
      <c r="G35" s="184"/>
      <c r="H35" s="598"/>
      <c r="I35" s="185"/>
      <c r="J35" s="185"/>
      <c r="K35" s="186"/>
      <c r="L35" s="599"/>
      <c r="M35" s="185"/>
      <c r="N35" s="597"/>
      <c r="O35" s="597"/>
      <c r="P35" s="187"/>
      <c r="Q35" s="187"/>
      <c r="R35" s="184"/>
      <c r="S35" s="181"/>
      <c r="T35" s="598"/>
      <c r="U35" s="187"/>
      <c r="V35" s="187"/>
      <c r="W35" s="184"/>
      <c r="X35" s="181"/>
      <c r="Y35" s="598"/>
      <c r="Z35" s="187"/>
      <c r="AA35" s="187"/>
      <c r="AB35" s="184"/>
      <c r="AC35" s="181"/>
      <c r="AD35" s="598"/>
      <c r="AE35" s="187"/>
      <c r="AF35" s="187"/>
      <c r="AG35" s="184"/>
      <c r="AH35" s="181"/>
      <c r="AI35" s="598"/>
      <c r="AJ35" s="187"/>
      <c r="AK35" s="187"/>
      <c r="AL35" s="184"/>
      <c r="AM35" s="181"/>
      <c r="AN35" s="598"/>
      <c r="AO35" s="187"/>
      <c r="AP35" s="187"/>
      <c r="AQ35" s="184"/>
      <c r="AR35" s="181"/>
      <c r="AS35" s="598"/>
      <c r="AT35" s="187"/>
      <c r="AU35" s="187"/>
      <c r="AV35" s="184"/>
      <c r="AW35" s="181"/>
      <c r="AX35" s="598"/>
    </row>
    <row r="36" spans="2:50" ht="14.25" customHeight="1">
      <c r="B36" s="597"/>
      <c r="C36" s="179">
        <v>10</v>
      </c>
      <c r="D36" s="182"/>
      <c r="E36" s="179"/>
      <c r="F36" s="179"/>
      <c r="G36" s="184"/>
      <c r="H36" s="598"/>
      <c r="I36" s="185"/>
      <c r="J36" s="185"/>
      <c r="K36" s="186"/>
      <c r="L36" s="599"/>
      <c r="M36" s="185"/>
      <c r="N36" s="597"/>
      <c r="O36" s="597"/>
      <c r="P36" s="187"/>
      <c r="Q36" s="187"/>
      <c r="R36" s="184"/>
      <c r="S36" s="181"/>
      <c r="T36" s="598"/>
      <c r="U36" s="187"/>
      <c r="V36" s="187"/>
      <c r="W36" s="184"/>
      <c r="X36" s="181"/>
      <c r="Y36" s="598"/>
      <c r="Z36" s="187"/>
      <c r="AA36" s="187"/>
      <c r="AB36" s="184"/>
      <c r="AC36" s="181"/>
      <c r="AD36" s="598"/>
      <c r="AE36" s="187"/>
      <c r="AF36" s="187"/>
      <c r="AG36" s="184"/>
      <c r="AH36" s="181"/>
      <c r="AI36" s="598"/>
      <c r="AJ36" s="187"/>
      <c r="AK36" s="187"/>
      <c r="AL36" s="184"/>
      <c r="AM36" s="181"/>
      <c r="AN36" s="598"/>
      <c r="AO36" s="187"/>
      <c r="AP36" s="187"/>
      <c r="AQ36" s="184"/>
      <c r="AR36" s="181"/>
      <c r="AS36" s="598"/>
      <c r="AT36" s="187"/>
      <c r="AU36" s="187"/>
      <c r="AV36" s="184"/>
      <c r="AW36" s="181"/>
      <c r="AX36" s="598"/>
    </row>
    <row r="37" spans="2:50" ht="14.25" customHeight="1">
      <c r="B37" s="597"/>
      <c r="C37" s="179">
        <v>11</v>
      </c>
      <c r="D37" s="182"/>
      <c r="E37" s="179"/>
      <c r="F37" s="179"/>
      <c r="G37" s="184"/>
      <c r="H37" s="598"/>
      <c r="I37" s="185"/>
      <c r="J37" s="185"/>
      <c r="K37" s="186"/>
      <c r="L37" s="599"/>
      <c r="M37" s="185"/>
      <c r="N37" s="597"/>
      <c r="O37" s="597"/>
      <c r="P37" s="187"/>
      <c r="Q37" s="187"/>
      <c r="R37" s="184"/>
      <c r="S37" s="181"/>
      <c r="T37" s="598"/>
      <c r="U37" s="187"/>
      <c r="V37" s="187"/>
      <c r="W37" s="184"/>
      <c r="X37" s="181"/>
      <c r="Y37" s="598"/>
      <c r="Z37" s="187"/>
      <c r="AA37" s="187"/>
      <c r="AB37" s="184"/>
      <c r="AC37" s="181"/>
      <c r="AD37" s="598"/>
      <c r="AE37" s="187"/>
      <c r="AF37" s="187"/>
      <c r="AG37" s="184"/>
      <c r="AH37" s="181"/>
      <c r="AI37" s="598"/>
      <c r="AJ37" s="187"/>
      <c r="AK37" s="187"/>
      <c r="AL37" s="184"/>
      <c r="AM37" s="181"/>
      <c r="AN37" s="598"/>
      <c r="AO37" s="187"/>
      <c r="AP37" s="187"/>
      <c r="AQ37" s="184"/>
      <c r="AR37" s="181"/>
      <c r="AS37" s="598"/>
      <c r="AT37" s="187"/>
      <c r="AU37" s="187"/>
      <c r="AV37" s="184"/>
      <c r="AW37" s="181"/>
      <c r="AX37" s="598"/>
    </row>
    <row r="38" spans="2:50" ht="14.25" customHeight="1">
      <c r="B38" s="597"/>
      <c r="C38" s="179">
        <v>12</v>
      </c>
      <c r="D38" s="182"/>
      <c r="E38" s="179"/>
      <c r="F38" s="179"/>
      <c r="G38" s="184"/>
      <c r="H38" s="598"/>
      <c r="I38" s="185"/>
      <c r="J38" s="185"/>
      <c r="K38" s="186"/>
      <c r="L38" s="599"/>
      <c r="M38" s="185"/>
      <c r="N38" s="597"/>
      <c r="O38" s="597"/>
      <c r="P38" s="187"/>
      <c r="Q38" s="187"/>
      <c r="R38" s="184"/>
      <c r="S38" s="181"/>
      <c r="T38" s="598"/>
      <c r="U38" s="187"/>
      <c r="V38" s="187"/>
      <c r="W38" s="184"/>
      <c r="X38" s="181"/>
      <c r="Y38" s="598"/>
      <c r="Z38" s="187"/>
      <c r="AA38" s="187"/>
      <c r="AB38" s="184"/>
      <c r="AC38" s="181"/>
      <c r="AD38" s="598"/>
      <c r="AE38" s="187"/>
      <c r="AF38" s="187"/>
      <c r="AG38" s="184"/>
      <c r="AH38" s="181"/>
      <c r="AI38" s="598"/>
      <c r="AJ38" s="187"/>
      <c r="AK38" s="187"/>
      <c r="AL38" s="184"/>
      <c r="AM38" s="181"/>
      <c r="AN38" s="598"/>
      <c r="AO38" s="187"/>
      <c r="AP38" s="187"/>
      <c r="AQ38" s="184"/>
      <c r="AR38" s="181"/>
      <c r="AS38" s="598"/>
      <c r="AT38" s="187"/>
      <c r="AU38" s="187"/>
      <c r="AV38" s="184"/>
      <c r="AW38" s="181"/>
      <c r="AX38" s="598"/>
    </row>
    <row r="39" spans="2:50" ht="14.25" customHeight="1">
      <c r="B39" s="597"/>
      <c r="C39" s="179">
        <v>13</v>
      </c>
      <c r="D39" s="182"/>
      <c r="E39" s="179"/>
      <c r="F39" s="179"/>
      <c r="G39" s="184"/>
      <c r="H39" s="598"/>
      <c r="I39" s="185"/>
      <c r="J39" s="185"/>
      <c r="K39" s="186"/>
      <c r="L39" s="599"/>
      <c r="M39" s="185"/>
      <c r="N39" s="597"/>
      <c r="O39" s="597"/>
      <c r="P39" s="187"/>
      <c r="Q39" s="187"/>
      <c r="R39" s="184"/>
      <c r="S39" s="181"/>
      <c r="T39" s="598"/>
      <c r="U39" s="187"/>
      <c r="V39" s="187"/>
      <c r="W39" s="184"/>
      <c r="X39" s="181"/>
      <c r="Y39" s="598"/>
      <c r="Z39" s="187"/>
      <c r="AA39" s="187"/>
      <c r="AB39" s="184"/>
      <c r="AC39" s="181"/>
      <c r="AD39" s="598"/>
      <c r="AE39" s="187"/>
      <c r="AF39" s="187"/>
      <c r="AG39" s="184"/>
      <c r="AH39" s="181"/>
      <c r="AI39" s="598"/>
      <c r="AJ39" s="187"/>
      <c r="AK39" s="187"/>
      <c r="AL39" s="184"/>
      <c r="AM39" s="181"/>
      <c r="AN39" s="598"/>
      <c r="AO39" s="187"/>
      <c r="AP39" s="187"/>
      <c r="AQ39" s="184"/>
      <c r="AR39" s="181"/>
      <c r="AS39" s="598"/>
      <c r="AT39" s="187"/>
      <c r="AU39" s="187"/>
      <c r="AV39" s="184"/>
      <c r="AW39" s="181"/>
      <c r="AX39" s="598"/>
    </row>
    <row r="40" spans="2:50" ht="14.25" customHeight="1">
      <c r="B40" s="597"/>
      <c r="C40" s="179">
        <v>14</v>
      </c>
      <c r="D40" s="182"/>
      <c r="E40" s="179"/>
      <c r="F40" s="179"/>
      <c r="G40" s="184"/>
      <c r="H40" s="598"/>
      <c r="I40" s="185"/>
      <c r="J40" s="185"/>
      <c r="K40" s="186"/>
      <c r="L40" s="599"/>
      <c r="M40" s="185"/>
      <c r="N40" s="597"/>
      <c r="O40" s="597"/>
      <c r="P40" s="187"/>
      <c r="Q40" s="187"/>
      <c r="R40" s="184"/>
      <c r="S40" s="181"/>
      <c r="T40" s="598"/>
      <c r="U40" s="187"/>
      <c r="V40" s="187"/>
      <c r="W40" s="184"/>
      <c r="X40" s="181"/>
      <c r="Y40" s="598"/>
      <c r="Z40" s="187"/>
      <c r="AA40" s="187"/>
      <c r="AB40" s="184"/>
      <c r="AC40" s="181"/>
      <c r="AD40" s="598"/>
      <c r="AE40" s="187"/>
      <c r="AF40" s="187"/>
      <c r="AG40" s="184"/>
      <c r="AH40" s="181"/>
      <c r="AI40" s="598"/>
      <c r="AJ40" s="187"/>
      <c r="AK40" s="187"/>
      <c r="AL40" s="184"/>
      <c r="AM40" s="181"/>
      <c r="AN40" s="598"/>
      <c r="AO40" s="187"/>
      <c r="AP40" s="187"/>
      <c r="AQ40" s="184"/>
      <c r="AR40" s="181"/>
      <c r="AS40" s="598"/>
      <c r="AT40" s="187"/>
      <c r="AU40" s="187"/>
      <c r="AV40" s="184"/>
      <c r="AW40" s="181"/>
      <c r="AX40" s="598"/>
    </row>
    <row r="41" spans="2:50" ht="14.25" customHeight="1">
      <c r="B41" s="597"/>
      <c r="C41" s="179">
        <v>15</v>
      </c>
      <c r="D41" s="182"/>
      <c r="E41" s="179"/>
      <c r="F41" s="179"/>
      <c r="G41" s="184"/>
      <c r="H41" s="598"/>
      <c r="I41" s="185"/>
      <c r="J41" s="185"/>
      <c r="K41" s="186"/>
      <c r="L41" s="599"/>
      <c r="M41" s="185"/>
      <c r="N41" s="597"/>
      <c r="O41" s="597"/>
      <c r="P41" s="187"/>
      <c r="Q41" s="187"/>
      <c r="R41" s="184"/>
      <c r="S41" s="181"/>
      <c r="T41" s="598"/>
      <c r="U41" s="187"/>
      <c r="V41" s="187"/>
      <c r="W41" s="184"/>
      <c r="X41" s="181"/>
      <c r="Y41" s="598"/>
      <c r="Z41" s="187"/>
      <c r="AA41" s="187"/>
      <c r="AB41" s="184"/>
      <c r="AC41" s="181"/>
      <c r="AD41" s="598"/>
      <c r="AE41" s="187"/>
      <c r="AF41" s="187"/>
      <c r="AG41" s="184"/>
      <c r="AH41" s="181"/>
      <c r="AI41" s="598"/>
      <c r="AJ41" s="187"/>
      <c r="AK41" s="187"/>
      <c r="AL41" s="184"/>
      <c r="AM41" s="181"/>
      <c r="AN41" s="598"/>
      <c r="AO41" s="187"/>
      <c r="AP41" s="187"/>
      <c r="AQ41" s="184"/>
      <c r="AR41" s="181"/>
      <c r="AS41" s="598"/>
      <c r="AT41" s="187"/>
      <c r="AU41" s="187"/>
      <c r="AV41" s="184"/>
      <c r="AW41" s="181"/>
      <c r="AX41" s="598"/>
    </row>
    <row r="42" spans="2:50" ht="14.25" customHeight="1">
      <c r="B42" s="625" t="s">
        <v>825</v>
      </c>
      <c r="C42" s="631"/>
      <c r="D42" s="631"/>
      <c r="E42" s="631"/>
      <c r="F42" s="631"/>
      <c r="G42" s="631"/>
      <c r="H42" s="631"/>
      <c r="I42" s="631"/>
      <c r="J42" s="631"/>
      <c r="K42" s="631"/>
      <c r="L42" s="631"/>
      <c r="M42" s="632"/>
      <c r="N42" s="629" t="s">
        <v>363</v>
      </c>
      <c r="O42" s="629" t="s">
        <v>105</v>
      </c>
      <c r="P42" s="617">
        <v>46217</v>
      </c>
      <c r="Q42" s="618"/>
      <c r="R42" s="618"/>
      <c r="S42" s="618"/>
      <c r="T42" s="618"/>
      <c r="U42" s="619">
        <f>P42+1</f>
        <v>46218</v>
      </c>
      <c r="V42" s="620"/>
      <c r="W42" s="620"/>
      <c r="X42" s="620"/>
      <c r="Y42" s="620"/>
      <c r="Z42" s="617">
        <f t="shared" ref="Z42" si="10">U42+1</f>
        <v>46219</v>
      </c>
      <c r="AA42" s="618"/>
      <c r="AB42" s="618"/>
      <c r="AC42" s="618"/>
      <c r="AD42" s="618"/>
      <c r="AE42" s="619">
        <f t="shared" ref="AE42" si="11">Z42+1</f>
        <v>46220</v>
      </c>
      <c r="AF42" s="620"/>
      <c r="AG42" s="620"/>
      <c r="AH42" s="620"/>
      <c r="AI42" s="620"/>
      <c r="AJ42" s="602">
        <f t="shared" ref="AJ42" si="12">AE42+1</f>
        <v>46221</v>
      </c>
      <c r="AK42" s="603"/>
      <c r="AL42" s="603"/>
      <c r="AM42" s="603"/>
      <c r="AN42" s="604"/>
      <c r="AO42" s="619">
        <f t="shared" ref="AO42" si="13">AJ42+1</f>
        <v>46222</v>
      </c>
      <c r="AP42" s="620"/>
      <c r="AQ42" s="620"/>
      <c r="AR42" s="620"/>
      <c r="AS42" s="620"/>
      <c r="AT42" s="602">
        <f t="shared" ref="AT42" si="14">AO42+1</f>
        <v>46223</v>
      </c>
      <c r="AU42" s="603"/>
      <c r="AV42" s="603"/>
      <c r="AW42" s="603"/>
      <c r="AX42" s="604"/>
    </row>
    <row r="43" spans="2:50" ht="14.25" customHeight="1">
      <c r="B43" s="633"/>
      <c r="C43" s="633"/>
      <c r="D43" s="633"/>
      <c r="E43" s="633"/>
      <c r="F43" s="633"/>
      <c r="G43" s="633"/>
      <c r="H43" s="633"/>
      <c r="I43" s="633"/>
      <c r="J43" s="633"/>
      <c r="K43" s="633"/>
      <c r="L43" s="633"/>
      <c r="M43" s="634"/>
      <c r="N43" s="630"/>
      <c r="O43" s="630"/>
      <c r="P43" s="605">
        <v>46196</v>
      </c>
      <c r="Q43" s="605"/>
      <c r="R43" s="605"/>
      <c r="S43" s="605"/>
      <c r="T43" s="605"/>
      <c r="U43" s="606">
        <v>46197</v>
      </c>
      <c r="V43" s="606"/>
      <c r="W43" s="606"/>
      <c r="X43" s="606"/>
      <c r="Y43" s="606"/>
      <c r="Z43" s="605">
        <v>46198</v>
      </c>
      <c r="AA43" s="605"/>
      <c r="AB43" s="605"/>
      <c r="AC43" s="605"/>
      <c r="AD43" s="605"/>
      <c r="AE43" s="606">
        <v>46199</v>
      </c>
      <c r="AF43" s="606"/>
      <c r="AG43" s="606"/>
      <c r="AH43" s="606"/>
      <c r="AI43" s="606"/>
      <c r="AJ43" s="607">
        <v>46200</v>
      </c>
      <c r="AK43" s="608"/>
      <c r="AL43" s="608"/>
      <c r="AM43" s="608"/>
      <c r="AN43" s="609"/>
      <c r="AO43" s="606">
        <v>46201</v>
      </c>
      <c r="AP43" s="606"/>
      <c r="AQ43" s="606"/>
      <c r="AR43" s="606"/>
      <c r="AS43" s="606"/>
      <c r="AT43" s="607">
        <v>46202</v>
      </c>
      <c r="AU43" s="608"/>
      <c r="AV43" s="608"/>
      <c r="AW43" s="608"/>
      <c r="AX43" s="609"/>
    </row>
    <row r="44" spans="2:50" ht="14.25" customHeight="1">
      <c r="B44" s="597" t="s">
        <v>162</v>
      </c>
      <c r="C44" s="597" t="s">
        <v>157</v>
      </c>
      <c r="D44" s="597"/>
      <c r="E44" s="597" t="s">
        <v>158</v>
      </c>
      <c r="F44" s="597"/>
      <c r="G44" s="597"/>
      <c r="H44" s="597" t="s">
        <v>163</v>
      </c>
      <c r="I44" s="601" t="s">
        <v>364</v>
      </c>
      <c r="J44" s="601"/>
      <c r="K44" s="601"/>
      <c r="L44" s="601" t="s">
        <v>163</v>
      </c>
      <c r="M44" s="601" t="s">
        <v>165</v>
      </c>
      <c r="N44" s="597"/>
      <c r="O44" s="597" t="s">
        <v>164</v>
      </c>
      <c r="P44" s="597" t="s">
        <v>160</v>
      </c>
      <c r="Q44" s="597"/>
      <c r="R44" s="597"/>
      <c r="S44" s="597"/>
      <c r="T44" s="597" t="s">
        <v>163</v>
      </c>
      <c r="U44" s="597" t="s">
        <v>160</v>
      </c>
      <c r="V44" s="597"/>
      <c r="W44" s="597"/>
      <c r="X44" s="597"/>
      <c r="Y44" s="597" t="s">
        <v>163</v>
      </c>
      <c r="Z44" s="597" t="s">
        <v>160</v>
      </c>
      <c r="AA44" s="597"/>
      <c r="AB44" s="597"/>
      <c r="AC44" s="597"/>
      <c r="AD44" s="597" t="s">
        <v>163</v>
      </c>
      <c r="AE44" s="597" t="s">
        <v>160</v>
      </c>
      <c r="AF44" s="597"/>
      <c r="AG44" s="597"/>
      <c r="AH44" s="597"/>
      <c r="AI44" s="597" t="s">
        <v>163</v>
      </c>
      <c r="AJ44" s="597" t="s">
        <v>160</v>
      </c>
      <c r="AK44" s="597"/>
      <c r="AL44" s="597"/>
      <c r="AM44" s="597"/>
      <c r="AN44" s="597" t="s">
        <v>163</v>
      </c>
      <c r="AO44" s="597" t="s">
        <v>160</v>
      </c>
      <c r="AP44" s="597"/>
      <c r="AQ44" s="597"/>
      <c r="AR44" s="597"/>
      <c r="AS44" s="597" t="s">
        <v>163</v>
      </c>
      <c r="AT44" s="597" t="s">
        <v>160</v>
      </c>
      <c r="AU44" s="597"/>
      <c r="AV44" s="597"/>
      <c r="AW44" s="597"/>
      <c r="AX44" s="597" t="s">
        <v>163</v>
      </c>
    </row>
    <row r="45" spans="2:50" ht="14.25" customHeight="1">
      <c r="B45" s="597"/>
      <c r="C45" s="597"/>
      <c r="D45" s="597"/>
      <c r="E45" s="597" t="s">
        <v>365</v>
      </c>
      <c r="F45" s="597"/>
      <c r="G45" s="597"/>
      <c r="H45" s="597"/>
      <c r="I45" s="601" t="s">
        <v>365</v>
      </c>
      <c r="J45" s="601"/>
      <c r="K45" s="601"/>
      <c r="L45" s="601"/>
      <c r="M45" s="601"/>
      <c r="N45" s="597"/>
      <c r="O45" s="597"/>
      <c r="P45" s="597" t="s">
        <v>366</v>
      </c>
      <c r="Q45" s="597"/>
      <c r="R45" s="597"/>
      <c r="S45" s="597"/>
      <c r="T45" s="597"/>
      <c r="U45" s="597" t="s">
        <v>366</v>
      </c>
      <c r="V45" s="597"/>
      <c r="W45" s="597"/>
      <c r="X45" s="597"/>
      <c r="Y45" s="597"/>
      <c r="Z45" s="597" t="s">
        <v>366</v>
      </c>
      <c r="AA45" s="597"/>
      <c r="AB45" s="597"/>
      <c r="AC45" s="597"/>
      <c r="AD45" s="597"/>
      <c r="AE45" s="597" t="s">
        <v>366</v>
      </c>
      <c r="AF45" s="597"/>
      <c r="AG45" s="597"/>
      <c r="AH45" s="597"/>
      <c r="AI45" s="597"/>
      <c r="AJ45" s="597" t="s">
        <v>366</v>
      </c>
      <c r="AK45" s="597"/>
      <c r="AL45" s="597"/>
      <c r="AM45" s="597"/>
      <c r="AN45" s="597"/>
      <c r="AO45" s="597" t="s">
        <v>366</v>
      </c>
      <c r="AP45" s="597"/>
      <c r="AQ45" s="597"/>
      <c r="AR45" s="597"/>
      <c r="AS45" s="597"/>
      <c r="AT45" s="597" t="s">
        <v>366</v>
      </c>
      <c r="AU45" s="597"/>
      <c r="AV45" s="597"/>
      <c r="AW45" s="597"/>
      <c r="AX45" s="597"/>
    </row>
    <row r="46" spans="2:50" ht="14.25" customHeight="1">
      <c r="B46" s="597"/>
      <c r="C46" s="597"/>
      <c r="D46" s="597"/>
      <c r="E46" s="179" t="s">
        <v>159</v>
      </c>
      <c r="F46" s="179" t="s">
        <v>367</v>
      </c>
      <c r="G46" s="179" t="s">
        <v>161</v>
      </c>
      <c r="H46" s="597"/>
      <c r="I46" s="180" t="s">
        <v>159</v>
      </c>
      <c r="J46" s="180" t="s">
        <v>367</v>
      </c>
      <c r="K46" s="180" t="s">
        <v>161</v>
      </c>
      <c r="L46" s="601"/>
      <c r="M46" s="601"/>
      <c r="N46" s="597"/>
      <c r="O46" s="597"/>
      <c r="P46" s="179" t="s">
        <v>159</v>
      </c>
      <c r="Q46" s="179" t="s">
        <v>367</v>
      </c>
      <c r="R46" s="179" t="s">
        <v>161</v>
      </c>
      <c r="S46" s="181" t="s">
        <v>165</v>
      </c>
      <c r="T46" s="597"/>
      <c r="U46" s="179" t="s">
        <v>159</v>
      </c>
      <c r="V46" s="179" t="s">
        <v>367</v>
      </c>
      <c r="W46" s="179" t="s">
        <v>161</v>
      </c>
      <c r="X46" s="181" t="s">
        <v>165</v>
      </c>
      <c r="Y46" s="597"/>
      <c r="Z46" s="179" t="s">
        <v>159</v>
      </c>
      <c r="AA46" s="179" t="s">
        <v>367</v>
      </c>
      <c r="AB46" s="179" t="s">
        <v>161</v>
      </c>
      <c r="AC46" s="181" t="s">
        <v>165</v>
      </c>
      <c r="AD46" s="597"/>
      <c r="AE46" s="179" t="s">
        <v>159</v>
      </c>
      <c r="AF46" s="179" t="s">
        <v>367</v>
      </c>
      <c r="AG46" s="179" t="s">
        <v>161</v>
      </c>
      <c r="AH46" s="181" t="s">
        <v>165</v>
      </c>
      <c r="AI46" s="597"/>
      <c r="AJ46" s="179" t="s">
        <v>159</v>
      </c>
      <c r="AK46" s="179" t="s">
        <v>367</v>
      </c>
      <c r="AL46" s="179" t="s">
        <v>161</v>
      </c>
      <c r="AM46" s="181" t="s">
        <v>165</v>
      </c>
      <c r="AN46" s="597"/>
      <c r="AO46" s="179" t="s">
        <v>159</v>
      </c>
      <c r="AP46" s="179" t="s">
        <v>367</v>
      </c>
      <c r="AQ46" s="179" t="s">
        <v>161</v>
      </c>
      <c r="AR46" s="181" t="s">
        <v>165</v>
      </c>
      <c r="AS46" s="597"/>
      <c r="AT46" s="179" t="s">
        <v>159</v>
      </c>
      <c r="AU46" s="179" t="s">
        <v>367</v>
      </c>
      <c r="AV46" s="179" t="s">
        <v>161</v>
      </c>
      <c r="AW46" s="181" t="s">
        <v>165</v>
      </c>
      <c r="AX46" s="597"/>
    </row>
    <row r="47" spans="2:50" ht="14.25" customHeight="1">
      <c r="B47" s="597" t="s">
        <v>426</v>
      </c>
      <c r="C47" s="179">
        <v>1</v>
      </c>
      <c r="D47" s="182"/>
      <c r="E47" s="183"/>
      <c r="F47" s="179"/>
      <c r="G47" s="184"/>
      <c r="H47" s="598"/>
      <c r="I47" s="185"/>
      <c r="J47" s="185"/>
      <c r="K47" s="186"/>
      <c r="L47" s="599"/>
      <c r="M47" s="185"/>
      <c r="N47" s="597"/>
      <c r="O47" s="597"/>
      <c r="P47" s="187"/>
      <c r="Q47" s="187"/>
      <c r="R47" s="184"/>
      <c r="S47" s="181"/>
      <c r="T47" s="598"/>
      <c r="U47" s="187"/>
      <c r="V47" s="187"/>
      <c r="W47" s="184"/>
      <c r="X47" s="181"/>
      <c r="Y47" s="598"/>
      <c r="Z47" s="187"/>
      <c r="AA47" s="187"/>
      <c r="AB47" s="184"/>
      <c r="AC47" s="181"/>
      <c r="AD47" s="598"/>
      <c r="AE47" s="187"/>
      <c r="AF47" s="187"/>
      <c r="AG47" s="184"/>
      <c r="AH47" s="181"/>
      <c r="AI47" s="598"/>
      <c r="AJ47" s="187"/>
      <c r="AK47" s="187"/>
      <c r="AL47" s="184"/>
      <c r="AM47" s="181"/>
      <c r="AN47" s="598"/>
      <c r="AO47" s="187"/>
      <c r="AP47" s="187"/>
      <c r="AQ47" s="184"/>
      <c r="AR47" s="181"/>
      <c r="AS47" s="598"/>
      <c r="AT47" s="187"/>
      <c r="AU47" s="187"/>
      <c r="AV47" s="184"/>
      <c r="AW47" s="181"/>
      <c r="AX47" s="598"/>
    </row>
    <row r="48" spans="2:50" ht="14.25" customHeight="1">
      <c r="B48" s="597"/>
      <c r="C48" s="179">
        <v>2</v>
      </c>
      <c r="D48" s="182"/>
      <c r="E48" s="179"/>
      <c r="F48" s="179"/>
      <c r="G48" s="184"/>
      <c r="H48" s="598"/>
      <c r="I48" s="185"/>
      <c r="J48" s="185"/>
      <c r="K48" s="186"/>
      <c r="L48" s="599"/>
      <c r="M48" s="185"/>
      <c r="N48" s="597"/>
      <c r="O48" s="597"/>
      <c r="P48" s="187"/>
      <c r="Q48" s="187"/>
      <c r="R48" s="184"/>
      <c r="S48" s="181"/>
      <c r="T48" s="598"/>
      <c r="U48" s="187"/>
      <c r="V48" s="187"/>
      <c r="W48" s="184"/>
      <c r="X48" s="181"/>
      <c r="Y48" s="598"/>
      <c r="Z48" s="187"/>
      <c r="AA48" s="187"/>
      <c r="AB48" s="184"/>
      <c r="AC48" s="181"/>
      <c r="AD48" s="598"/>
      <c r="AE48" s="187"/>
      <c r="AF48" s="187"/>
      <c r="AG48" s="184"/>
      <c r="AH48" s="181"/>
      <c r="AI48" s="598"/>
      <c r="AJ48" s="187"/>
      <c r="AK48" s="187"/>
      <c r="AL48" s="184"/>
      <c r="AM48" s="181"/>
      <c r="AN48" s="598"/>
      <c r="AO48" s="187"/>
      <c r="AP48" s="187"/>
      <c r="AQ48" s="184"/>
      <c r="AR48" s="181"/>
      <c r="AS48" s="598"/>
      <c r="AT48" s="187"/>
      <c r="AU48" s="187"/>
      <c r="AV48" s="184"/>
      <c r="AW48" s="181"/>
      <c r="AX48" s="598"/>
    </row>
    <row r="49" spans="2:50" ht="14.25" customHeight="1">
      <c r="B49" s="597"/>
      <c r="C49" s="179">
        <v>3</v>
      </c>
      <c r="D49" s="182"/>
      <c r="E49" s="179"/>
      <c r="F49" s="179"/>
      <c r="G49" s="184"/>
      <c r="H49" s="598"/>
      <c r="I49" s="185"/>
      <c r="J49" s="185"/>
      <c r="K49" s="186"/>
      <c r="L49" s="599"/>
      <c r="M49" s="185"/>
      <c r="N49" s="597"/>
      <c r="O49" s="597"/>
      <c r="P49" s="187"/>
      <c r="Q49" s="187"/>
      <c r="R49" s="184"/>
      <c r="S49" s="181"/>
      <c r="T49" s="598"/>
      <c r="U49" s="187"/>
      <c r="V49" s="187"/>
      <c r="W49" s="184"/>
      <c r="X49" s="181"/>
      <c r="Y49" s="598"/>
      <c r="Z49" s="187"/>
      <c r="AA49" s="187"/>
      <c r="AB49" s="184"/>
      <c r="AC49" s="181"/>
      <c r="AD49" s="598"/>
      <c r="AE49" s="187"/>
      <c r="AF49" s="187"/>
      <c r="AG49" s="184"/>
      <c r="AH49" s="181"/>
      <c r="AI49" s="598"/>
      <c r="AJ49" s="187"/>
      <c r="AK49" s="187"/>
      <c r="AL49" s="184"/>
      <c r="AM49" s="181"/>
      <c r="AN49" s="598"/>
      <c r="AO49" s="187"/>
      <c r="AP49" s="187"/>
      <c r="AQ49" s="184"/>
      <c r="AR49" s="181"/>
      <c r="AS49" s="598"/>
      <c r="AT49" s="187"/>
      <c r="AU49" s="187"/>
      <c r="AV49" s="184"/>
      <c r="AW49" s="181"/>
      <c r="AX49" s="598"/>
    </row>
    <row r="50" spans="2:50" ht="14.25" customHeight="1">
      <c r="B50" s="597"/>
      <c r="C50" s="179">
        <v>4</v>
      </c>
      <c r="D50" s="182"/>
      <c r="E50" s="179"/>
      <c r="F50" s="179"/>
      <c r="G50" s="184"/>
      <c r="H50" s="598"/>
      <c r="I50" s="185"/>
      <c r="J50" s="185"/>
      <c r="K50" s="186"/>
      <c r="L50" s="599"/>
      <c r="M50" s="185"/>
      <c r="N50" s="597"/>
      <c r="O50" s="597"/>
      <c r="P50" s="187"/>
      <c r="Q50" s="187"/>
      <c r="R50" s="184"/>
      <c r="S50" s="181"/>
      <c r="T50" s="598"/>
      <c r="U50" s="187"/>
      <c r="V50" s="187"/>
      <c r="W50" s="184"/>
      <c r="X50" s="181"/>
      <c r="Y50" s="598"/>
      <c r="Z50" s="187"/>
      <c r="AA50" s="187"/>
      <c r="AB50" s="184"/>
      <c r="AC50" s="181"/>
      <c r="AD50" s="598"/>
      <c r="AE50" s="187"/>
      <c r="AF50" s="187"/>
      <c r="AG50" s="184"/>
      <c r="AH50" s="181"/>
      <c r="AI50" s="598"/>
      <c r="AJ50" s="187"/>
      <c r="AK50" s="187"/>
      <c r="AL50" s="184"/>
      <c r="AM50" s="181"/>
      <c r="AN50" s="598"/>
      <c r="AO50" s="187"/>
      <c r="AP50" s="187"/>
      <c r="AQ50" s="184"/>
      <c r="AR50" s="181"/>
      <c r="AS50" s="598"/>
      <c r="AT50" s="187"/>
      <c r="AU50" s="187"/>
      <c r="AV50" s="184"/>
      <c r="AW50" s="181"/>
      <c r="AX50" s="598"/>
    </row>
    <row r="51" spans="2:50" ht="14.25" customHeight="1">
      <c r="B51" s="597"/>
      <c r="C51" s="179">
        <v>5</v>
      </c>
      <c r="D51" s="182"/>
      <c r="E51" s="179"/>
      <c r="F51" s="179"/>
      <c r="G51" s="184"/>
      <c r="H51" s="598"/>
      <c r="I51" s="185"/>
      <c r="J51" s="185"/>
      <c r="K51" s="186"/>
      <c r="L51" s="599"/>
      <c r="M51" s="185"/>
      <c r="N51" s="597"/>
      <c r="O51" s="597"/>
      <c r="P51" s="187"/>
      <c r="Q51" s="187"/>
      <c r="R51" s="184"/>
      <c r="S51" s="181"/>
      <c r="T51" s="598"/>
      <c r="U51" s="187"/>
      <c r="V51" s="187"/>
      <c r="W51" s="184"/>
      <c r="X51" s="181"/>
      <c r="Y51" s="598"/>
      <c r="Z51" s="187"/>
      <c r="AA51" s="187"/>
      <c r="AB51" s="184"/>
      <c r="AC51" s="181"/>
      <c r="AD51" s="598"/>
      <c r="AE51" s="187"/>
      <c r="AF51" s="187"/>
      <c r="AG51" s="184"/>
      <c r="AH51" s="181"/>
      <c r="AI51" s="598"/>
      <c r="AJ51" s="187"/>
      <c r="AK51" s="187"/>
      <c r="AL51" s="184"/>
      <c r="AM51" s="181"/>
      <c r="AN51" s="598"/>
      <c r="AO51" s="187"/>
      <c r="AP51" s="187"/>
      <c r="AQ51" s="184"/>
      <c r="AR51" s="181"/>
      <c r="AS51" s="598"/>
      <c r="AT51" s="187"/>
      <c r="AU51" s="187"/>
      <c r="AV51" s="184"/>
      <c r="AW51" s="181"/>
      <c r="AX51" s="598"/>
    </row>
    <row r="52" spans="2:50" ht="14.25" customHeight="1">
      <c r="B52" s="597"/>
      <c r="C52" s="179">
        <v>6</v>
      </c>
      <c r="D52" s="182"/>
      <c r="E52" s="179"/>
      <c r="F52" s="179"/>
      <c r="G52" s="184"/>
      <c r="H52" s="598"/>
      <c r="I52" s="185"/>
      <c r="J52" s="185"/>
      <c r="K52" s="186"/>
      <c r="L52" s="599"/>
      <c r="M52" s="185"/>
      <c r="N52" s="597"/>
      <c r="O52" s="597"/>
      <c r="P52" s="187"/>
      <c r="Q52" s="187"/>
      <c r="R52" s="184"/>
      <c r="S52" s="181"/>
      <c r="T52" s="598"/>
      <c r="U52" s="187"/>
      <c r="V52" s="187"/>
      <c r="W52" s="184"/>
      <c r="X52" s="181"/>
      <c r="Y52" s="598"/>
      <c r="Z52" s="187"/>
      <c r="AA52" s="187"/>
      <c r="AB52" s="184"/>
      <c r="AC52" s="181"/>
      <c r="AD52" s="598"/>
      <c r="AE52" s="187"/>
      <c r="AF52" s="187"/>
      <c r="AG52" s="184"/>
      <c r="AH52" s="181"/>
      <c r="AI52" s="598"/>
      <c r="AJ52" s="187"/>
      <c r="AK52" s="187"/>
      <c r="AL52" s="184"/>
      <c r="AM52" s="181"/>
      <c r="AN52" s="598"/>
      <c r="AO52" s="187"/>
      <c r="AP52" s="187"/>
      <c r="AQ52" s="184"/>
      <c r="AR52" s="181"/>
      <c r="AS52" s="598"/>
      <c r="AT52" s="187"/>
      <c r="AU52" s="187"/>
      <c r="AV52" s="184"/>
      <c r="AW52" s="181"/>
      <c r="AX52" s="598"/>
    </row>
    <row r="53" spans="2:50" ht="14.25" customHeight="1">
      <c r="B53" s="597"/>
      <c r="C53" s="179">
        <v>7</v>
      </c>
      <c r="D53" s="182"/>
      <c r="E53" s="179"/>
      <c r="F53" s="179"/>
      <c r="G53" s="184"/>
      <c r="H53" s="598"/>
      <c r="I53" s="185"/>
      <c r="J53" s="185"/>
      <c r="K53" s="186"/>
      <c r="L53" s="599"/>
      <c r="M53" s="185"/>
      <c r="N53" s="597"/>
      <c r="O53" s="597"/>
      <c r="P53" s="187"/>
      <c r="Q53" s="187"/>
      <c r="R53" s="184"/>
      <c r="S53" s="181"/>
      <c r="T53" s="598"/>
      <c r="U53" s="187"/>
      <c r="V53" s="187"/>
      <c r="W53" s="184"/>
      <c r="X53" s="181"/>
      <c r="Y53" s="598"/>
      <c r="Z53" s="187"/>
      <c r="AA53" s="187"/>
      <c r="AB53" s="184"/>
      <c r="AC53" s="181"/>
      <c r="AD53" s="598"/>
      <c r="AE53" s="187"/>
      <c r="AF53" s="187"/>
      <c r="AG53" s="184"/>
      <c r="AH53" s="181"/>
      <c r="AI53" s="598"/>
      <c r="AJ53" s="187"/>
      <c r="AK53" s="187"/>
      <c r="AL53" s="184"/>
      <c r="AM53" s="181"/>
      <c r="AN53" s="598"/>
      <c r="AO53" s="187"/>
      <c r="AP53" s="187"/>
      <c r="AQ53" s="184"/>
      <c r="AR53" s="181"/>
      <c r="AS53" s="598"/>
      <c r="AT53" s="187"/>
      <c r="AU53" s="187"/>
      <c r="AV53" s="184"/>
      <c r="AW53" s="181"/>
      <c r="AX53" s="598"/>
    </row>
    <row r="54" spans="2:50" ht="14.25" customHeight="1">
      <c r="B54" s="597"/>
      <c r="C54" s="179">
        <v>8</v>
      </c>
      <c r="D54" s="182"/>
      <c r="E54" s="179"/>
      <c r="F54" s="179"/>
      <c r="G54" s="184"/>
      <c r="H54" s="598"/>
      <c r="I54" s="185"/>
      <c r="J54" s="185"/>
      <c r="K54" s="186"/>
      <c r="L54" s="599"/>
      <c r="M54" s="185"/>
      <c r="N54" s="597"/>
      <c r="O54" s="597"/>
      <c r="P54" s="187"/>
      <c r="Q54" s="187"/>
      <c r="R54" s="184"/>
      <c r="S54" s="181"/>
      <c r="T54" s="598"/>
      <c r="U54" s="187"/>
      <c r="V54" s="187"/>
      <c r="W54" s="184"/>
      <c r="X54" s="181"/>
      <c r="Y54" s="598"/>
      <c r="Z54" s="187"/>
      <c r="AA54" s="187"/>
      <c r="AB54" s="184"/>
      <c r="AC54" s="181"/>
      <c r="AD54" s="598"/>
      <c r="AE54" s="187"/>
      <c r="AF54" s="187"/>
      <c r="AG54" s="184"/>
      <c r="AH54" s="181"/>
      <c r="AI54" s="598"/>
      <c r="AJ54" s="187"/>
      <c r="AK54" s="187"/>
      <c r="AL54" s="184"/>
      <c r="AM54" s="181"/>
      <c r="AN54" s="598"/>
      <c r="AO54" s="187"/>
      <c r="AP54" s="187"/>
      <c r="AQ54" s="184"/>
      <c r="AR54" s="181"/>
      <c r="AS54" s="598"/>
      <c r="AT54" s="187"/>
      <c r="AU54" s="187"/>
      <c r="AV54" s="184"/>
      <c r="AW54" s="181"/>
      <c r="AX54" s="598"/>
    </row>
    <row r="55" spans="2:50" ht="14.25" customHeight="1">
      <c r="B55" s="597"/>
      <c r="C55" s="179">
        <v>9</v>
      </c>
      <c r="D55" s="182"/>
      <c r="E55" s="179"/>
      <c r="F55" s="179"/>
      <c r="G55" s="184"/>
      <c r="H55" s="598"/>
      <c r="I55" s="185"/>
      <c r="J55" s="185"/>
      <c r="K55" s="186"/>
      <c r="L55" s="599"/>
      <c r="M55" s="185"/>
      <c r="N55" s="597"/>
      <c r="O55" s="597"/>
      <c r="P55" s="187"/>
      <c r="Q55" s="187"/>
      <c r="R55" s="184"/>
      <c r="S55" s="181"/>
      <c r="T55" s="598"/>
      <c r="U55" s="187"/>
      <c r="V55" s="187"/>
      <c r="W55" s="184"/>
      <c r="X55" s="181"/>
      <c r="Y55" s="598"/>
      <c r="Z55" s="187"/>
      <c r="AA55" s="187"/>
      <c r="AB55" s="184"/>
      <c r="AC55" s="181"/>
      <c r="AD55" s="598"/>
      <c r="AE55" s="187"/>
      <c r="AF55" s="187"/>
      <c r="AG55" s="184"/>
      <c r="AH55" s="181"/>
      <c r="AI55" s="598"/>
      <c r="AJ55" s="187"/>
      <c r="AK55" s="187"/>
      <c r="AL55" s="184"/>
      <c r="AM55" s="181"/>
      <c r="AN55" s="598"/>
      <c r="AO55" s="187"/>
      <c r="AP55" s="187"/>
      <c r="AQ55" s="184"/>
      <c r="AR55" s="181"/>
      <c r="AS55" s="598"/>
      <c r="AT55" s="187"/>
      <c r="AU55" s="187"/>
      <c r="AV55" s="184"/>
      <c r="AW55" s="181"/>
      <c r="AX55" s="598"/>
    </row>
    <row r="56" spans="2:50" ht="14.25" customHeight="1">
      <c r="B56" s="597"/>
      <c r="C56" s="179">
        <v>10</v>
      </c>
      <c r="D56" s="182"/>
      <c r="E56" s="179"/>
      <c r="F56" s="179"/>
      <c r="G56" s="184"/>
      <c r="H56" s="598"/>
      <c r="I56" s="185"/>
      <c r="J56" s="185"/>
      <c r="K56" s="186"/>
      <c r="L56" s="599"/>
      <c r="M56" s="185"/>
      <c r="N56" s="597"/>
      <c r="O56" s="597"/>
      <c r="P56" s="187"/>
      <c r="Q56" s="187"/>
      <c r="R56" s="184"/>
      <c r="S56" s="181"/>
      <c r="T56" s="598"/>
      <c r="U56" s="187"/>
      <c r="V56" s="187"/>
      <c r="W56" s="184"/>
      <c r="X56" s="181"/>
      <c r="Y56" s="598"/>
      <c r="Z56" s="187"/>
      <c r="AA56" s="187"/>
      <c r="AB56" s="184"/>
      <c r="AC56" s="181"/>
      <c r="AD56" s="598"/>
      <c r="AE56" s="187"/>
      <c r="AF56" s="187"/>
      <c r="AG56" s="184"/>
      <c r="AH56" s="181"/>
      <c r="AI56" s="598"/>
      <c r="AJ56" s="187"/>
      <c r="AK56" s="187"/>
      <c r="AL56" s="184"/>
      <c r="AM56" s="181"/>
      <c r="AN56" s="598"/>
      <c r="AO56" s="187"/>
      <c r="AP56" s="187"/>
      <c r="AQ56" s="184"/>
      <c r="AR56" s="181"/>
      <c r="AS56" s="598"/>
      <c r="AT56" s="187"/>
      <c r="AU56" s="187"/>
      <c r="AV56" s="184"/>
      <c r="AW56" s="181"/>
      <c r="AX56" s="598"/>
    </row>
    <row r="57" spans="2:50" ht="14.25" customHeight="1">
      <c r="B57" s="597"/>
      <c r="C57" s="179">
        <v>11</v>
      </c>
      <c r="D57" s="182"/>
      <c r="E57" s="179"/>
      <c r="F57" s="179"/>
      <c r="G57" s="184"/>
      <c r="H57" s="598"/>
      <c r="I57" s="185"/>
      <c r="J57" s="185"/>
      <c r="K57" s="186"/>
      <c r="L57" s="599"/>
      <c r="M57" s="185"/>
      <c r="N57" s="597"/>
      <c r="O57" s="597"/>
      <c r="P57" s="187"/>
      <c r="Q57" s="187"/>
      <c r="R57" s="184"/>
      <c r="S57" s="181"/>
      <c r="T57" s="598"/>
      <c r="U57" s="187"/>
      <c r="V57" s="187"/>
      <c r="W57" s="184"/>
      <c r="X57" s="181"/>
      <c r="Y57" s="598"/>
      <c r="Z57" s="187"/>
      <c r="AA57" s="187"/>
      <c r="AB57" s="184"/>
      <c r="AC57" s="181"/>
      <c r="AD57" s="598"/>
      <c r="AE57" s="187"/>
      <c r="AF57" s="187"/>
      <c r="AG57" s="184"/>
      <c r="AH57" s="181"/>
      <c r="AI57" s="598"/>
      <c r="AJ57" s="187"/>
      <c r="AK57" s="187"/>
      <c r="AL57" s="184"/>
      <c r="AM57" s="181"/>
      <c r="AN57" s="598"/>
      <c r="AO57" s="187"/>
      <c r="AP57" s="187"/>
      <c r="AQ57" s="184"/>
      <c r="AR57" s="181"/>
      <c r="AS57" s="598"/>
      <c r="AT57" s="187"/>
      <c r="AU57" s="187"/>
      <c r="AV57" s="184"/>
      <c r="AW57" s="181"/>
      <c r="AX57" s="598"/>
    </row>
    <row r="58" spans="2:50" ht="14.25" customHeight="1">
      <c r="B58" s="597"/>
      <c r="C58" s="179">
        <v>12</v>
      </c>
      <c r="D58" s="182"/>
      <c r="E58" s="179"/>
      <c r="F58" s="179"/>
      <c r="G58" s="184"/>
      <c r="H58" s="598"/>
      <c r="I58" s="185"/>
      <c r="J58" s="185"/>
      <c r="K58" s="186"/>
      <c r="L58" s="599"/>
      <c r="M58" s="185"/>
      <c r="N58" s="597"/>
      <c r="O58" s="597"/>
      <c r="P58" s="187"/>
      <c r="Q58" s="187"/>
      <c r="R58" s="184"/>
      <c r="S58" s="181"/>
      <c r="T58" s="598"/>
      <c r="U58" s="187"/>
      <c r="V58" s="187"/>
      <c r="W58" s="184"/>
      <c r="X58" s="181"/>
      <c r="Y58" s="598"/>
      <c r="Z58" s="187"/>
      <c r="AA58" s="187"/>
      <c r="AB58" s="184"/>
      <c r="AC58" s="181"/>
      <c r="AD58" s="598"/>
      <c r="AE58" s="187"/>
      <c r="AF58" s="187"/>
      <c r="AG58" s="184"/>
      <c r="AH58" s="181"/>
      <c r="AI58" s="598"/>
      <c r="AJ58" s="187"/>
      <c r="AK58" s="187"/>
      <c r="AL58" s="184"/>
      <c r="AM58" s="181"/>
      <c r="AN58" s="598"/>
      <c r="AO58" s="187"/>
      <c r="AP58" s="187"/>
      <c r="AQ58" s="184"/>
      <c r="AR58" s="181"/>
      <c r="AS58" s="598"/>
      <c r="AT58" s="187"/>
      <c r="AU58" s="187"/>
      <c r="AV58" s="184"/>
      <c r="AW58" s="181"/>
      <c r="AX58" s="598"/>
    </row>
    <row r="59" spans="2:50" ht="14.25" customHeight="1">
      <c r="B59" s="597"/>
      <c r="C59" s="179">
        <v>13</v>
      </c>
      <c r="D59" s="182"/>
      <c r="E59" s="179"/>
      <c r="F59" s="179"/>
      <c r="G59" s="184"/>
      <c r="H59" s="598"/>
      <c r="I59" s="185"/>
      <c r="J59" s="185"/>
      <c r="K59" s="186"/>
      <c r="L59" s="599"/>
      <c r="M59" s="185"/>
      <c r="N59" s="597"/>
      <c r="O59" s="597"/>
      <c r="P59" s="187"/>
      <c r="Q59" s="187"/>
      <c r="R59" s="184"/>
      <c r="S59" s="181"/>
      <c r="T59" s="598"/>
      <c r="U59" s="187"/>
      <c r="V59" s="187"/>
      <c r="W59" s="184"/>
      <c r="X59" s="181"/>
      <c r="Y59" s="598"/>
      <c r="Z59" s="187"/>
      <c r="AA59" s="187"/>
      <c r="AB59" s="184"/>
      <c r="AC59" s="181"/>
      <c r="AD59" s="598"/>
      <c r="AE59" s="187"/>
      <c r="AF59" s="187"/>
      <c r="AG59" s="184"/>
      <c r="AH59" s="181"/>
      <c r="AI59" s="598"/>
      <c r="AJ59" s="187"/>
      <c r="AK59" s="187"/>
      <c r="AL59" s="184"/>
      <c r="AM59" s="181"/>
      <c r="AN59" s="598"/>
      <c r="AO59" s="187"/>
      <c r="AP59" s="187"/>
      <c r="AQ59" s="184"/>
      <c r="AR59" s="181"/>
      <c r="AS59" s="598"/>
      <c r="AT59" s="187"/>
      <c r="AU59" s="187"/>
      <c r="AV59" s="184"/>
      <c r="AW59" s="181"/>
      <c r="AX59" s="598"/>
    </row>
    <row r="60" spans="2:50" ht="14.25" customHeight="1">
      <c r="B60" s="597"/>
      <c r="C60" s="179">
        <v>14</v>
      </c>
      <c r="D60" s="182"/>
      <c r="E60" s="179"/>
      <c r="F60" s="179"/>
      <c r="G60" s="184"/>
      <c r="H60" s="598"/>
      <c r="I60" s="185"/>
      <c r="J60" s="185"/>
      <c r="K60" s="186"/>
      <c r="L60" s="599"/>
      <c r="M60" s="185"/>
      <c r="N60" s="597"/>
      <c r="O60" s="597"/>
      <c r="P60" s="187"/>
      <c r="Q60" s="187"/>
      <c r="R60" s="184"/>
      <c r="S60" s="181"/>
      <c r="T60" s="598"/>
      <c r="U60" s="187"/>
      <c r="V60" s="187"/>
      <c r="W60" s="184"/>
      <c r="X60" s="181"/>
      <c r="Y60" s="598"/>
      <c r="Z60" s="187"/>
      <c r="AA60" s="187"/>
      <c r="AB60" s="184"/>
      <c r="AC60" s="181"/>
      <c r="AD60" s="598"/>
      <c r="AE60" s="187"/>
      <c r="AF60" s="187"/>
      <c r="AG60" s="184"/>
      <c r="AH60" s="181"/>
      <c r="AI60" s="598"/>
      <c r="AJ60" s="187"/>
      <c r="AK60" s="187"/>
      <c r="AL60" s="184"/>
      <c r="AM60" s="181"/>
      <c r="AN60" s="598"/>
      <c r="AO60" s="187"/>
      <c r="AP60" s="187"/>
      <c r="AQ60" s="184"/>
      <c r="AR60" s="181"/>
      <c r="AS60" s="598"/>
      <c r="AT60" s="187"/>
      <c r="AU60" s="187"/>
      <c r="AV60" s="184"/>
      <c r="AW60" s="181"/>
      <c r="AX60" s="598"/>
    </row>
    <row r="61" spans="2:50" ht="14.25" customHeight="1">
      <c r="B61" s="597"/>
      <c r="C61" s="179">
        <v>15</v>
      </c>
      <c r="D61" s="182"/>
      <c r="E61" s="179"/>
      <c r="F61" s="179"/>
      <c r="G61" s="184"/>
      <c r="H61" s="598"/>
      <c r="I61" s="185"/>
      <c r="J61" s="185"/>
      <c r="K61" s="186"/>
      <c r="L61" s="599"/>
      <c r="M61" s="185"/>
      <c r="N61" s="597"/>
      <c r="O61" s="597"/>
      <c r="P61" s="187"/>
      <c r="Q61" s="187"/>
      <c r="R61" s="184"/>
      <c r="S61" s="181"/>
      <c r="T61" s="598"/>
      <c r="U61" s="187"/>
      <c r="V61" s="187"/>
      <c r="W61" s="184"/>
      <c r="X61" s="181"/>
      <c r="Y61" s="598"/>
      <c r="Z61" s="187"/>
      <c r="AA61" s="187"/>
      <c r="AB61" s="184"/>
      <c r="AC61" s="181"/>
      <c r="AD61" s="598"/>
      <c r="AE61" s="187"/>
      <c r="AF61" s="187"/>
      <c r="AG61" s="184"/>
      <c r="AH61" s="181"/>
      <c r="AI61" s="598"/>
      <c r="AJ61" s="187"/>
      <c r="AK61" s="187"/>
      <c r="AL61" s="184"/>
      <c r="AM61" s="181"/>
      <c r="AN61" s="598"/>
      <c r="AO61" s="187"/>
      <c r="AP61" s="187"/>
      <c r="AQ61" s="184"/>
      <c r="AR61" s="181"/>
      <c r="AS61" s="598"/>
      <c r="AT61" s="187"/>
      <c r="AU61" s="187"/>
      <c r="AV61" s="184"/>
      <c r="AW61" s="181"/>
      <c r="AX61" s="598"/>
    </row>
    <row r="86" spans="2:50" ht="14.25" customHeight="1">
      <c r="B86" s="521" t="s">
        <v>825</v>
      </c>
      <c r="C86" s="522"/>
      <c r="D86" s="523"/>
      <c r="E86" s="522"/>
      <c r="F86" s="522"/>
      <c r="G86" s="522"/>
      <c r="H86" s="522"/>
      <c r="I86" s="524"/>
      <c r="J86" s="524"/>
      <c r="K86" s="524"/>
      <c r="L86" s="524"/>
      <c r="M86" s="524"/>
      <c r="N86" s="629" t="s">
        <v>363</v>
      </c>
      <c r="O86" s="629" t="s">
        <v>105</v>
      </c>
      <c r="P86" s="617">
        <f>'[1]（２）ＫＰＩ達成進度'!D89</f>
        <v>0</v>
      </c>
      <c r="Q86" s="618"/>
      <c r="R86" s="618"/>
      <c r="S86" s="618"/>
      <c r="T86" s="618"/>
      <c r="U86" s="619">
        <f>P86+1</f>
        <v>1</v>
      </c>
      <c r="V86" s="620"/>
      <c r="W86" s="620"/>
      <c r="X86" s="620"/>
      <c r="Y86" s="620"/>
      <c r="Z86" s="617">
        <f t="shared" ref="Z86" si="15">U86+1</f>
        <v>2</v>
      </c>
      <c r="AA86" s="618"/>
      <c r="AB86" s="618"/>
      <c r="AC86" s="618"/>
      <c r="AD86" s="618"/>
      <c r="AE86" s="619">
        <f t="shared" ref="AE86" si="16">Z86+1</f>
        <v>3</v>
      </c>
      <c r="AF86" s="620"/>
      <c r="AG86" s="620"/>
      <c r="AH86" s="620"/>
      <c r="AI86" s="620"/>
      <c r="AJ86" s="602">
        <f t="shared" ref="AJ86" si="17">AE86+1</f>
        <v>4</v>
      </c>
      <c r="AK86" s="603"/>
      <c r="AL86" s="603"/>
      <c r="AM86" s="603"/>
      <c r="AN86" s="604"/>
      <c r="AO86" s="619">
        <f t="shared" ref="AO86" si="18">AJ86+1</f>
        <v>5</v>
      </c>
      <c r="AP86" s="620"/>
      <c r="AQ86" s="620"/>
      <c r="AR86" s="620"/>
      <c r="AS86" s="620"/>
      <c r="AT86" s="602">
        <f t="shared" ref="AT86" si="19">AO86+1</f>
        <v>6</v>
      </c>
      <c r="AU86" s="603"/>
      <c r="AV86" s="603"/>
      <c r="AW86" s="603"/>
      <c r="AX86" s="604"/>
    </row>
    <row r="87" spans="2:50" ht="14.25" customHeight="1">
      <c r="B87" s="521"/>
      <c r="C87" s="522"/>
      <c r="D87" s="523"/>
      <c r="E87" s="522"/>
      <c r="F87" s="522"/>
      <c r="G87" s="522"/>
      <c r="H87" s="522"/>
      <c r="I87" s="524"/>
      <c r="J87" s="524"/>
      <c r="K87" s="524"/>
      <c r="L87" s="524"/>
      <c r="M87" s="524"/>
      <c r="N87" s="630"/>
      <c r="O87" s="630"/>
      <c r="P87" s="605">
        <v>46196</v>
      </c>
      <c r="Q87" s="605"/>
      <c r="R87" s="605"/>
      <c r="S87" s="605"/>
      <c r="T87" s="605"/>
      <c r="U87" s="606">
        <v>46197</v>
      </c>
      <c r="V87" s="606"/>
      <c r="W87" s="606"/>
      <c r="X87" s="606"/>
      <c r="Y87" s="606"/>
      <c r="Z87" s="605">
        <v>46198</v>
      </c>
      <c r="AA87" s="605"/>
      <c r="AB87" s="605"/>
      <c r="AC87" s="605"/>
      <c r="AD87" s="605"/>
      <c r="AE87" s="606">
        <v>46199</v>
      </c>
      <c r="AF87" s="606"/>
      <c r="AG87" s="606"/>
      <c r="AH87" s="606"/>
      <c r="AI87" s="606"/>
      <c r="AJ87" s="607">
        <v>46200</v>
      </c>
      <c r="AK87" s="608"/>
      <c r="AL87" s="608"/>
      <c r="AM87" s="608"/>
      <c r="AN87" s="609"/>
      <c r="AO87" s="606">
        <v>46201</v>
      </c>
      <c r="AP87" s="606"/>
      <c r="AQ87" s="606"/>
      <c r="AR87" s="606"/>
      <c r="AS87" s="606"/>
      <c r="AT87" s="607">
        <v>46202</v>
      </c>
      <c r="AU87" s="608"/>
      <c r="AV87" s="608"/>
      <c r="AW87" s="608"/>
      <c r="AX87" s="609"/>
    </row>
    <row r="88" spans="2:50" ht="14.25" customHeight="1">
      <c r="B88" s="597" t="s">
        <v>162</v>
      </c>
      <c r="C88" s="597" t="s">
        <v>157</v>
      </c>
      <c r="D88" s="597"/>
      <c r="E88" s="597" t="s">
        <v>158</v>
      </c>
      <c r="F88" s="597"/>
      <c r="G88" s="597"/>
      <c r="H88" s="597" t="s">
        <v>163</v>
      </c>
      <c r="I88" s="601" t="s">
        <v>364</v>
      </c>
      <c r="J88" s="601"/>
      <c r="K88" s="601"/>
      <c r="L88" s="601" t="s">
        <v>163</v>
      </c>
      <c r="M88" s="601" t="s">
        <v>165</v>
      </c>
      <c r="N88" s="597"/>
      <c r="O88" s="597" t="s">
        <v>164</v>
      </c>
      <c r="P88" s="597" t="s">
        <v>160</v>
      </c>
      <c r="Q88" s="597"/>
      <c r="R88" s="597"/>
      <c r="S88" s="597"/>
      <c r="T88" s="597" t="s">
        <v>163</v>
      </c>
      <c r="U88" s="597" t="s">
        <v>160</v>
      </c>
      <c r="V88" s="597"/>
      <c r="W88" s="597"/>
      <c r="X88" s="597"/>
      <c r="Y88" s="597" t="s">
        <v>163</v>
      </c>
      <c r="Z88" s="597" t="s">
        <v>160</v>
      </c>
      <c r="AA88" s="597"/>
      <c r="AB88" s="597"/>
      <c r="AC88" s="597"/>
      <c r="AD88" s="597" t="s">
        <v>163</v>
      </c>
      <c r="AE88" s="597" t="s">
        <v>160</v>
      </c>
      <c r="AF88" s="597"/>
      <c r="AG88" s="597"/>
      <c r="AH88" s="597"/>
      <c r="AI88" s="597" t="s">
        <v>163</v>
      </c>
      <c r="AJ88" s="597" t="s">
        <v>160</v>
      </c>
      <c r="AK88" s="597"/>
      <c r="AL88" s="597"/>
      <c r="AM88" s="597"/>
      <c r="AN88" s="597" t="s">
        <v>163</v>
      </c>
      <c r="AO88" s="597" t="s">
        <v>160</v>
      </c>
      <c r="AP88" s="597"/>
      <c r="AQ88" s="597"/>
      <c r="AR88" s="597"/>
      <c r="AS88" s="597" t="s">
        <v>163</v>
      </c>
      <c r="AT88" s="597" t="s">
        <v>160</v>
      </c>
      <c r="AU88" s="597"/>
      <c r="AV88" s="597"/>
      <c r="AW88" s="597"/>
      <c r="AX88" s="597" t="s">
        <v>163</v>
      </c>
    </row>
    <row r="89" spans="2:50" ht="14.25" customHeight="1">
      <c r="B89" s="597"/>
      <c r="C89" s="597"/>
      <c r="D89" s="597"/>
      <c r="E89" s="597" t="s">
        <v>365</v>
      </c>
      <c r="F89" s="597"/>
      <c r="G89" s="597"/>
      <c r="H89" s="597"/>
      <c r="I89" s="601" t="s">
        <v>365</v>
      </c>
      <c r="J89" s="601"/>
      <c r="K89" s="601"/>
      <c r="L89" s="601"/>
      <c r="M89" s="601"/>
      <c r="N89" s="597"/>
      <c r="O89" s="597"/>
      <c r="P89" s="597" t="s">
        <v>366</v>
      </c>
      <c r="Q89" s="597"/>
      <c r="R89" s="597"/>
      <c r="S89" s="597"/>
      <c r="T89" s="597"/>
      <c r="U89" s="597" t="s">
        <v>366</v>
      </c>
      <c r="V89" s="597"/>
      <c r="W89" s="597"/>
      <c r="X89" s="597"/>
      <c r="Y89" s="597"/>
      <c r="Z89" s="597" t="s">
        <v>366</v>
      </c>
      <c r="AA89" s="597"/>
      <c r="AB89" s="597"/>
      <c r="AC89" s="597"/>
      <c r="AD89" s="597"/>
      <c r="AE89" s="597" t="s">
        <v>366</v>
      </c>
      <c r="AF89" s="597"/>
      <c r="AG89" s="597"/>
      <c r="AH89" s="597"/>
      <c r="AI89" s="597"/>
      <c r="AJ89" s="597" t="s">
        <v>366</v>
      </c>
      <c r="AK89" s="597"/>
      <c r="AL89" s="597"/>
      <c r="AM89" s="597"/>
      <c r="AN89" s="597"/>
      <c r="AO89" s="597" t="s">
        <v>366</v>
      </c>
      <c r="AP89" s="597"/>
      <c r="AQ89" s="597"/>
      <c r="AR89" s="597"/>
      <c r="AS89" s="597"/>
      <c r="AT89" s="597" t="s">
        <v>366</v>
      </c>
      <c r="AU89" s="597"/>
      <c r="AV89" s="597"/>
      <c r="AW89" s="597"/>
      <c r="AX89" s="597"/>
    </row>
    <row r="90" spans="2:50" ht="14.25" customHeight="1">
      <c r="B90" s="597"/>
      <c r="C90" s="597"/>
      <c r="D90" s="597"/>
      <c r="E90" s="179" t="s">
        <v>159</v>
      </c>
      <c r="F90" s="179" t="s">
        <v>367</v>
      </c>
      <c r="G90" s="179" t="s">
        <v>161</v>
      </c>
      <c r="H90" s="597"/>
      <c r="I90" s="180" t="s">
        <v>159</v>
      </c>
      <c r="J90" s="180" t="s">
        <v>367</v>
      </c>
      <c r="K90" s="180" t="s">
        <v>161</v>
      </c>
      <c r="L90" s="601"/>
      <c r="M90" s="601"/>
      <c r="N90" s="597"/>
      <c r="O90" s="597"/>
      <c r="P90" s="179" t="s">
        <v>159</v>
      </c>
      <c r="Q90" s="179" t="s">
        <v>367</v>
      </c>
      <c r="R90" s="179" t="s">
        <v>161</v>
      </c>
      <c r="S90" s="181" t="s">
        <v>165</v>
      </c>
      <c r="T90" s="597"/>
      <c r="U90" s="179" t="s">
        <v>159</v>
      </c>
      <c r="V90" s="179" t="s">
        <v>367</v>
      </c>
      <c r="W90" s="179" t="s">
        <v>161</v>
      </c>
      <c r="X90" s="181" t="s">
        <v>165</v>
      </c>
      <c r="Y90" s="597"/>
      <c r="Z90" s="179" t="s">
        <v>159</v>
      </c>
      <c r="AA90" s="179" t="s">
        <v>367</v>
      </c>
      <c r="AB90" s="179" t="s">
        <v>161</v>
      </c>
      <c r="AC90" s="181" t="s">
        <v>165</v>
      </c>
      <c r="AD90" s="597"/>
      <c r="AE90" s="179" t="s">
        <v>159</v>
      </c>
      <c r="AF90" s="179" t="s">
        <v>367</v>
      </c>
      <c r="AG90" s="179" t="s">
        <v>161</v>
      </c>
      <c r="AH90" s="181" t="s">
        <v>165</v>
      </c>
      <c r="AI90" s="597"/>
      <c r="AJ90" s="179" t="s">
        <v>159</v>
      </c>
      <c r="AK90" s="179" t="s">
        <v>367</v>
      </c>
      <c r="AL90" s="179" t="s">
        <v>161</v>
      </c>
      <c r="AM90" s="181" t="s">
        <v>165</v>
      </c>
      <c r="AN90" s="597"/>
      <c r="AO90" s="179" t="s">
        <v>159</v>
      </c>
      <c r="AP90" s="179" t="s">
        <v>367</v>
      </c>
      <c r="AQ90" s="179" t="s">
        <v>161</v>
      </c>
      <c r="AR90" s="181" t="s">
        <v>165</v>
      </c>
      <c r="AS90" s="597"/>
      <c r="AT90" s="179" t="s">
        <v>159</v>
      </c>
      <c r="AU90" s="179" t="s">
        <v>367</v>
      </c>
      <c r="AV90" s="179" t="s">
        <v>161</v>
      </c>
      <c r="AW90" s="181" t="s">
        <v>165</v>
      </c>
      <c r="AX90" s="597"/>
    </row>
    <row r="91" spans="2:50" ht="14.25" customHeight="1">
      <c r="B91" s="597" t="s">
        <v>426</v>
      </c>
      <c r="C91" s="179">
        <v>1</v>
      </c>
      <c r="D91" s="182"/>
      <c r="E91" s="183"/>
      <c r="F91" s="179"/>
      <c r="G91" s="184"/>
      <c r="H91" s="598"/>
      <c r="I91" s="185"/>
      <c r="J91" s="185"/>
      <c r="K91" s="186"/>
      <c r="L91" s="599"/>
      <c r="M91" s="185" t="e">
        <f>RANK(K91, K$91:$K$127)</f>
        <v>#N/A</v>
      </c>
      <c r="N91" s="597"/>
      <c r="O91" s="597"/>
      <c r="P91" s="187"/>
      <c r="Q91" s="187"/>
      <c r="R91" s="184"/>
      <c r="S91" s="181" t="e">
        <f>RANK(R91, R$91:R$127)</f>
        <v>#N/A</v>
      </c>
      <c r="T91" s="598"/>
      <c r="U91" s="187"/>
      <c r="V91" s="187"/>
      <c r="W91" s="184"/>
      <c r="X91" s="181" t="e">
        <f>RANK(W91, W$91:W$127)</f>
        <v>#N/A</v>
      </c>
      <c r="Y91" s="598"/>
      <c r="Z91" s="187"/>
      <c r="AA91" s="187"/>
      <c r="AB91" s="184"/>
      <c r="AC91" s="181" t="e">
        <f>RANK(AB91, AB$91:AB$127)</f>
        <v>#N/A</v>
      </c>
      <c r="AD91" s="598"/>
      <c r="AE91" s="187"/>
      <c r="AF91" s="187"/>
      <c r="AG91" s="184"/>
      <c r="AH91" s="181" t="e">
        <f>RANK(AG91, AG$91:AG$127)</f>
        <v>#N/A</v>
      </c>
      <c r="AI91" s="598"/>
      <c r="AJ91" s="187"/>
      <c r="AK91" s="187"/>
      <c r="AL91" s="184"/>
      <c r="AM91" s="181" t="e">
        <f>RANK(AL91, AL$91:AL$127)</f>
        <v>#N/A</v>
      </c>
      <c r="AN91" s="598"/>
      <c r="AO91" s="187"/>
      <c r="AP91" s="187"/>
      <c r="AQ91" s="184"/>
      <c r="AR91" s="181" t="e">
        <f>RANK(AQ91, AQ$91:AQ$127)</f>
        <v>#N/A</v>
      </c>
      <c r="AS91" s="598"/>
      <c r="AT91" s="187"/>
      <c r="AU91" s="187"/>
      <c r="AV91" s="184"/>
      <c r="AW91" s="181" t="e">
        <f>RANK(AV91, AV$91:AV$127)</f>
        <v>#N/A</v>
      </c>
      <c r="AX91" s="598"/>
    </row>
    <row r="92" spans="2:50" ht="14.25" customHeight="1">
      <c r="B92" s="597"/>
      <c r="C92" s="179">
        <v>2</v>
      </c>
      <c r="D92" s="182"/>
      <c r="E92" s="179"/>
      <c r="F92" s="179"/>
      <c r="G92" s="184"/>
      <c r="H92" s="598"/>
      <c r="I92" s="185"/>
      <c r="J92" s="185"/>
      <c r="K92" s="186"/>
      <c r="L92" s="599"/>
      <c r="M92" s="185" t="e">
        <f>RANK(K92, K$91:$K$127)</f>
        <v>#N/A</v>
      </c>
      <c r="N92" s="597"/>
      <c r="O92" s="597"/>
      <c r="P92" s="187"/>
      <c r="Q92" s="187"/>
      <c r="R92" s="184"/>
      <c r="S92" s="181" t="e">
        <f t="shared" ref="S92:S126" si="20">RANK(R92, R$91:R$127)</f>
        <v>#N/A</v>
      </c>
      <c r="T92" s="598"/>
      <c r="U92" s="187"/>
      <c r="V92" s="187"/>
      <c r="W92" s="184"/>
      <c r="X92" s="181" t="e">
        <f t="shared" ref="X92:X126" si="21">RANK(W92, W$91:W$127)</f>
        <v>#N/A</v>
      </c>
      <c r="Y92" s="598"/>
      <c r="Z92" s="187"/>
      <c r="AA92" s="187"/>
      <c r="AB92" s="184"/>
      <c r="AC92" s="181" t="e">
        <f t="shared" ref="AC92:AC126" si="22">RANK(AB92, AB$91:AB$127)</f>
        <v>#N/A</v>
      </c>
      <c r="AD92" s="598"/>
      <c r="AE92" s="187"/>
      <c r="AF92" s="187"/>
      <c r="AG92" s="184"/>
      <c r="AH92" s="181" t="e">
        <f t="shared" ref="AH92:AH126" si="23">RANK(AG92, AG$91:AG$127)</f>
        <v>#N/A</v>
      </c>
      <c r="AI92" s="598"/>
      <c r="AJ92" s="187"/>
      <c r="AK92" s="187"/>
      <c r="AL92" s="184"/>
      <c r="AM92" s="181" t="e">
        <f t="shared" ref="AM92:AM126" si="24">RANK(AL92, AL$91:AL$127)</f>
        <v>#N/A</v>
      </c>
      <c r="AN92" s="598"/>
      <c r="AO92" s="187"/>
      <c r="AP92" s="187"/>
      <c r="AQ92" s="184"/>
      <c r="AR92" s="181" t="e">
        <f t="shared" ref="AR92:AR126" si="25">RANK(AQ92, AQ$91:AQ$127)</f>
        <v>#N/A</v>
      </c>
      <c r="AS92" s="598"/>
      <c r="AT92" s="187"/>
      <c r="AU92" s="187"/>
      <c r="AV92" s="184"/>
      <c r="AW92" s="181" t="e">
        <f t="shared" ref="AW92:AW126" si="26">RANK(AV92, AV$91:AV$127)</f>
        <v>#N/A</v>
      </c>
      <c r="AX92" s="598"/>
    </row>
    <row r="93" spans="2:50" ht="14.25" customHeight="1">
      <c r="B93" s="597"/>
      <c r="C93" s="179">
        <v>3</v>
      </c>
      <c r="D93" s="182"/>
      <c r="E93" s="179"/>
      <c r="F93" s="179"/>
      <c r="G93" s="184"/>
      <c r="H93" s="598"/>
      <c r="I93" s="185"/>
      <c r="J93" s="185"/>
      <c r="K93" s="186"/>
      <c r="L93" s="599"/>
      <c r="M93" s="185" t="e">
        <f>RANK(K93, K$91:$K$127)</f>
        <v>#N/A</v>
      </c>
      <c r="N93" s="597"/>
      <c r="O93" s="597"/>
      <c r="P93" s="187"/>
      <c r="Q93" s="187"/>
      <c r="R93" s="184"/>
      <c r="S93" s="181" t="e">
        <f t="shared" si="20"/>
        <v>#N/A</v>
      </c>
      <c r="T93" s="598"/>
      <c r="U93" s="187"/>
      <c r="V93" s="187"/>
      <c r="W93" s="184"/>
      <c r="X93" s="181" t="e">
        <f t="shared" si="21"/>
        <v>#N/A</v>
      </c>
      <c r="Y93" s="598"/>
      <c r="Z93" s="187"/>
      <c r="AA93" s="187"/>
      <c r="AB93" s="184"/>
      <c r="AC93" s="181" t="e">
        <f t="shared" si="22"/>
        <v>#N/A</v>
      </c>
      <c r="AD93" s="598"/>
      <c r="AE93" s="187"/>
      <c r="AF93" s="187"/>
      <c r="AG93" s="184"/>
      <c r="AH93" s="181" t="e">
        <f t="shared" si="23"/>
        <v>#N/A</v>
      </c>
      <c r="AI93" s="598"/>
      <c r="AJ93" s="187"/>
      <c r="AK93" s="187"/>
      <c r="AL93" s="184"/>
      <c r="AM93" s="181" t="e">
        <f t="shared" si="24"/>
        <v>#N/A</v>
      </c>
      <c r="AN93" s="598"/>
      <c r="AO93" s="187"/>
      <c r="AP93" s="187"/>
      <c r="AQ93" s="184"/>
      <c r="AR93" s="181" t="e">
        <f t="shared" si="25"/>
        <v>#N/A</v>
      </c>
      <c r="AS93" s="598"/>
      <c r="AT93" s="187"/>
      <c r="AU93" s="187"/>
      <c r="AV93" s="184"/>
      <c r="AW93" s="181" t="e">
        <f t="shared" si="26"/>
        <v>#N/A</v>
      </c>
      <c r="AX93" s="598"/>
    </row>
    <row r="94" spans="2:50" ht="14.25" customHeight="1">
      <c r="B94" s="597"/>
      <c r="C94" s="179">
        <v>4</v>
      </c>
      <c r="D94" s="182"/>
      <c r="E94" s="179"/>
      <c r="F94" s="179"/>
      <c r="G94" s="184"/>
      <c r="H94" s="598"/>
      <c r="I94" s="185"/>
      <c r="J94" s="185"/>
      <c r="K94" s="186"/>
      <c r="L94" s="599"/>
      <c r="M94" s="185" t="e">
        <f>RANK(K94, K$91:$K$127)</f>
        <v>#N/A</v>
      </c>
      <c r="N94" s="597"/>
      <c r="O94" s="597"/>
      <c r="P94" s="187"/>
      <c r="Q94" s="187"/>
      <c r="R94" s="184"/>
      <c r="S94" s="181" t="e">
        <f t="shared" si="20"/>
        <v>#N/A</v>
      </c>
      <c r="T94" s="598"/>
      <c r="U94" s="187"/>
      <c r="V94" s="187"/>
      <c r="W94" s="184"/>
      <c r="X94" s="181" t="e">
        <f t="shared" si="21"/>
        <v>#N/A</v>
      </c>
      <c r="Y94" s="598"/>
      <c r="Z94" s="187"/>
      <c r="AA94" s="187"/>
      <c r="AB94" s="184"/>
      <c r="AC94" s="181" t="e">
        <f t="shared" si="22"/>
        <v>#N/A</v>
      </c>
      <c r="AD94" s="598"/>
      <c r="AE94" s="187"/>
      <c r="AF94" s="187"/>
      <c r="AG94" s="184"/>
      <c r="AH94" s="181" t="e">
        <f t="shared" si="23"/>
        <v>#N/A</v>
      </c>
      <c r="AI94" s="598"/>
      <c r="AJ94" s="187"/>
      <c r="AK94" s="187"/>
      <c r="AL94" s="184"/>
      <c r="AM94" s="181" t="e">
        <f t="shared" si="24"/>
        <v>#N/A</v>
      </c>
      <c r="AN94" s="598"/>
      <c r="AO94" s="187"/>
      <c r="AP94" s="187"/>
      <c r="AQ94" s="184"/>
      <c r="AR94" s="181" t="e">
        <f t="shared" si="25"/>
        <v>#N/A</v>
      </c>
      <c r="AS94" s="598"/>
      <c r="AT94" s="187"/>
      <c r="AU94" s="187"/>
      <c r="AV94" s="184"/>
      <c r="AW94" s="181" t="e">
        <f t="shared" si="26"/>
        <v>#N/A</v>
      </c>
      <c r="AX94" s="598"/>
    </row>
    <row r="95" spans="2:50" ht="14.25" customHeight="1">
      <c r="B95" s="597"/>
      <c r="C95" s="179">
        <v>5</v>
      </c>
      <c r="D95" s="182"/>
      <c r="E95" s="179"/>
      <c r="F95" s="179"/>
      <c r="G95" s="184"/>
      <c r="H95" s="598"/>
      <c r="I95" s="185"/>
      <c r="J95" s="185"/>
      <c r="K95" s="186"/>
      <c r="L95" s="599"/>
      <c r="M95" s="185" t="e">
        <f>RANK(K95, K$91:$K$127)</f>
        <v>#N/A</v>
      </c>
      <c r="N95" s="597"/>
      <c r="O95" s="597"/>
      <c r="P95" s="187"/>
      <c r="Q95" s="187"/>
      <c r="R95" s="184"/>
      <c r="S95" s="181" t="e">
        <f t="shared" si="20"/>
        <v>#N/A</v>
      </c>
      <c r="T95" s="598"/>
      <c r="U95" s="187"/>
      <c r="V95" s="187"/>
      <c r="W95" s="184"/>
      <c r="X95" s="181" t="e">
        <f t="shared" si="21"/>
        <v>#N/A</v>
      </c>
      <c r="Y95" s="598"/>
      <c r="Z95" s="187"/>
      <c r="AA95" s="187"/>
      <c r="AB95" s="184"/>
      <c r="AC95" s="181" t="e">
        <f t="shared" si="22"/>
        <v>#N/A</v>
      </c>
      <c r="AD95" s="598"/>
      <c r="AE95" s="187"/>
      <c r="AF95" s="187"/>
      <c r="AG95" s="184"/>
      <c r="AH95" s="181" t="e">
        <f t="shared" si="23"/>
        <v>#N/A</v>
      </c>
      <c r="AI95" s="598"/>
      <c r="AJ95" s="187"/>
      <c r="AK95" s="187"/>
      <c r="AL95" s="184"/>
      <c r="AM95" s="181" t="e">
        <f t="shared" si="24"/>
        <v>#N/A</v>
      </c>
      <c r="AN95" s="598"/>
      <c r="AO95" s="187"/>
      <c r="AP95" s="187"/>
      <c r="AQ95" s="184"/>
      <c r="AR95" s="181" t="e">
        <f t="shared" si="25"/>
        <v>#N/A</v>
      </c>
      <c r="AS95" s="598"/>
      <c r="AT95" s="187"/>
      <c r="AU95" s="187"/>
      <c r="AV95" s="184"/>
      <c r="AW95" s="181" t="e">
        <f t="shared" si="26"/>
        <v>#N/A</v>
      </c>
      <c r="AX95" s="598"/>
    </row>
    <row r="96" spans="2:50" ht="14.25" customHeight="1">
      <c r="B96" s="597"/>
      <c r="C96" s="179">
        <v>6</v>
      </c>
      <c r="D96" s="182"/>
      <c r="E96" s="179"/>
      <c r="F96" s="179"/>
      <c r="G96" s="184"/>
      <c r="H96" s="598"/>
      <c r="I96" s="185"/>
      <c r="J96" s="185"/>
      <c r="K96" s="186"/>
      <c r="L96" s="599"/>
      <c r="M96" s="185" t="e">
        <f>RANK(K96, K$91:$K$127)</f>
        <v>#N/A</v>
      </c>
      <c r="N96" s="597"/>
      <c r="O96" s="597"/>
      <c r="P96" s="187"/>
      <c r="Q96" s="187"/>
      <c r="R96" s="184"/>
      <c r="S96" s="181" t="e">
        <f t="shared" si="20"/>
        <v>#N/A</v>
      </c>
      <c r="T96" s="598"/>
      <c r="U96" s="187"/>
      <c r="V96" s="187"/>
      <c r="W96" s="184"/>
      <c r="X96" s="181" t="e">
        <f t="shared" si="21"/>
        <v>#N/A</v>
      </c>
      <c r="Y96" s="598"/>
      <c r="Z96" s="187"/>
      <c r="AA96" s="187"/>
      <c r="AB96" s="184"/>
      <c r="AC96" s="181" t="e">
        <f t="shared" si="22"/>
        <v>#N/A</v>
      </c>
      <c r="AD96" s="598"/>
      <c r="AE96" s="187"/>
      <c r="AF96" s="187"/>
      <c r="AG96" s="184"/>
      <c r="AH96" s="181" t="e">
        <f t="shared" si="23"/>
        <v>#N/A</v>
      </c>
      <c r="AI96" s="598"/>
      <c r="AJ96" s="187"/>
      <c r="AK96" s="187"/>
      <c r="AL96" s="184"/>
      <c r="AM96" s="181" t="e">
        <f t="shared" si="24"/>
        <v>#N/A</v>
      </c>
      <c r="AN96" s="598"/>
      <c r="AO96" s="187"/>
      <c r="AP96" s="187"/>
      <c r="AQ96" s="184"/>
      <c r="AR96" s="181" t="e">
        <f t="shared" si="25"/>
        <v>#N/A</v>
      </c>
      <c r="AS96" s="598"/>
      <c r="AT96" s="187"/>
      <c r="AU96" s="187"/>
      <c r="AV96" s="184"/>
      <c r="AW96" s="181" t="e">
        <f t="shared" si="26"/>
        <v>#N/A</v>
      </c>
      <c r="AX96" s="598"/>
    </row>
    <row r="97" spans="2:50" ht="14.25" customHeight="1">
      <c r="B97" s="597"/>
      <c r="C97" s="179">
        <v>7</v>
      </c>
      <c r="D97" s="182"/>
      <c r="E97" s="179"/>
      <c r="F97" s="179"/>
      <c r="G97" s="184"/>
      <c r="H97" s="598"/>
      <c r="I97" s="185"/>
      <c r="J97" s="185"/>
      <c r="K97" s="186"/>
      <c r="L97" s="599"/>
      <c r="M97" s="185" t="e">
        <f>RANK(K97, K$91:$K$127)</f>
        <v>#N/A</v>
      </c>
      <c r="N97" s="597"/>
      <c r="O97" s="597"/>
      <c r="P97" s="187"/>
      <c r="Q97" s="187"/>
      <c r="R97" s="184"/>
      <c r="S97" s="181" t="e">
        <f t="shared" si="20"/>
        <v>#N/A</v>
      </c>
      <c r="T97" s="598"/>
      <c r="U97" s="187"/>
      <c r="V97" s="187"/>
      <c r="W97" s="184"/>
      <c r="X97" s="181" t="e">
        <f t="shared" si="21"/>
        <v>#N/A</v>
      </c>
      <c r="Y97" s="598"/>
      <c r="Z97" s="187"/>
      <c r="AA97" s="187"/>
      <c r="AB97" s="184"/>
      <c r="AC97" s="181" t="e">
        <f t="shared" si="22"/>
        <v>#N/A</v>
      </c>
      <c r="AD97" s="598"/>
      <c r="AE97" s="187"/>
      <c r="AF97" s="187"/>
      <c r="AG97" s="184"/>
      <c r="AH97" s="181" t="e">
        <f t="shared" si="23"/>
        <v>#N/A</v>
      </c>
      <c r="AI97" s="598"/>
      <c r="AJ97" s="187"/>
      <c r="AK97" s="187"/>
      <c r="AL97" s="184"/>
      <c r="AM97" s="181" t="e">
        <f t="shared" si="24"/>
        <v>#N/A</v>
      </c>
      <c r="AN97" s="598"/>
      <c r="AO97" s="187"/>
      <c r="AP97" s="187"/>
      <c r="AQ97" s="184"/>
      <c r="AR97" s="181" t="e">
        <f t="shared" si="25"/>
        <v>#N/A</v>
      </c>
      <c r="AS97" s="598"/>
      <c r="AT97" s="187"/>
      <c r="AU97" s="187"/>
      <c r="AV97" s="184"/>
      <c r="AW97" s="181" t="e">
        <f t="shared" si="26"/>
        <v>#N/A</v>
      </c>
      <c r="AX97" s="598"/>
    </row>
    <row r="98" spans="2:50" ht="14.25" customHeight="1">
      <c r="B98" s="597"/>
      <c r="C98" s="179">
        <v>8</v>
      </c>
      <c r="D98" s="182"/>
      <c r="E98" s="179"/>
      <c r="F98" s="179"/>
      <c r="G98" s="184"/>
      <c r="H98" s="598"/>
      <c r="I98" s="185"/>
      <c r="J98" s="185"/>
      <c r="K98" s="186"/>
      <c r="L98" s="599"/>
      <c r="M98" s="185" t="e">
        <f>RANK(K98, K$91:$K$127)</f>
        <v>#N/A</v>
      </c>
      <c r="N98" s="597"/>
      <c r="O98" s="597"/>
      <c r="P98" s="187"/>
      <c r="Q98" s="187"/>
      <c r="R98" s="184"/>
      <c r="S98" s="181" t="e">
        <f t="shared" si="20"/>
        <v>#N/A</v>
      </c>
      <c r="T98" s="598"/>
      <c r="U98" s="187"/>
      <c r="V98" s="187"/>
      <c r="W98" s="184"/>
      <c r="X98" s="181" t="e">
        <f t="shared" si="21"/>
        <v>#N/A</v>
      </c>
      <c r="Y98" s="598"/>
      <c r="Z98" s="187"/>
      <c r="AA98" s="187"/>
      <c r="AB98" s="184"/>
      <c r="AC98" s="181" t="e">
        <f t="shared" si="22"/>
        <v>#N/A</v>
      </c>
      <c r="AD98" s="598"/>
      <c r="AE98" s="187"/>
      <c r="AF98" s="187"/>
      <c r="AG98" s="184"/>
      <c r="AH98" s="181" t="e">
        <f t="shared" si="23"/>
        <v>#N/A</v>
      </c>
      <c r="AI98" s="598"/>
      <c r="AJ98" s="187"/>
      <c r="AK98" s="187"/>
      <c r="AL98" s="184"/>
      <c r="AM98" s="181" t="e">
        <f t="shared" si="24"/>
        <v>#N/A</v>
      </c>
      <c r="AN98" s="598"/>
      <c r="AO98" s="187"/>
      <c r="AP98" s="187"/>
      <c r="AQ98" s="184"/>
      <c r="AR98" s="181" t="e">
        <f t="shared" si="25"/>
        <v>#N/A</v>
      </c>
      <c r="AS98" s="598"/>
      <c r="AT98" s="187"/>
      <c r="AU98" s="187"/>
      <c r="AV98" s="184"/>
      <c r="AW98" s="181" t="e">
        <f t="shared" si="26"/>
        <v>#N/A</v>
      </c>
      <c r="AX98" s="598"/>
    </row>
    <row r="99" spans="2:50" ht="14.25" customHeight="1">
      <c r="B99" s="597"/>
      <c r="C99" s="179">
        <v>9</v>
      </c>
      <c r="D99" s="182"/>
      <c r="E99" s="179"/>
      <c r="F99" s="179"/>
      <c r="G99" s="184"/>
      <c r="H99" s="598"/>
      <c r="I99" s="185"/>
      <c r="J99" s="185"/>
      <c r="K99" s="186"/>
      <c r="L99" s="599"/>
      <c r="M99" s="185" t="e">
        <f>RANK(K99, K$91:$K$127)</f>
        <v>#N/A</v>
      </c>
      <c r="N99" s="597"/>
      <c r="O99" s="597"/>
      <c r="P99" s="187"/>
      <c r="Q99" s="187"/>
      <c r="R99" s="184"/>
      <c r="S99" s="181" t="e">
        <f t="shared" si="20"/>
        <v>#N/A</v>
      </c>
      <c r="T99" s="598"/>
      <c r="U99" s="187"/>
      <c r="V99" s="187"/>
      <c r="W99" s="184"/>
      <c r="X99" s="181" t="e">
        <f t="shared" si="21"/>
        <v>#N/A</v>
      </c>
      <c r="Y99" s="598"/>
      <c r="Z99" s="187"/>
      <c r="AA99" s="187"/>
      <c r="AB99" s="184"/>
      <c r="AC99" s="181" t="e">
        <f t="shared" si="22"/>
        <v>#N/A</v>
      </c>
      <c r="AD99" s="598"/>
      <c r="AE99" s="187"/>
      <c r="AF99" s="187"/>
      <c r="AG99" s="184"/>
      <c r="AH99" s="181" t="e">
        <f t="shared" si="23"/>
        <v>#N/A</v>
      </c>
      <c r="AI99" s="598"/>
      <c r="AJ99" s="187"/>
      <c r="AK99" s="187"/>
      <c r="AL99" s="184"/>
      <c r="AM99" s="181" t="e">
        <f t="shared" si="24"/>
        <v>#N/A</v>
      </c>
      <c r="AN99" s="598"/>
      <c r="AO99" s="187"/>
      <c r="AP99" s="187"/>
      <c r="AQ99" s="184"/>
      <c r="AR99" s="181" t="e">
        <f t="shared" si="25"/>
        <v>#N/A</v>
      </c>
      <c r="AS99" s="598"/>
      <c r="AT99" s="187"/>
      <c r="AU99" s="187"/>
      <c r="AV99" s="184"/>
      <c r="AW99" s="181" t="e">
        <f t="shared" si="26"/>
        <v>#N/A</v>
      </c>
      <c r="AX99" s="598"/>
    </row>
    <row r="100" spans="2:50" ht="14.25" customHeight="1">
      <c r="B100" s="597"/>
      <c r="C100" s="179">
        <v>10</v>
      </c>
      <c r="D100" s="182"/>
      <c r="E100" s="179"/>
      <c r="F100" s="179"/>
      <c r="G100" s="184"/>
      <c r="H100" s="598"/>
      <c r="I100" s="185"/>
      <c r="J100" s="185"/>
      <c r="K100" s="186"/>
      <c r="L100" s="599"/>
      <c r="M100" s="185" t="e">
        <f>RANK(K100, K$91:$K$127)</f>
        <v>#N/A</v>
      </c>
      <c r="N100" s="597"/>
      <c r="O100" s="597"/>
      <c r="P100" s="187"/>
      <c r="Q100" s="187"/>
      <c r="R100" s="184"/>
      <c r="S100" s="181" t="e">
        <f t="shared" si="20"/>
        <v>#N/A</v>
      </c>
      <c r="T100" s="598"/>
      <c r="U100" s="187"/>
      <c r="V100" s="187"/>
      <c r="W100" s="184"/>
      <c r="X100" s="181" t="e">
        <f t="shared" si="21"/>
        <v>#N/A</v>
      </c>
      <c r="Y100" s="598"/>
      <c r="Z100" s="187"/>
      <c r="AA100" s="187"/>
      <c r="AB100" s="184"/>
      <c r="AC100" s="181" t="e">
        <f t="shared" si="22"/>
        <v>#N/A</v>
      </c>
      <c r="AD100" s="598"/>
      <c r="AE100" s="187"/>
      <c r="AF100" s="187"/>
      <c r="AG100" s="184"/>
      <c r="AH100" s="181" t="e">
        <f t="shared" si="23"/>
        <v>#N/A</v>
      </c>
      <c r="AI100" s="598"/>
      <c r="AJ100" s="187"/>
      <c r="AK100" s="187"/>
      <c r="AL100" s="184"/>
      <c r="AM100" s="181" t="e">
        <f t="shared" si="24"/>
        <v>#N/A</v>
      </c>
      <c r="AN100" s="598"/>
      <c r="AO100" s="187"/>
      <c r="AP100" s="187"/>
      <c r="AQ100" s="184"/>
      <c r="AR100" s="181" t="e">
        <f t="shared" si="25"/>
        <v>#N/A</v>
      </c>
      <c r="AS100" s="598"/>
      <c r="AT100" s="187"/>
      <c r="AU100" s="187"/>
      <c r="AV100" s="184"/>
      <c r="AW100" s="181" t="e">
        <f t="shared" si="26"/>
        <v>#N/A</v>
      </c>
      <c r="AX100" s="598"/>
    </row>
    <row r="101" spans="2:50" ht="14.25" customHeight="1">
      <c r="B101" s="597"/>
      <c r="C101" s="179">
        <v>11</v>
      </c>
      <c r="D101" s="182"/>
      <c r="E101" s="179"/>
      <c r="F101" s="179"/>
      <c r="G101" s="184"/>
      <c r="H101" s="598"/>
      <c r="I101" s="185"/>
      <c r="J101" s="185"/>
      <c r="K101" s="186"/>
      <c r="L101" s="599"/>
      <c r="M101" s="185" t="e">
        <f>RANK(K101, K$91:$K$127)</f>
        <v>#N/A</v>
      </c>
      <c r="N101" s="597"/>
      <c r="O101" s="597"/>
      <c r="P101" s="187"/>
      <c r="Q101" s="187"/>
      <c r="R101" s="184"/>
      <c r="S101" s="181" t="e">
        <f t="shared" si="20"/>
        <v>#N/A</v>
      </c>
      <c r="T101" s="598"/>
      <c r="U101" s="187"/>
      <c r="V101" s="187"/>
      <c r="W101" s="184"/>
      <c r="X101" s="181" t="e">
        <f t="shared" si="21"/>
        <v>#N/A</v>
      </c>
      <c r="Y101" s="598"/>
      <c r="Z101" s="187"/>
      <c r="AA101" s="187"/>
      <c r="AB101" s="184"/>
      <c r="AC101" s="181" t="e">
        <f t="shared" si="22"/>
        <v>#N/A</v>
      </c>
      <c r="AD101" s="598"/>
      <c r="AE101" s="187"/>
      <c r="AF101" s="187"/>
      <c r="AG101" s="184"/>
      <c r="AH101" s="181" t="e">
        <f t="shared" si="23"/>
        <v>#N/A</v>
      </c>
      <c r="AI101" s="598"/>
      <c r="AJ101" s="187"/>
      <c r="AK101" s="187"/>
      <c r="AL101" s="184"/>
      <c r="AM101" s="181" t="e">
        <f t="shared" si="24"/>
        <v>#N/A</v>
      </c>
      <c r="AN101" s="598"/>
      <c r="AO101" s="187"/>
      <c r="AP101" s="187"/>
      <c r="AQ101" s="184"/>
      <c r="AR101" s="181" t="e">
        <f t="shared" si="25"/>
        <v>#N/A</v>
      </c>
      <c r="AS101" s="598"/>
      <c r="AT101" s="187"/>
      <c r="AU101" s="187"/>
      <c r="AV101" s="184"/>
      <c r="AW101" s="181" t="e">
        <f t="shared" si="26"/>
        <v>#N/A</v>
      </c>
      <c r="AX101" s="598"/>
    </row>
    <row r="102" spans="2:50" ht="14.25" customHeight="1">
      <c r="B102" s="597"/>
      <c r="C102" s="179">
        <v>12</v>
      </c>
      <c r="D102" s="182"/>
      <c r="E102" s="179"/>
      <c r="F102" s="179"/>
      <c r="G102" s="184"/>
      <c r="H102" s="598"/>
      <c r="I102" s="185"/>
      <c r="J102" s="185"/>
      <c r="K102" s="186"/>
      <c r="L102" s="599"/>
      <c r="M102" s="185" t="e">
        <f>RANK(K102, K$91:$K$127)</f>
        <v>#N/A</v>
      </c>
      <c r="N102" s="597"/>
      <c r="O102" s="597"/>
      <c r="P102" s="187"/>
      <c r="Q102" s="187"/>
      <c r="R102" s="184"/>
      <c r="S102" s="181" t="e">
        <f t="shared" si="20"/>
        <v>#N/A</v>
      </c>
      <c r="T102" s="598"/>
      <c r="U102" s="187"/>
      <c r="V102" s="187"/>
      <c r="W102" s="184"/>
      <c r="X102" s="181" t="e">
        <f t="shared" si="21"/>
        <v>#N/A</v>
      </c>
      <c r="Y102" s="598"/>
      <c r="Z102" s="187"/>
      <c r="AA102" s="187"/>
      <c r="AB102" s="184"/>
      <c r="AC102" s="181" t="e">
        <f t="shared" si="22"/>
        <v>#N/A</v>
      </c>
      <c r="AD102" s="598"/>
      <c r="AE102" s="187"/>
      <c r="AF102" s="187"/>
      <c r="AG102" s="184"/>
      <c r="AH102" s="181" t="e">
        <f t="shared" si="23"/>
        <v>#N/A</v>
      </c>
      <c r="AI102" s="598"/>
      <c r="AJ102" s="187"/>
      <c r="AK102" s="187"/>
      <c r="AL102" s="184"/>
      <c r="AM102" s="181" t="e">
        <f t="shared" si="24"/>
        <v>#N/A</v>
      </c>
      <c r="AN102" s="598"/>
      <c r="AO102" s="187"/>
      <c r="AP102" s="187"/>
      <c r="AQ102" s="184"/>
      <c r="AR102" s="181" t="e">
        <f t="shared" si="25"/>
        <v>#N/A</v>
      </c>
      <c r="AS102" s="598"/>
      <c r="AT102" s="187"/>
      <c r="AU102" s="187"/>
      <c r="AV102" s="184"/>
      <c r="AW102" s="181" t="e">
        <f t="shared" si="26"/>
        <v>#N/A</v>
      </c>
      <c r="AX102" s="598"/>
    </row>
    <row r="103" spans="2:50" ht="14.25" customHeight="1">
      <c r="B103" s="597"/>
      <c r="C103" s="179">
        <v>13</v>
      </c>
      <c r="D103" s="182"/>
      <c r="E103" s="179"/>
      <c r="F103" s="179"/>
      <c r="G103" s="184"/>
      <c r="H103" s="598"/>
      <c r="I103" s="185"/>
      <c r="J103" s="185"/>
      <c r="K103" s="186"/>
      <c r="L103" s="599"/>
      <c r="M103" s="185" t="e">
        <f>RANK(K103, K$91:$K$127)</f>
        <v>#N/A</v>
      </c>
      <c r="N103" s="597"/>
      <c r="O103" s="597"/>
      <c r="P103" s="187"/>
      <c r="Q103" s="187"/>
      <c r="R103" s="184"/>
      <c r="S103" s="181" t="e">
        <f t="shared" si="20"/>
        <v>#N/A</v>
      </c>
      <c r="T103" s="598"/>
      <c r="U103" s="187"/>
      <c r="V103" s="187"/>
      <c r="W103" s="184"/>
      <c r="X103" s="181"/>
      <c r="Y103" s="598"/>
      <c r="Z103" s="187"/>
      <c r="AA103" s="187"/>
      <c r="AB103" s="184"/>
      <c r="AC103" s="181"/>
      <c r="AD103" s="598"/>
      <c r="AE103" s="187"/>
      <c r="AF103" s="187"/>
      <c r="AG103" s="184"/>
      <c r="AH103" s="181"/>
      <c r="AI103" s="598"/>
      <c r="AJ103" s="187"/>
      <c r="AK103" s="187"/>
      <c r="AL103" s="184"/>
      <c r="AM103" s="181"/>
      <c r="AN103" s="598"/>
      <c r="AO103" s="187"/>
      <c r="AP103" s="187"/>
      <c r="AQ103" s="184"/>
      <c r="AR103" s="181"/>
      <c r="AS103" s="598"/>
      <c r="AT103" s="187"/>
      <c r="AU103" s="187"/>
      <c r="AV103" s="184"/>
      <c r="AW103" s="181"/>
      <c r="AX103" s="598"/>
    </row>
    <row r="104" spans="2:50" ht="14.25" customHeight="1">
      <c r="B104" s="597"/>
      <c r="C104" s="179">
        <v>14</v>
      </c>
      <c r="D104" s="182"/>
      <c r="E104" s="179"/>
      <c r="F104" s="179"/>
      <c r="G104" s="184"/>
      <c r="H104" s="598"/>
      <c r="I104" s="185"/>
      <c r="J104" s="185"/>
      <c r="K104" s="186"/>
      <c r="L104" s="599"/>
      <c r="M104" s="185" t="e">
        <f>RANK(K104, K$91:$K$127)</f>
        <v>#N/A</v>
      </c>
      <c r="N104" s="597"/>
      <c r="O104" s="597"/>
      <c r="P104" s="187"/>
      <c r="Q104" s="187"/>
      <c r="R104" s="184"/>
      <c r="S104" s="181" t="e">
        <f t="shared" si="20"/>
        <v>#N/A</v>
      </c>
      <c r="T104" s="598"/>
      <c r="U104" s="187"/>
      <c r="V104" s="187"/>
      <c r="W104" s="184"/>
      <c r="X104" s="181" t="e">
        <f t="shared" si="21"/>
        <v>#N/A</v>
      </c>
      <c r="Y104" s="598"/>
      <c r="Z104" s="187"/>
      <c r="AA104" s="187"/>
      <c r="AB104" s="184"/>
      <c r="AC104" s="181" t="e">
        <f t="shared" si="22"/>
        <v>#N/A</v>
      </c>
      <c r="AD104" s="598"/>
      <c r="AE104" s="187"/>
      <c r="AF104" s="187"/>
      <c r="AG104" s="184"/>
      <c r="AH104" s="181" t="e">
        <f t="shared" si="23"/>
        <v>#N/A</v>
      </c>
      <c r="AI104" s="598"/>
      <c r="AJ104" s="187"/>
      <c r="AK104" s="187"/>
      <c r="AL104" s="184"/>
      <c r="AM104" s="181" t="e">
        <f t="shared" si="24"/>
        <v>#N/A</v>
      </c>
      <c r="AN104" s="598"/>
      <c r="AO104" s="187"/>
      <c r="AP104" s="187"/>
      <c r="AQ104" s="184"/>
      <c r="AR104" s="181" t="e">
        <f t="shared" si="25"/>
        <v>#N/A</v>
      </c>
      <c r="AS104" s="598"/>
      <c r="AT104" s="187"/>
      <c r="AU104" s="187"/>
      <c r="AV104" s="184"/>
      <c r="AW104" s="181" t="e">
        <f t="shared" si="26"/>
        <v>#N/A</v>
      </c>
      <c r="AX104" s="598"/>
    </row>
    <row r="105" spans="2:50" ht="14.25" customHeight="1">
      <c r="B105" s="597"/>
      <c r="C105" s="179">
        <v>15</v>
      </c>
      <c r="D105" s="182"/>
      <c r="E105" s="179"/>
      <c r="F105" s="179"/>
      <c r="G105" s="184"/>
      <c r="H105" s="598"/>
      <c r="I105" s="185"/>
      <c r="J105" s="185"/>
      <c r="K105" s="186"/>
      <c r="L105" s="599"/>
      <c r="M105" s="185" t="e">
        <f>RANK(K105, K$91:$K$127)</f>
        <v>#N/A</v>
      </c>
      <c r="N105" s="597"/>
      <c r="O105" s="597"/>
      <c r="P105" s="187"/>
      <c r="Q105" s="187"/>
      <c r="R105" s="184"/>
      <c r="S105" s="181" t="e">
        <f t="shared" si="20"/>
        <v>#N/A</v>
      </c>
      <c r="T105" s="598"/>
      <c r="U105" s="187"/>
      <c r="V105" s="187"/>
      <c r="W105" s="184"/>
      <c r="X105" s="181" t="e">
        <f t="shared" si="21"/>
        <v>#N/A</v>
      </c>
      <c r="Y105" s="598"/>
      <c r="Z105" s="187"/>
      <c r="AA105" s="187"/>
      <c r="AB105" s="184"/>
      <c r="AC105" s="181" t="e">
        <f t="shared" si="22"/>
        <v>#N/A</v>
      </c>
      <c r="AD105" s="598"/>
      <c r="AE105" s="187"/>
      <c r="AF105" s="187"/>
      <c r="AG105" s="184"/>
      <c r="AH105" s="181" t="e">
        <f t="shared" si="23"/>
        <v>#N/A</v>
      </c>
      <c r="AI105" s="598"/>
      <c r="AJ105" s="187"/>
      <c r="AK105" s="187"/>
      <c r="AL105" s="184"/>
      <c r="AM105" s="181" t="e">
        <f t="shared" si="24"/>
        <v>#N/A</v>
      </c>
      <c r="AN105" s="598"/>
      <c r="AO105" s="187"/>
      <c r="AP105" s="187"/>
      <c r="AQ105" s="184"/>
      <c r="AR105" s="181" t="e">
        <f t="shared" si="25"/>
        <v>#N/A</v>
      </c>
      <c r="AS105" s="598"/>
      <c r="AT105" s="187"/>
      <c r="AU105" s="187"/>
      <c r="AV105" s="184"/>
      <c r="AW105" s="181" t="e">
        <f t="shared" si="26"/>
        <v>#N/A</v>
      </c>
      <c r="AX105" s="598"/>
    </row>
    <row r="106" spans="2:50">
      <c r="M106" s="185" t="e">
        <f>RANK(K106, K$91:$K$127)</f>
        <v>#N/A</v>
      </c>
      <c r="S106" s="181" t="e">
        <f t="shared" si="20"/>
        <v>#N/A</v>
      </c>
      <c r="X106" s="181" t="e">
        <f t="shared" si="21"/>
        <v>#N/A</v>
      </c>
      <c r="AC106" s="181" t="e">
        <f t="shared" si="22"/>
        <v>#N/A</v>
      </c>
      <c r="AH106" s="181" t="e">
        <f t="shared" si="23"/>
        <v>#N/A</v>
      </c>
      <c r="AM106" s="181" t="e">
        <f t="shared" si="24"/>
        <v>#N/A</v>
      </c>
      <c r="AR106" s="181" t="e">
        <f t="shared" si="25"/>
        <v>#N/A</v>
      </c>
      <c r="AW106" s="181" t="e">
        <f t="shared" si="26"/>
        <v>#N/A</v>
      </c>
    </row>
    <row r="107" spans="2:50">
      <c r="M107" s="185" t="e">
        <f>RANK(K107, K$91:$K$127)</f>
        <v>#N/A</v>
      </c>
      <c r="S107" s="181" t="e">
        <f t="shared" si="20"/>
        <v>#N/A</v>
      </c>
      <c r="X107" s="181" t="e">
        <f t="shared" si="21"/>
        <v>#N/A</v>
      </c>
      <c r="AC107" s="181" t="e">
        <f t="shared" si="22"/>
        <v>#N/A</v>
      </c>
      <c r="AH107" s="181" t="e">
        <f t="shared" si="23"/>
        <v>#N/A</v>
      </c>
      <c r="AM107" s="181" t="e">
        <f t="shared" si="24"/>
        <v>#N/A</v>
      </c>
      <c r="AR107" s="181" t="e">
        <f t="shared" si="25"/>
        <v>#N/A</v>
      </c>
      <c r="AW107" s="181" t="e">
        <f t="shared" si="26"/>
        <v>#N/A</v>
      </c>
    </row>
    <row r="108" spans="2:50">
      <c r="M108" s="185" t="e">
        <f>RANK(K108, K$91:$K$127)</f>
        <v>#N/A</v>
      </c>
      <c r="S108" s="181" t="e">
        <f t="shared" si="20"/>
        <v>#N/A</v>
      </c>
      <c r="X108" s="181" t="e">
        <f t="shared" si="21"/>
        <v>#N/A</v>
      </c>
      <c r="AC108" s="181" t="e">
        <f t="shared" si="22"/>
        <v>#N/A</v>
      </c>
      <c r="AH108" s="181" t="e">
        <f t="shared" si="23"/>
        <v>#N/A</v>
      </c>
      <c r="AM108" s="181" t="e">
        <f t="shared" si="24"/>
        <v>#N/A</v>
      </c>
      <c r="AR108" s="181" t="e">
        <f t="shared" si="25"/>
        <v>#N/A</v>
      </c>
      <c r="AW108" s="181" t="e">
        <f t="shared" si="26"/>
        <v>#N/A</v>
      </c>
    </row>
    <row r="109" spans="2:50">
      <c r="M109" s="185" t="e">
        <f>RANK(K109, K$91:$K$127)</f>
        <v>#N/A</v>
      </c>
      <c r="S109" s="181" t="e">
        <f t="shared" si="20"/>
        <v>#N/A</v>
      </c>
      <c r="X109" s="181" t="e">
        <f t="shared" si="21"/>
        <v>#N/A</v>
      </c>
      <c r="AC109" s="181" t="e">
        <f t="shared" si="22"/>
        <v>#N/A</v>
      </c>
      <c r="AH109" s="181" t="e">
        <f t="shared" si="23"/>
        <v>#N/A</v>
      </c>
      <c r="AM109" s="181" t="e">
        <f t="shared" si="24"/>
        <v>#N/A</v>
      </c>
      <c r="AR109" s="181" t="e">
        <f t="shared" si="25"/>
        <v>#N/A</v>
      </c>
      <c r="AW109" s="181" t="e">
        <f t="shared" si="26"/>
        <v>#N/A</v>
      </c>
    </row>
    <row r="110" spans="2:50">
      <c r="M110" s="185" t="e">
        <f>RANK(K110, K$91:$K$127)</f>
        <v>#N/A</v>
      </c>
      <c r="S110" s="181" t="e">
        <f t="shared" si="20"/>
        <v>#N/A</v>
      </c>
      <c r="X110" s="181" t="e">
        <f t="shared" si="21"/>
        <v>#N/A</v>
      </c>
      <c r="AC110" s="181" t="e">
        <f t="shared" si="22"/>
        <v>#N/A</v>
      </c>
      <c r="AH110" s="181" t="e">
        <f t="shared" si="23"/>
        <v>#N/A</v>
      </c>
      <c r="AM110" s="181" t="e">
        <f t="shared" si="24"/>
        <v>#N/A</v>
      </c>
      <c r="AR110" s="181" t="e">
        <f t="shared" si="25"/>
        <v>#N/A</v>
      </c>
      <c r="AW110" s="181" t="e">
        <f t="shared" si="26"/>
        <v>#N/A</v>
      </c>
    </row>
    <row r="111" spans="2:50">
      <c r="M111" s="185" t="e">
        <f>RANK(K111, K$91:$K$127)</f>
        <v>#N/A</v>
      </c>
      <c r="S111" s="181" t="e">
        <f t="shared" si="20"/>
        <v>#N/A</v>
      </c>
      <c r="X111" s="181" t="e">
        <f t="shared" si="21"/>
        <v>#N/A</v>
      </c>
      <c r="AC111" s="181" t="e">
        <f t="shared" si="22"/>
        <v>#N/A</v>
      </c>
      <c r="AH111" s="181" t="e">
        <f t="shared" si="23"/>
        <v>#N/A</v>
      </c>
      <c r="AM111" s="181" t="e">
        <f t="shared" si="24"/>
        <v>#N/A</v>
      </c>
      <c r="AR111" s="181" t="e">
        <f t="shared" si="25"/>
        <v>#N/A</v>
      </c>
      <c r="AW111" s="181" t="e">
        <f t="shared" si="26"/>
        <v>#N/A</v>
      </c>
    </row>
    <row r="112" spans="2:50">
      <c r="M112" s="185" t="e">
        <f>RANK(K112, K$91:$K$127)</f>
        <v>#N/A</v>
      </c>
      <c r="S112" s="181" t="e">
        <f t="shared" si="20"/>
        <v>#N/A</v>
      </c>
      <c r="X112" s="181" t="e">
        <f t="shared" si="21"/>
        <v>#N/A</v>
      </c>
      <c r="AC112" s="181" t="e">
        <f t="shared" si="22"/>
        <v>#N/A</v>
      </c>
      <c r="AH112" s="181" t="e">
        <f t="shared" si="23"/>
        <v>#N/A</v>
      </c>
      <c r="AM112" s="181" t="e">
        <f t="shared" si="24"/>
        <v>#N/A</v>
      </c>
      <c r="AR112" s="181" t="e">
        <f t="shared" si="25"/>
        <v>#N/A</v>
      </c>
      <c r="AW112" s="181" t="e">
        <f t="shared" si="26"/>
        <v>#N/A</v>
      </c>
    </row>
    <row r="113" spans="13:49">
      <c r="M113" s="185" t="e">
        <f>RANK(K113, K$91:$K$127)</f>
        <v>#N/A</v>
      </c>
      <c r="S113" s="181" t="e">
        <f t="shared" si="20"/>
        <v>#N/A</v>
      </c>
      <c r="X113" s="181" t="e">
        <f t="shared" si="21"/>
        <v>#N/A</v>
      </c>
      <c r="AC113" s="181" t="e">
        <f t="shared" si="22"/>
        <v>#N/A</v>
      </c>
      <c r="AH113" s="181" t="e">
        <f t="shared" si="23"/>
        <v>#N/A</v>
      </c>
      <c r="AM113" s="181" t="e">
        <f t="shared" si="24"/>
        <v>#N/A</v>
      </c>
      <c r="AR113" s="181" t="e">
        <f t="shared" si="25"/>
        <v>#N/A</v>
      </c>
      <c r="AW113" s="181" t="e">
        <f t="shared" si="26"/>
        <v>#N/A</v>
      </c>
    </row>
    <row r="114" spans="13:49">
      <c r="M114" s="185" t="e">
        <f>RANK(K114, K$91:$K$127)</f>
        <v>#N/A</v>
      </c>
      <c r="S114" s="181" t="e">
        <f t="shared" si="20"/>
        <v>#N/A</v>
      </c>
      <c r="X114" s="181" t="e">
        <f t="shared" si="21"/>
        <v>#N/A</v>
      </c>
      <c r="AC114" s="181" t="e">
        <f t="shared" si="22"/>
        <v>#N/A</v>
      </c>
      <c r="AH114" s="181" t="e">
        <f t="shared" si="23"/>
        <v>#N/A</v>
      </c>
      <c r="AM114" s="181" t="e">
        <f t="shared" si="24"/>
        <v>#N/A</v>
      </c>
      <c r="AR114" s="181" t="e">
        <f t="shared" si="25"/>
        <v>#N/A</v>
      </c>
      <c r="AW114" s="181" t="e">
        <f t="shared" si="26"/>
        <v>#N/A</v>
      </c>
    </row>
    <row r="115" spans="13:49">
      <c r="M115" s="185" t="e">
        <f>RANK(K115, K$91:$K$127)</f>
        <v>#N/A</v>
      </c>
      <c r="S115" s="181" t="e">
        <f t="shared" si="20"/>
        <v>#N/A</v>
      </c>
      <c r="X115" s="181" t="e">
        <f t="shared" si="21"/>
        <v>#N/A</v>
      </c>
      <c r="AC115" s="181" t="e">
        <f t="shared" si="22"/>
        <v>#N/A</v>
      </c>
      <c r="AH115" s="181" t="e">
        <f t="shared" si="23"/>
        <v>#N/A</v>
      </c>
      <c r="AM115" s="181" t="e">
        <f t="shared" si="24"/>
        <v>#N/A</v>
      </c>
      <c r="AR115" s="181" t="e">
        <f t="shared" si="25"/>
        <v>#N/A</v>
      </c>
      <c r="AW115" s="181" t="e">
        <f t="shared" si="26"/>
        <v>#N/A</v>
      </c>
    </row>
    <row r="116" spans="13:49">
      <c r="M116" s="185" t="e">
        <f>RANK(K116, K$91:$K$127)</f>
        <v>#N/A</v>
      </c>
      <c r="S116" s="181" t="e">
        <f t="shared" si="20"/>
        <v>#N/A</v>
      </c>
      <c r="X116" s="181" t="e">
        <f t="shared" si="21"/>
        <v>#N/A</v>
      </c>
      <c r="AC116" s="181" t="e">
        <f t="shared" si="22"/>
        <v>#N/A</v>
      </c>
      <c r="AH116" s="181" t="e">
        <f t="shared" si="23"/>
        <v>#N/A</v>
      </c>
      <c r="AM116" s="181" t="e">
        <f t="shared" si="24"/>
        <v>#N/A</v>
      </c>
      <c r="AR116" s="181" t="e">
        <f t="shared" si="25"/>
        <v>#N/A</v>
      </c>
      <c r="AW116" s="181" t="e">
        <f t="shared" si="26"/>
        <v>#N/A</v>
      </c>
    </row>
    <row r="117" spans="13:49">
      <c r="M117" s="185" t="e">
        <f>RANK(K117, K$91:$K$127)</f>
        <v>#N/A</v>
      </c>
      <c r="S117" s="181" t="e">
        <f t="shared" si="20"/>
        <v>#N/A</v>
      </c>
      <c r="X117" s="181" t="e">
        <f t="shared" si="21"/>
        <v>#N/A</v>
      </c>
      <c r="AC117" s="181" t="e">
        <f t="shared" si="22"/>
        <v>#N/A</v>
      </c>
      <c r="AH117" s="181" t="e">
        <f t="shared" si="23"/>
        <v>#N/A</v>
      </c>
      <c r="AM117" s="181" t="e">
        <f t="shared" si="24"/>
        <v>#N/A</v>
      </c>
      <c r="AR117" s="181" t="e">
        <f t="shared" si="25"/>
        <v>#N/A</v>
      </c>
      <c r="AW117" s="181" t="e">
        <f t="shared" si="26"/>
        <v>#N/A</v>
      </c>
    </row>
    <row r="118" spans="13:49">
      <c r="M118" s="185" t="e">
        <f>RANK(K118, K$91:$K$127)</f>
        <v>#N/A</v>
      </c>
      <c r="S118" s="181" t="e">
        <f t="shared" si="20"/>
        <v>#N/A</v>
      </c>
      <c r="X118" s="181" t="e">
        <f t="shared" si="21"/>
        <v>#N/A</v>
      </c>
      <c r="AC118" s="181" t="e">
        <f t="shared" si="22"/>
        <v>#N/A</v>
      </c>
      <c r="AH118" s="181" t="e">
        <f t="shared" si="23"/>
        <v>#N/A</v>
      </c>
      <c r="AM118" s="181" t="e">
        <f t="shared" si="24"/>
        <v>#N/A</v>
      </c>
      <c r="AR118" s="181" t="e">
        <f t="shared" si="25"/>
        <v>#N/A</v>
      </c>
      <c r="AW118" s="181" t="e">
        <f t="shared" si="26"/>
        <v>#N/A</v>
      </c>
    </row>
    <row r="119" spans="13:49">
      <c r="M119" s="185" t="e">
        <f>RANK(K119, K$91:$K$127)</f>
        <v>#N/A</v>
      </c>
      <c r="S119" s="181" t="e">
        <f t="shared" si="20"/>
        <v>#N/A</v>
      </c>
      <c r="X119" s="181" t="e">
        <f t="shared" si="21"/>
        <v>#N/A</v>
      </c>
      <c r="AC119" s="181" t="e">
        <f t="shared" si="22"/>
        <v>#N/A</v>
      </c>
      <c r="AH119" s="181" t="e">
        <f t="shared" si="23"/>
        <v>#N/A</v>
      </c>
      <c r="AM119" s="181" t="e">
        <f t="shared" si="24"/>
        <v>#N/A</v>
      </c>
      <c r="AR119" s="181" t="e">
        <f t="shared" si="25"/>
        <v>#N/A</v>
      </c>
      <c r="AW119" s="181" t="e">
        <f t="shared" si="26"/>
        <v>#N/A</v>
      </c>
    </row>
    <row r="120" spans="13:49">
      <c r="M120" s="185" t="e">
        <f>RANK(K120, K$91:$K$127)</f>
        <v>#N/A</v>
      </c>
      <c r="S120" s="181" t="e">
        <f t="shared" si="20"/>
        <v>#N/A</v>
      </c>
      <c r="X120" s="181" t="e">
        <f t="shared" si="21"/>
        <v>#N/A</v>
      </c>
      <c r="AC120" s="181" t="e">
        <f t="shared" si="22"/>
        <v>#N/A</v>
      </c>
      <c r="AH120" s="181" t="e">
        <f t="shared" si="23"/>
        <v>#N/A</v>
      </c>
      <c r="AM120" s="181" t="e">
        <f t="shared" si="24"/>
        <v>#N/A</v>
      </c>
      <c r="AR120" s="181" t="e">
        <f t="shared" si="25"/>
        <v>#N/A</v>
      </c>
      <c r="AW120" s="181" t="e">
        <f t="shared" si="26"/>
        <v>#N/A</v>
      </c>
    </row>
    <row r="121" spans="13:49">
      <c r="M121" s="185" t="e">
        <f>RANK(K121, K$91:$K$127)</f>
        <v>#N/A</v>
      </c>
      <c r="S121" s="181" t="e">
        <f t="shared" si="20"/>
        <v>#N/A</v>
      </c>
      <c r="X121" s="181" t="e">
        <f t="shared" si="21"/>
        <v>#N/A</v>
      </c>
      <c r="AC121" s="181" t="e">
        <f t="shared" si="22"/>
        <v>#N/A</v>
      </c>
      <c r="AH121" s="181" t="e">
        <f t="shared" si="23"/>
        <v>#N/A</v>
      </c>
      <c r="AM121" s="181" t="e">
        <f t="shared" si="24"/>
        <v>#N/A</v>
      </c>
      <c r="AR121" s="181" t="e">
        <f t="shared" si="25"/>
        <v>#N/A</v>
      </c>
      <c r="AW121" s="181" t="e">
        <f t="shared" si="26"/>
        <v>#N/A</v>
      </c>
    </row>
    <row r="122" spans="13:49">
      <c r="M122" s="185" t="e">
        <f>RANK(K122, K$91:$K$127)</f>
        <v>#N/A</v>
      </c>
      <c r="S122" s="181" t="e">
        <f t="shared" si="20"/>
        <v>#N/A</v>
      </c>
      <c r="X122" s="181" t="e">
        <f t="shared" si="21"/>
        <v>#N/A</v>
      </c>
      <c r="AC122" s="181" t="e">
        <f t="shared" si="22"/>
        <v>#N/A</v>
      </c>
      <c r="AH122" s="181" t="e">
        <f t="shared" si="23"/>
        <v>#N/A</v>
      </c>
      <c r="AM122" s="181" t="e">
        <f t="shared" si="24"/>
        <v>#N/A</v>
      </c>
      <c r="AR122" s="181" t="e">
        <f t="shared" si="25"/>
        <v>#N/A</v>
      </c>
      <c r="AW122" s="181" t="e">
        <f t="shared" si="26"/>
        <v>#N/A</v>
      </c>
    </row>
    <row r="123" spans="13:49">
      <c r="M123" s="185" t="e">
        <f>RANK(K123, K$91:$K$127)</f>
        <v>#N/A</v>
      </c>
      <c r="S123" s="181" t="e">
        <f t="shared" si="20"/>
        <v>#N/A</v>
      </c>
      <c r="X123" s="181" t="e">
        <f t="shared" si="21"/>
        <v>#N/A</v>
      </c>
      <c r="AC123" s="181" t="e">
        <f t="shared" si="22"/>
        <v>#N/A</v>
      </c>
      <c r="AH123" s="181" t="e">
        <f t="shared" si="23"/>
        <v>#N/A</v>
      </c>
      <c r="AM123" s="181" t="e">
        <f t="shared" si="24"/>
        <v>#N/A</v>
      </c>
      <c r="AR123" s="181" t="e">
        <f t="shared" si="25"/>
        <v>#N/A</v>
      </c>
      <c r="AW123" s="181" t="e">
        <f t="shared" si="26"/>
        <v>#N/A</v>
      </c>
    </row>
    <row r="124" spans="13:49">
      <c r="M124" s="185" t="e">
        <f>RANK(K124, K$91:$K$127)</f>
        <v>#N/A</v>
      </c>
      <c r="S124" s="181" t="e">
        <f t="shared" si="20"/>
        <v>#N/A</v>
      </c>
      <c r="X124" s="181" t="e">
        <f t="shared" si="21"/>
        <v>#N/A</v>
      </c>
      <c r="AC124" s="181" t="e">
        <f t="shared" si="22"/>
        <v>#N/A</v>
      </c>
      <c r="AH124" s="181" t="e">
        <f t="shared" si="23"/>
        <v>#N/A</v>
      </c>
      <c r="AM124" s="181" t="e">
        <f t="shared" si="24"/>
        <v>#N/A</v>
      </c>
      <c r="AR124" s="181" t="e">
        <f t="shared" si="25"/>
        <v>#N/A</v>
      </c>
      <c r="AW124" s="181" t="e">
        <f t="shared" si="26"/>
        <v>#N/A</v>
      </c>
    </row>
    <row r="125" spans="13:49">
      <c r="M125" s="185" t="e">
        <f>RANK(K125, K$91:$K$127)</f>
        <v>#N/A</v>
      </c>
      <c r="S125" s="181" t="e">
        <f t="shared" si="20"/>
        <v>#N/A</v>
      </c>
      <c r="X125" s="181" t="e">
        <f t="shared" si="21"/>
        <v>#N/A</v>
      </c>
      <c r="AC125" s="181" t="e">
        <f t="shared" si="22"/>
        <v>#N/A</v>
      </c>
      <c r="AH125" s="181" t="e">
        <f t="shared" si="23"/>
        <v>#N/A</v>
      </c>
      <c r="AM125" s="181" t="e">
        <f t="shared" si="24"/>
        <v>#N/A</v>
      </c>
      <c r="AR125" s="181" t="e">
        <f t="shared" si="25"/>
        <v>#N/A</v>
      </c>
      <c r="AW125" s="181" t="e">
        <f t="shared" si="26"/>
        <v>#N/A</v>
      </c>
    </row>
    <row r="126" spans="13:49">
      <c r="M126" s="185" t="e">
        <f>RANK(K126, K$91:$K$127)</f>
        <v>#N/A</v>
      </c>
      <c r="S126" s="181" t="e">
        <f t="shared" si="20"/>
        <v>#N/A</v>
      </c>
      <c r="X126" s="181" t="e">
        <f t="shared" si="21"/>
        <v>#N/A</v>
      </c>
      <c r="AC126" s="181" t="e">
        <f t="shared" si="22"/>
        <v>#N/A</v>
      </c>
      <c r="AH126" s="181" t="e">
        <f t="shared" si="23"/>
        <v>#N/A</v>
      </c>
      <c r="AM126" s="181" t="e">
        <f t="shared" si="24"/>
        <v>#N/A</v>
      </c>
      <c r="AR126" s="181" t="e">
        <f t="shared" si="25"/>
        <v>#N/A</v>
      </c>
      <c r="AW126" s="181" t="e">
        <f t="shared" si="26"/>
        <v>#N/A</v>
      </c>
    </row>
  </sheetData>
  <mergeCells count="235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AJ86:AN86"/>
    <mergeCell ref="AO86:AS8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86:AX86"/>
    <mergeCell ref="P87:T87"/>
    <mergeCell ref="U87:Y87"/>
    <mergeCell ref="Z87:AD87"/>
    <mergeCell ref="AE87:AI87"/>
    <mergeCell ref="AJ87:AN87"/>
    <mergeCell ref="AO87:AS87"/>
    <mergeCell ref="AT87:AX87"/>
    <mergeCell ref="B88:B90"/>
    <mergeCell ref="C88:D90"/>
    <mergeCell ref="E88:G88"/>
    <mergeCell ref="H88:H90"/>
    <mergeCell ref="I88:K88"/>
    <mergeCell ref="L88:L90"/>
    <mergeCell ref="M88:M90"/>
    <mergeCell ref="N88:N105"/>
    <mergeCell ref="O88:O105"/>
    <mergeCell ref="P88:S88"/>
    <mergeCell ref="T88:T90"/>
    <mergeCell ref="U88:X88"/>
    <mergeCell ref="Y88:Y90"/>
    <mergeCell ref="Z88:AC88"/>
    <mergeCell ref="AD88:AD90"/>
    <mergeCell ref="AE88:AH88"/>
    <mergeCell ref="AN91:AN105"/>
    <mergeCell ref="AS91:AS105"/>
    <mergeCell ref="AI88:AI90"/>
    <mergeCell ref="AJ88:AM88"/>
    <mergeCell ref="AN88:AN90"/>
    <mergeCell ref="AO88:AR88"/>
    <mergeCell ref="AS88:AS90"/>
    <mergeCell ref="AT88:AW88"/>
    <mergeCell ref="AX88:AX90"/>
    <mergeCell ref="AJ89:AM89"/>
    <mergeCell ref="AO89:AR89"/>
    <mergeCell ref="AT89:AW89"/>
    <mergeCell ref="I44:K44"/>
    <mergeCell ref="L44:L46"/>
    <mergeCell ref="B91:B105"/>
    <mergeCell ref="H91:H105"/>
    <mergeCell ref="L91:L105"/>
    <mergeCell ref="T91:T105"/>
    <mergeCell ref="Y91:Y105"/>
    <mergeCell ref="AD91:AD105"/>
    <mergeCell ref="AI91:AI105"/>
    <mergeCell ref="E89:G89"/>
    <mergeCell ref="I89:K89"/>
    <mergeCell ref="P89:S89"/>
    <mergeCell ref="U89:X89"/>
    <mergeCell ref="Z89:AC89"/>
    <mergeCell ref="AE89:AH89"/>
    <mergeCell ref="N86:N87"/>
    <mergeCell ref="O86:O87"/>
    <mergeCell ref="P86:T86"/>
    <mergeCell ref="U86:Y86"/>
    <mergeCell ref="Z86:AD86"/>
    <mergeCell ref="AE86:AI86"/>
    <mergeCell ref="Z44:AC44"/>
    <mergeCell ref="AD44:AD46"/>
    <mergeCell ref="AX91:AX105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FFFFCC"/>
  </sheetPr>
  <dimension ref="A1:AX126"/>
  <sheetViews>
    <sheetView zoomScaleNormal="100" workbookViewId="0">
      <pane xSplit="13" ySplit="1" topLeftCell="Y29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M47" sqref="M47:M49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8" t="s">
        <v>744</v>
      </c>
      <c r="C1" s="174">
        <f>AVERAGE(L7,L27,L47)</f>
        <v>156.88743072050309</v>
      </c>
    </row>
    <row r="2" spans="1:50" ht="14.25" customHeight="1">
      <c r="B2" s="625" t="s">
        <v>709</v>
      </c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2"/>
      <c r="N2" s="629" t="s">
        <v>363</v>
      </c>
      <c r="O2" s="615" t="s">
        <v>105</v>
      </c>
      <c r="P2" s="617">
        <v>46203</v>
      </c>
      <c r="Q2" s="618"/>
      <c r="R2" s="618"/>
      <c r="S2" s="618"/>
      <c r="T2" s="618"/>
      <c r="U2" s="619">
        <v>46204</v>
      </c>
      <c r="V2" s="620"/>
      <c r="W2" s="620"/>
      <c r="X2" s="620"/>
      <c r="Y2" s="620"/>
      <c r="Z2" s="617">
        <v>46205</v>
      </c>
      <c r="AA2" s="618"/>
      <c r="AB2" s="618"/>
      <c r="AC2" s="618"/>
      <c r="AD2" s="618"/>
      <c r="AE2" s="619">
        <v>46206</v>
      </c>
      <c r="AF2" s="620"/>
      <c r="AG2" s="620"/>
      <c r="AH2" s="620"/>
      <c r="AI2" s="620"/>
      <c r="AJ2" s="602">
        <v>46207</v>
      </c>
      <c r="AK2" s="603"/>
      <c r="AL2" s="603"/>
      <c r="AM2" s="603"/>
      <c r="AN2" s="604"/>
      <c r="AO2" s="619">
        <v>46208</v>
      </c>
      <c r="AP2" s="620"/>
      <c r="AQ2" s="620"/>
      <c r="AR2" s="620"/>
      <c r="AS2" s="620"/>
      <c r="AT2" s="602">
        <v>46209</v>
      </c>
      <c r="AU2" s="603"/>
      <c r="AV2" s="603"/>
      <c r="AW2" s="603"/>
      <c r="AX2" s="604"/>
    </row>
    <row r="3" spans="1:50" ht="14.25" customHeight="1"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4"/>
      <c r="N3" s="630"/>
      <c r="O3" s="616"/>
      <c r="P3" s="605">
        <v>46196</v>
      </c>
      <c r="Q3" s="605"/>
      <c r="R3" s="605"/>
      <c r="S3" s="605"/>
      <c r="T3" s="605"/>
      <c r="U3" s="606">
        <v>46197</v>
      </c>
      <c r="V3" s="606"/>
      <c r="W3" s="606"/>
      <c r="X3" s="606"/>
      <c r="Y3" s="606"/>
      <c r="Z3" s="605">
        <v>46198</v>
      </c>
      <c r="AA3" s="605"/>
      <c r="AB3" s="605"/>
      <c r="AC3" s="605"/>
      <c r="AD3" s="605"/>
      <c r="AE3" s="606">
        <v>46199</v>
      </c>
      <c r="AF3" s="606"/>
      <c r="AG3" s="606"/>
      <c r="AH3" s="606"/>
      <c r="AI3" s="606"/>
      <c r="AJ3" s="607">
        <v>46200</v>
      </c>
      <c r="AK3" s="608"/>
      <c r="AL3" s="608"/>
      <c r="AM3" s="608"/>
      <c r="AN3" s="609"/>
      <c r="AO3" s="606">
        <v>46201</v>
      </c>
      <c r="AP3" s="606"/>
      <c r="AQ3" s="606"/>
      <c r="AR3" s="606"/>
      <c r="AS3" s="606"/>
      <c r="AT3" s="607">
        <v>46202</v>
      </c>
      <c r="AU3" s="608"/>
      <c r="AV3" s="608"/>
      <c r="AW3" s="608"/>
      <c r="AX3" s="609"/>
    </row>
    <row r="4" spans="1:50" ht="14.25" customHeight="1">
      <c r="B4" s="597" t="s">
        <v>162</v>
      </c>
      <c r="C4" s="597" t="s">
        <v>157</v>
      </c>
      <c r="D4" s="597"/>
      <c r="E4" s="597" t="s">
        <v>158</v>
      </c>
      <c r="F4" s="597"/>
      <c r="G4" s="597"/>
      <c r="H4" s="597" t="s">
        <v>163</v>
      </c>
      <c r="I4" s="601" t="s">
        <v>364</v>
      </c>
      <c r="J4" s="601"/>
      <c r="K4" s="601"/>
      <c r="L4" s="601" t="s">
        <v>163</v>
      </c>
      <c r="M4" s="601" t="s">
        <v>165</v>
      </c>
      <c r="N4" s="597"/>
      <c r="O4" s="597" t="s">
        <v>164</v>
      </c>
      <c r="P4" s="597" t="s">
        <v>160</v>
      </c>
      <c r="Q4" s="597"/>
      <c r="R4" s="597"/>
      <c r="S4" s="597"/>
      <c r="T4" s="597" t="s">
        <v>163</v>
      </c>
      <c r="U4" s="597" t="s">
        <v>160</v>
      </c>
      <c r="V4" s="597"/>
      <c r="W4" s="597"/>
      <c r="X4" s="597"/>
      <c r="Y4" s="597" t="s">
        <v>163</v>
      </c>
      <c r="Z4" s="597" t="s">
        <v>160</v>
      </c>
      <c r="AA4" s="597"/>
      <c r="AB4" s="597"/>
      <c r="AC4" s="597"/>
      <c r="AD4" s="597" t="s">
        <v>163</v>
      </c>
      <c r="AE4" s="597" t="s">
        <v>160</v>
      </c>
      <c r="AF4" s="597"/>
      <c r="AG4" s="597"/>
      <c r="AH4" s="597"/>
      <c r="AI4" s="597" t="s">
        <v>163</v>
      </c>
      <c r="AJ4" s="597" t="s">
        <v>160</v>
      </c>
      <c r="AK4" s="597"/>
      <c r="AL4" s="597"/>
      <c r="AM4" s="597"/>
      <c r="AN4" s="597" t="s">
        <v>163</v>
      </c>
      <c r="AO4" s="597" t="s">
        <v>160</v>
      </c>
      <c r="AP4" s="597"/>
      <c r="AQ4" s="597"/>
      <c r="AR4" s="597"/>
      <c r="AS4" s="597" t="s">
        <v>163</v>
      </c>
      <c r="AT4" s="597" t="s">
        <v>160</v>
      </c>
      <c r="AU4" s="597"/>
      <c r="AV4" s="597"/>
      <c r="AW4" s="597"/>
      <c r="AX4" s="597" t="s">
        <v>163</v>
      </c>
    </row>
    <row r="5" spans="1:50" ht="14.25" customHeight="1">
      <c r="B5" s="597"/>
      <c r="C5" s="597"/>
      <c r="D5" s="597"/>
      <c r="E5" s="597" t="s">
        <v>365</v>
      </c>
      <c r="F5" s="597"/>
      <c r="G5" s="597"/>
      <c r="H5" s="597"/>
      <c r="I5" s="601" t="s">
        <v>365</v>
      </c>
      <c r="J5" s="601"/>
      <c r="K5" s="601"/>
      <c r="L5" s="601"/>
      <c r="M5" s="601"/>
      <c r="N5" s="597"/>
      <c r="O5" s="597"/>
      <c r="P5" s="597" t="s">
        <v>366</v>
      </c>
      <c r="Q5" s="597"/>
      <c r="R5" s="597"/>
      <c r="S5" s="597"/>
      <c r="T5" s="597"/>
      <c r="U5" s="597" t="s">
        <v>366</v>
      </c>
      <c r="V5" s="597"/>
      <c r="W5" s="597"/>
      <c r="X5" s="597"/>
      <c r="Y5" s="597"/>
      <c r="Z5" s="597" t="s">
        <v>366</v>
      </c>
      <c r="AA5" s="597"/>
      <c r="AB5" s="597"/>
      <c r="AC5" s="597"/>
      <c r="AD5" s="597"/>
      <c r="AE5" s="597" t="s">
        <v>366</v>
      </c>
      <c r="AF5" s="597"/>
      <c r="AG5" s="597"/>
      <c r="AH5" s="597"/>
      <c r="AI5" s="597"/>
      <c r="AJ5" s="597" t="s">
        <v>366</v>
      </c>
      <c r="AK5" s="597"/>
      <c r="AL5" s="597"/>
      <c r="AM5" s="597"/>
      <c r="AN5" s="597"/>
      <c r="AO5" s="597" t="s">
        <v>366</v>
      </c>
      <c r="AP5" s="597"/>
      <c r="AQ5" s="597"/>
      <c r="AR5" s="597"/>
      <c r="AS5" s="597"/>
      <c r="AT5" s="597" t="s">
        <v>366</v>
      </c>
      <c r="AU5" s="597"/>
      <c r="AV5" s="597"/>
      <c r="AW5" s="597"/>
      <c r="AX5" s="597"/>
    </row>
    <row r="6" spans="1:50" ht="14.25" customHeight="1">
      <c r="B6" s="597"/>
      <c r="C6" s="597"/>
      <c r="D6" s="597"/>
      <c r="E6" s="179" t="s">
        <v>159</v>
      </c>
      <c r="F6" s="179" t="s">
        <v>367</v>
      </c>
      <c r="G6" s="179" t="s">
        <v>161</v>
      </c>
      <c r="H6" s="597"/>
      <c r="I6" s="180" t="s">
        <v>159</v>
      </c>
      <c r="J6" s="180" t="s">
        <v>367</v>
      </c>
      <c r="K6" s="180" t="s">
        <v>161</v>
      </c>
      <c r="L6" s="601"/>
      <c r="M6" s="601"/>
      <c r="N6" s="597"/>
      <c r="O6" s="597"/>
      <c r="P6" s="179" t="s">
        <v>159</v>
      </c>
      <c r="Q6" s="179" t="s">
        <v>367</v>
      </c>
      <c r="R6" s="179" t="s">
        <v>161</v>
      </c>
      <c r="S6" s="181" t="s">
        <v>165</v>
      </c>
      <c r="T6" s="597"/>
      <c r="U6" s="179" t="s">
        <v>159</v>
      </c>
      <c r="V6" s="179" t="s">
        <v>367</v>
      </c>
      <c r="W6" s="179" t="s">
        <v>161</v>
      </c>
      <c r="X6" s="181" t="s">
        <v>165</v>
      </c>
      <c r="Y6" s="597"/>
      <c r="Z6" s="179" t="s">
        <v>159</v>
      </c>
      <c r="AA6" s="179" t="s">
        <v>367</v>
      </c>
      <c r="AB6" s="179" t="s">
        <v>161</v>
      </c>
      <c r="AC6" s="181" t="s">
        <v>165</v>
      </c>
      <c r="AD6" s="597"/>
      <c r="AE6" s="179" t="s">
        <v>159</v>
      </c>
      <c r="AF6" s="179" t="s">
        <v>367</v>
      </c>
      <c r="AG6" s="179" t="s">
        <v>161</v>
      </c>
      <c r="AH6" s="181" t="s">
        <v>165</v>
      </c>
      <c r="AI6" s="597"/>
      <c r="AJ6" s="179" t="s">
        <v>159</v>
      </c>
      <c r="AK6" s="179" t="s">
        <v>367</v>
      </c>
      <c r="AL6" s="179" t="s">
        <v>161</v>
      </c>
      <c r="AM6" s="181" t="s">
        <v>165</v>
      </c>
      <c r="AN6" s="597"/>
      <c r="AO6" s="179" t="s">
        <v>159</v>
      </c>
      <c r="AP6" s="179" t="s">
        <v>367</v>
      </c>
      <c r="AQ6" s="179" t="s">
        <v>161</v>
      </c>
      <c r="AR6" s="181" t="s">
        <v>165</v>
      </c>
      <c r="AS6" s="597"/>
      <c r="AT6" s="179" t="s">
        <v>159</v>
      </c>
      <c r="AU6" s="179" t="s">
        <v>367</v>
      </c>
      <c r="AV6" s="179" t="s">
        <v>161</v>
      </c>
      <c r="AW6" s="181" t="s">
        <v>165</v>
      </c>
      <c r="AX6" s="597"/>
    </row>
    <row r="7" spans="1:50" ht="14.25" customHeight="1">
      <c r="B7" s="597" t="s">
        <v>371</v>
      </c>
      <c r="C7" s="179">
        <v>1</v>
      </c>
      <c r="D7" s="182" t="s">
        <v>531</v>
      </c>
      <c r="E7" s="183">
        <v>20</v>
      </c>
      <c r="F7" s="179">
        <v>3600</v>
      </c>
      <c r="G7" s="184">
        <f>IFERROR(F7/E7,"")</f>
        <v>180</v>
      </c>
      <c r="H7" s="598">
        <f>AVERAGE(G7:G21)</f>
        <v>176.1654135338346</v>
      </c>
      <c r="I7" s="185">
        <f>AVERAGE(P7,U7,Z7,AE7,AJ7,AO7,AT7)</f>
        <v>20</v>
      </c>
      <c r="J7" s="185">
        <f>AVERAGE(Q7,V7,AA7,AF7,AK7,AP7,AU7)</f>
        <v>3261.2765221447598</v>
      </c>
      <c r="K7" s="186">
        <f>AVERAGE(R7,W7,AB7,AG7,AL7,AQ7,AV7)</f>
        <v>163.06382610723799</v>
      </c>
      <c r="L7" s="599">
        <f>IFERROR(AVERAGE(K7:K21),"-")</f>
        <v>157.5988995765077</v>
      </c>
      <c r="M7" s="185">
        <f>RANK(K7, K$7:$K$21)</f>
        <v>5</v>
      </c>
      <c r="N7" s="597"/>
      <c r="O7" s="597"/>
      <c r="P7" s="187">
        <v>20</v>
      </c>
      <c r="Q7" s="187">
        <v>3263.0765221447596</v>
      </c>
      <c r="R7" s="184">
        <f>IFERROR(Q7/P7,"")</f>
        <v>163.15382610723799</v>
      </c>
      <c r="S7" s="181">
        <f>RANK(R7, R$7:R$21)</f>
        <v>5</v>
      </c>
      <c r="T7" s="598">
        <f>AVERAGE(R7:R21)</f>
        <v>157.62434310779201</v>
      </c>
      <c r="U7" s="187">
        <v>20</v>
      </c>
      <c r="V7" s="187">
        <v>3261.6365221447595</v>
      </c>
      <c r="W7" s="184">
        <f t="shared" ref="W7:W14" si="0">IFERROR(V7/U7,"")</f>
        <v>163.08182610723799</v>
      </c>
      <c r="X7" s="181">
        <f>RANK(W7, W$7:W$21)</f>
        <v>5</v>
      </c>
      <c r="Y7" s="598">
        <f>AVERAGE(W7:W21)</f>
        <v>157.59218370291313</v>
      </c>
      <c r="Z7" s="187">
        <v>20</v>
      </c>
      <c r="AA7" s="187">
        <v>3261.2765221447598</v>
      </c>
      <c r="AB7" s="184">
        <f>IFERROR(AA7/Z7,"")</f>
        <v>163.06382610723799</v>
      </c>
      <c r="AC7" s="181">
        <f>RANK(AB7, AB$7:AB$21)</f>
        <v>5</v>
      </c>
      <c r="AD7" s="598">
        <f>AVERAGE(AB7:AB21)</f>
        <v>157.59389516907854</v>
      </c>
      <c r="AE7" s="187">
        <v>20</v>
      </c>
      <c r="AF7" s="187">
        <v>3260.9165221447597</v>
      </c>
      <c r="AG7" s="184">
        <f>IFERROR(AF7/AE7,"")</f>
        <v>163.04582610723799</v>
      </c>
      <c r="AH7" s="181">
        <f>RANK(AG7, AG$7:AG$21)</f>
        <v>5</v>
      </c>
      <c r="AI7" s="598">
        <f>AVERAGE(AG7:AG21)</f>
        <v>157.59063041807792</v>
      </c>
      <c r="AJ7" s="187">
        <v>20</v>
      </c>
      <c r="AK7" s="187">
        <v>3259.4765221447601</v>
      </c>
      <c r="AL7" s="184">
        <f>IFERROR(AK7/AJ7,"")</f>
        <v>162.97382610723801</v>
      </c>
      <c r="AM7" s="181">
        <f>RANK(AL7, AL$7:AL$21)</f>
        <v>5</v>
      </c>
      <c r="AN7" s="598">
        <f>AVERAGE(AL7:AL21)</f>
        <v>157.5844499669501</v>
      </c>
      <c r="AO7" s="187">
        <v>20</v>
      </c>
      <c r="AP7" s="187">
        <v>3260.9165221447602</v>
      </c>
      <c r="AQ7" s="184">
        <f>IFERROR(AP7/AO7,"")</f>
        <v>163.04582610723801</v>
      </c>
      <c r="AR7" s="181">
        <f>RANK(AQ7, AQ$7:AQ$21)</f>
        <v>5</v>
      </c>
      <c r="AS7" s="598">
        <f>AVERAGE(AQ7:AQ21)</f>
        <v>157.60952139552154</v>
      </c>
      <c r="AT7" s="187">
        <v>20</v>
      </c>
      <c r="AU7" s="187">
        <v>3261.63652214476</v>
      </c>
      <c r="AV7" s="184">
        <f>IFERROR(AU7/AT7,"")</f>
        <v>163.08182610723799</v>
      </c>
      <c r="AW7" s="181">
        <f>RANK(AV7, AV$7:AV$21)</f>
        <v>5</v>
      </c>
      <c r="AX7" s="598">
        <f>AVERAGE(AV7:AV21)</f>
        <v>157.59727327522077</v>
      </c>
    </row>
    <row r="8" spans="1:50" ht="14.25" customHeight="1">
      <c r="B8" s="597"/>
      <c r="C8" s="179">
        <v>2</v>
      </c>
      <c r="D8" s="182" t="s">
        <v>532</v>
      </c>
      <c r="E8" s="179">
        <v>21</v>
      </c>
      <c r="F8" s="179">
        <v>3600</v>
      </c>
      <c r="G8" s="184">
        <f t="shared" ref="G8:G14" si="1">IFERROR(F8/E8,"")</f>
        <v>171.42857142857142</v>
      </c>
      <c r="H8" s="598"/>
      <c r="I8" s="185">
        <f>AVERAGE(P8,U8,Z8,AE8,AJ8,AO8,AT8)</f>
        <v>21</v>
      </c>
      <c r="J8" s="185">
        <f t="shared" ref="J8:K14" si="2">AVERAGE(Q8,V8,AA8,AF8,AK8,AP8,AU8)</f>
        <v>3257.2949390732165</v>
      </c>
      <c r="K8" s="186">
        <f t="shared" si="2"/>
        <v>155.10928281301025</v>
      </c>
      <c r="L8" s="599"/>
      <c r="M8" s="185">
        <f>RANK(K8, K$7:$K$21)</f>
        <v>6</v>
      </c>
      <c r="N8" s="597"/>
      <c r="O8" s="597"/>
      <c r="P8" s="187">
        <v>21</v>
      </c>
      <c r="Q8" s="187">
        <v>3258.0149390732158</v>
      </c>
      <c r="R8" s="184">
        <f t="shared" ref="R8:R14" si="3">IFERROR(Q8/P8,"")</f>
        <v>155.143568527296</v>
      </c>
      <c r="S8" s="181">
        <f t="shared" ref="S8:S14" si="4">RANK(R8, R$7:R$21)</f>
        <v>6</v>
      </c>
      <c r="T8" s="598"/>
      <c r="U8" s="187">
        <v>21</v>
      </c>
      <c r="V8" s="187">
        <v>3256.2149390732166</v>
      </c>
      <c r="W8" s="184">
        <f t="shared" si="0"/>
        <v>155.05785424158174</v>
      </c>
      <c r="X8" s="181">
        <f t="shared" ref="X8:X14" si="5">RANK(W8, W$7:W$21)</f>
        <v>6</v>
      </c>
      <c r="Y8" s="598"/>
      <c r="Z8" s="187">
        <v>21</v>
      </c>
      <c r="AA8" s="187">
        <v>3257.2949390732165</v>
      </c>
      <c r="AB8" s="184">
        <f t="shared" ref="AB8:AB14" si="6">IFERROR(AA8/Z8,"")</f>
        <v>155.10928281301031</v>
      </c>
      <c r="AC8" s="181">
        <f t="shared" ref="AC8:AC14" si="7">RANK(AB8, AB$7:AB$21)</f>
        <v>6</v>
      </c>
      <c r="AD8" s="598"/>
      <c r="AE8" s="187">
        <v>21</v>
      </c>
      <c r="AF8" s="187">
        <v>3257.2949390732165</v>
      </c>
      <c r="AG8" s="184">
        <f t="shared" ref="AG8:AG14" si="8">IFERROR(AF8/AE8,"")</f>
        <v>155.10928281301031</v>
      </c>
      <c r="AH8" s="181">
        <f t="shared" ref="AH8:AH14" si="9">RANK(AG8, AG$7:AG$21)</f>
        <v>6</v>
      </c>
      <c r="AI8" s="598"/>
      <c r="AJ8" s="187">
        <v>21</v>
      </c>
      <c r="AK8" s="187">
        <v>3256.5749390732167</v>
      </c>
      <c r="AL8" s="184">
        <f t="shared" ref="AL8:AL14" si="10">IFERROR(AK8/AJ8,"")</f>
        <v>155.07499709872459</v>
      </c>
      <c r="AM8" s="181">
        <f t="shared" ref="AM8:AM14" si="11">RANK(AL8, AL$7:AL$21)</f>
        <v>6</v>
      </c>
      <c r="AN8" s="598"/>
      <c r="AO8" s="187">
        <v>21</v>
      </c>
      <c r="AP8" s="187">
        <v>3258.0149390732167</v>
      </c>
      <c r="AQ8" s="184">
        <f t="shared" ref="AQ8:AQ14" si="12">IFERROR(AP8/AO8,"")</f>
        <v>155.14356852729603</v>
      </c>
      <c r="AR8" s="181">
        <f t="shared" ref="AR8:AR14" si="13">RANK(AQ8, AQ$7:AQ$21)</f>
        <v>6</v>
      </c>
      <c r="AS8" s="598"/>
      <c r="AT8" s="187">
        <v>21</v>
      </c>
      <c r="AU8" s="187">
        <v>3257.6549390732162</v>
      </c>
      <c r="AV8" s="184">
        <f t="shared" ref="AV8:AV14" si="14">IFERROR(AU8/AT8,"")</f>
        <v>155.12642567015314</v>
      </c>
      <c r="AW8" s="181">
        <f t="shared" ref="AW8:AW14" si="15">RANK(AV8, AV$7:AV$21)</f>
        <v>6</v>
      </c>
      <c r="AX8" s="598"/>
    </row>
    <row r="9" spans="1:50" ht="14.25" customHeight="1">
      <c r="B9" s="597"/>
      <c r="C9" s="179">
        <v>3</v>
      </c>
      <c r="D9" s="182" t="s">
        <v>539</v>
      </c>
      <c r="E9" s="179">
        <v>19</v>
      </c>
      <c r="F9" s="179">
        <v>3600</v>
      </c>
      <c r="G9" s="184">
        <f t="shared" si="1"/>
        <v>189.47368421052633</v>
      </c>
      <c r="H9" s="598"/>
      <c r="I9" s="185">
        <f>AVERAGE(P9,U9,Z9,AE9,AJ9,AO9,AT9)</f>
        <v>19</v>
      </c>
      <c r="J9" s="185">
        <f t="shared" si="2"/>
        <v>3185.7420154183096</v>
      </c>
      <c r="K9" s="186">
        <f t="shared" si="2"/>
        <v>167.67063239043733</v>
      </c>
      <c r="L9" s="599"/>
      <c r="M9" s="185">
        <f>RANK(K9, K$7:$K$21)</f>
        <v>3</v>
      </c>
      <c r="N9" s="597"/>
      <c r="O9" s="597"/>
      <c r="P9" s="187">
        <v>19</v>
      </c>
      <c r="Q9" s="187">
        <v>3186.7558680766465</v>
      </c>
      <c r="R9" s="184">
        <f t="shared" si="3"/>
        <v>167.72399305666559</v>
      </c>
      <c r="S9" s="181">
        <f t="shared" si="4"/>
        <v>3</v>
      </c>
      <c r="T9" s="598"/>
      <c r="U9" s="187">
        <v>19</v>
      </c>
      <c r="V9" s="187">
        <v>3186.3958680766459</v>
      </c>
      <c r="W9" s="184">
        <f t="shared" si="0"/>
        <v>167.70504568824452</v>
      </c>
      <c r="X9" s="181">
        <f t="shared" si="5"/>
        <v>3</v>
      </c>
      <c r="Y9" s="598"/>
      <c r="Z9" s="187">
        <v>19</v>
      </c>
      <c r="AA9" s="187">
        <v>3184.5958680766462</v>
      </c>
      <c r="AB9" s="184">
        <f t="shared" si="6"/>
        <v>167.61030884613928</v>
      </c>
      <c r="AC9" s="181">
        <f t="shared" si="7"/>
        <v>4</v>
      </c>
      <c r="AD9" s="598"/>
      <c r="AE9" s="187">
        <v>19</v>
      </c>
      <c r="AF9" s="187">
        <v>3186.6016259245571</v>
      </c>
      <c r="AG9" s="184">
        <f t="shared" si="8"/>
        <v>167.71587504866091</v>
      </c>
      <c r="AH9" s="181">
        <f t="shared" si="9"/>
        <v>2</v>
      </c>
      <c r="AI9" s="598"/>
      <c r="AJ9" s="187">
        <v>19</v>
      </c>
      <c r="AK9" s="187">
        <v>3185.1616259245566</v>
      </c>
      <c r="AL9" s="184">
        <f t="shared" si="10"/>
        <v>167.64008557497667</v>
      </c>
      <c r="AM9" s="181">
        <f t="shared" si="11"/>
        <v>3</v>
      </c>
      <c r="AN9" s="598"/>
      <c r="AO9" s="187">
        <v>19</v>
      </c>
      <c r="AP9" s="187">
        <v>3184.8016259245569</v>
      </c>
      <c r="AQ9" s="184">
        <f t="shared" si="12"/>
        <v>167.62113820655563</v>
      </c>
      <c r="AR9" s="181">
        <f t="shared" si="13"/>
        <v>4</v>
      </c>
      <c r="AS9" s="598"/>
      <c r="AT9" s="187">
        <v>19</v>
      </c>
      <c r="AU9" s="187">
        <v>3185.8816259245568</v>
      </c>
      <c r="AV9" s="184">
        <f t="shared" si="14"/>
        <v>167.67798031181877</v>
      </c>
      <c r="AW9" s="181">
        <f t="shared" si="15"/>
        <v>3</v>
      </c>
      <c r="AX9" s="598"/>
    </row>
    <row r="10" spans="1:50" ht="14.25" customHeight="1">
      <c r="B10" s="597"/>
      <c r="C10" s="179">
        <v>4</v>
      </c>
      <c r="D10" s="182" t="s">
        <v>614</v>
      </c>
      <c r="E10" s="179">
        <v>19</v>
      </c>
      <c r="F10" s="179">
        <v>3600</v>
      </c>
      <c r="G10" s="184">
        <f t="shared" si="1"/>
        <v>189.47368421052633</v>
      </c>
      <c r="H10" s="598"/>
      <c r="I10" s="185">
        <f t="shared" ref="I10:I14" si="16">AVERAGE(P10,U10,Z10,AE10,AJ10,AO10,AT10)</f>
        <v>19</v>
      </c>
      <c r="J10" s="185">
        <f t="shared" si="2"/>
        <v>3184.8176608483977</v>
      </c>
      <c r="K10" s="186">
        <f t="shared" si="2"/>
        <v>167.62198214991568</v>
      </c>
      <c r="L10" s="599"/>
      <c r="M10" s="185">
        <f>RANK(K10, K$7:$K$21)</f>
        <v>4</v>
      </c>
      <c r="N10" s="597"/>
      <c r="O10" s="597"/>
      <c r="P10" s="187">
        <v>19</v>
      </c>
      <c r="Q10" s="187">
        <v>3184.8062249452723</v>
      </c>
      <c r="R10" s="184">
        <f t="shared" si="3"/>
        <v>167.6213802602775</v>
      </c>
      <c r="S10" s="181">
        <f t="shared" si="4"/>
        <v>4</v>
      </c>
      <c r="T10" s="598"/>
      <c r="U10" s="187">
        <v>19</v>
      </c>
      <c r="V10" s="187">
        <v>3184.6995668322529</v>
      </c>
      <c r="W10" s="184">
        <f t="shared" si="0"/>
        <v>167.61576667538174</v>
      </c>
      <c r="X10" s="181">
        <f t="shared" si="5"/>
        <v>4</v>
      </c>
      <c r="Y10" s="598"/>
      <c r="Z10" s="187">
        <v>19</v>
      </c>
      <c r="AA10" s="187">
        <v>3185.7795668322524</v>
      </c>
      <c r="AB10" s="184">
        <f t="shared" si="6"/>
        <v>167.67260878064485</v>
      </c>
      <c r="AC10" s="181">
        <f t="shared" si="7"/>
        <v>3</v>
      </c>
      <c r="AD10" s="598"/>
      <c r="AE10" s="187">
        <v>19</v>
      </c>
      <c r="AF10" s="187">
        <v>3184.3395668322519</v>
      </c>
      <c r="AG10" s="184">
        <f t="shared" si="8"/>
        <v>167.59681930696061</v>
      </c>
      <c r="AH10" s="181">
        <f t="shared" si="9"/>
        <v>4</v>
      </c>
      <c r="AI10" s="598"/>
      <c r="AJ10" s="187">
        <v>19</v>
      </c>
      <c r="AK10" s="187">
        <v>3184.3395668322519</v>
      </c>
      <c r="AL10" s="184">
        <f t="shared" si="10"/>
        <v>167.59681930696061</v>
      </c>
      <c r="AM10" s="181">
        <f t="shared" si="11"/>
        <v>4</v>
      </c>
      <c r="AN10" s="598"/>
      <c r="AO10" s="187">
        <v>19</v>
      </c>
      <c r="AP10" s="187">
        <v>3185.7795668322519</v>
      </c>
      <c r="AQ10" s="184">
        <f t="shared" si="12"/>
        <v>167.67260878064485</v>
      </c>
      <c r="AR10" s="181">
        <f t="shared" si="13"/>
        <v>3</v>
      </c>
      <c r="AS10" s="598"/>
      <c r="AT10" s="187">
        <v>19</v>
      </c>
      <c r="AU10" s="187">
        <v>3183.9795668322522</v>
      </c>
      <c r="AV10" s="184">
        <f t="shared" si="14"/>
        <v>167.5778719385396</v>
      </c>
      <c r="AW10" s="181">
        <f t="shared" si="15"/>
        <v>4</v>
      </c>
      <c r="AX10" s="598"/>
    </row>
    <row r="11" spans="1:50" ht="14.25" customHeight="1">
      <c r="B11" s="597"/>
      <c r="C11" s="179">
        <v>5</v>
      </c>
      <c r="D11" s="182" t="s">
        <v>543</v>
      </c>
      <c r="E11" s="179">
        <v>19</v>
      </c>
      <c r="F11" s="179">
        <v>3600</v>
      </c>
      <c r="G11" s="184">
        <f t="shared" si="1"/>
        <v>189.47368421052633</v>
      </c>
      <c r="H11" s="598"/>
      <c r="I11" s="185">
        <f t="shared" si="16"/>
        <v>19</v>
      </c>
      <c r="J11" s="185">
        <f t="shared" si="2"/>
        <v>3187.0605783769715</v>
      </c>
      <c r="K11" s="186">
        <f t="shared" si="2"/>
        <v>167.74003044089321</v>
      </c>
      <c r="L11" s="599"/>
      <c r="M11" s="185">
        <f>RANK(K11, K$7:$K$21)</f>
        <v>2</v>
      </c>
      <c r="N11" s="597"/>
      <c r="O11" s="597"/>
      <c r="P11" s="187">
        <v>19</v>
      </c>
      <c r="Q11" s="187">
        <v>3186.8034355198297</v>
      </c>
      <c r="R11" s="184">
        <f t="shared" si="3"/>
        <v>167.72649660630682</v>
      </c>
      <c r="S11" s="181">
        <f t="shared" si="4"/>
        <v>2</v>
      </c>
      <c r="T11" s="598"/>
      <c r="U11" s="187">
        <v>19</v>
      </c>
      <c r="V11" s="187">
        <v>3187.1634355198294</v>
      </c>
      <c r="W11" s="184">
        <f t="shared" si="0"/>
        <v>167.74544397472786</v>
      </c>
      <c r="X11" s="181">
        <f t="shared" si="5"/>
        <v>2</v>
      </c>
      <c r="Y11" s="598"/>
      <c r="Z11" s="187">
        <v>19</v>
      </c>
      <c r="AA11" s="187">
        <v>3186.083435519829</v>
      </c>
      <c r="AB11" s="184">
        <f t="shared" si="6"/>
        <v>167.68860186946469</v>
      </c>
      <c r="AC11" s="181">
        <f t="shared" si="7"/>
        <v>2</v>
      </c>
      <c r="AD11" s="598"/>
      <c r="AE11" s="187">
        <v>19</v>
      </c>
      <c r="AF11" s="187">
        <v>3186.4434355198287</v>
      </c>
      <c r="AG11" s="184">
        <f t="shared" si="8"/>
        <v>167.70754923788573</v>
      </c>
      <c r="AH11" s="181">
        <f t="shared" si="9"/>
        <v>3</v>
      </c>
      <c r="AI11" s="598"/>
      <c r="AJ11" s="187">
        <v>19</v>
      </c>
      <c r="AK11" s="187">
        <v>3188.2434355198279</v>
      </c>
      <c r="AL11" s="184">
        <f t="shared" si="10"/>
        <v>167.80228607999095</v>
      </c>
      <c r="AM11" s="181">
        <f t="shared" si="11"/>
        <v>2</v>
      </c>
      <c r="AN11" s="598"/>
      <c r="AO11" s="187">
        <v>19</v>
      </c>
      <c r="AP11" s="187">
        <v>3187.8834355198273</v>
      </c>
      <c r="AQ11" s="184">
        <f t="shared" si="12"/>
        <v>167.78333871156985</v>
      </c>
      <c r="AR11" s="181">
        <f t="shared" si="13"/>
        <v>2</v>
      </c>
      <c r="AS11" s="598"/>
      <c r="AT11" s="187">
        <v>19</v>
      </c>
      <c r="AU11" s="187">
        <v>3186.803435519827</v>
      </c>
      <c r="AV11" s="184">
        <f t="shared" si="14"/>
        <v>167.72649660630668</v>
      </c>
      <c r="AW11" s="181">
        <f t="shared" si="15"/>
        <v>2</v>
      </c>
      <c r="AX11" s="598"/>
    </row>
    <row r="12" spans="1:50" ht="14.25" customHeight="1">
      <c r="B12" s="597"/>
      <c r="C12" s="179">
        <v>6</v>
      </c>
      <c r="D12" s="182" t="s">
        <v>597</v>
      </c>
      <c r="E12" s="179">
        <v>24</v>
      </c>
      <c r="F12" s="179">
        <v>3600</v>
      </c>
      <c r="G12" s="184">
        <f t="shared" si="1"/>
        <v>150</v>
      </c>
      <c r="H12" s="598"/>
      <c r="I12" s="185">
        <f t="shared" si="16"/>
        <v>24</v>
      </c>
      <c r="J12" s="185">
        <f t="shared" si="2"/>
        <v>3257.7008943134801</v>
      </c>
      <c r="K12" s="186">
        <f t="shared" si="2"/>
        <v>135.73753726306168</v>
      </c>
      <c r="L12" s="599"/>
      <c r="M12" s="185">
        <f>RANK(K12, K$7:$K$21)</f>
        <v>8</v>
      </c>
      <c r="N12" s="597"/>
      <c r="O12" s="597"/>
      <c r="P12" s="187">
        <v>24</v>
      </c>
      <c r="Q12" s="187">
        <v>3258.7808943134805</v>
      </c>
      <c r="R12" s="184">
        <f t="shared" si="3"/>
        <v>135.7825372630617</v>
      </c>
      <c r="S12" s="181">
        <f t="shared" si="4"/>
        <v>8</v>
      </c>
      <c r="T12" s="598"/>
      <c r="U12" s="187">
        <v>24</v>
      </c>
      <c r="V12" s="187">
        <v>3257.3408943134809</v>
      </c>
      <c r="W12" s="184">
        <f t="shared" si="0"/>
        <v>135.7225372630617</v>
      </c>
      <c r="X12" s="181">
        <f t="shared" si="5"/>
        <v>8</v>
      </c>
      <c r="Y12" s="598"/>
      <c r="Z12" s="187">
        <v>24</v>
      </c>
      <c r="AA12" s="187">
        <v>3257.7008943134806</v>
      </c>
      <c r="AB12" s="184">
        <f t="shared" si="6"/>
        <v>135.73753726306168</v>
      </c>
      <c r="AC12" s="181">
        <f t="shared" si="7"/>
        <v>8</v>
      </c>
      <c r="AD12" s="598"/>
      <c r="AE12" s="187">
        <v>24</v>
      </c>
      <c r="AF12" s="187">
        <v>3257.7008943134801</v>
      </c>
      <c r="AG12" s="184">
        <f t="shared" si="8"/>
        <v>135.73753726306168</v>
      </c>
      <c r="AH12" s="181">
        <f t="shared" si="9"/>
        <v>8</v>
      </c>
      <c r="AI12" s="598"/>
      <c r="AJ12" s="187">
        <v>24</v>
      </c>
      <c r="AK12" s="187">
        <v>3256.9808943134799</v>
      </c>
      <c r="AL12" s="184">
        <f t="shared" si="10"/>
        <v>135.70753726306165</v>
      </c>
      <c r="AM12" s="181">
        <f t="shared" si="11"/>
        <v>8</v>
      </c>
      <c r="AN12" s="598"/>
      <c r="AO12" s="187">
        <v>24</v>
      </c>
      <c r="AP12" s="187">
        <v>3258.4208943134795</v>
      </c>
      <c r="AQ12" s="184">
        <f t="shared" si="12"/>
        <v>135.76753726306166</v>
      </c>
      <c r="AR12" s="181">
        <f t="shared" si="13"/>
        <v>8</v>
      </c>
      <c r="AS12" s="598"/>
      <c r="AT12" s="187">
        <v>24</v>
      </c>
      <c r="AU12" s="187">
        <v>3256.9808943134799</v>
      </c>
      <c r="AV12" s="184">
        <f t="shared" si="14"/>
        <v>135.70753726306165</v>
      </c>
      <c r="AW12" s="181">
        <f t="shared" si="15"/>
        <v>8</v>
      </c>
      <c r="AX12" s="598"/>
    </row>
    <row r="13" spans="1:50" ht="14.25" customHeight="1">
      <c r="B13" s="597"/>
      <c r="C13" s="179">
        <v>7</v>
      </c>
      <c r="D13" s="182" t="s">
        <v>533</v>
      </c>
      <c r="E13" s="179">
        <v>19</v>
      </c>
      <c r="F13" s="179">
        <v>3600</v>
      </c>
      <c r="G13" s="184">
        <f t="shared" si="1"/>
        <v>189.47368421052633</v>
      </c>
      <c r="H13" s="598"/>
      <c r="I13" s="185">
        <f t="shared" si="16"/>
        <v>19</v>
      </c>
      <c r="J13" s="185">
        <f t="shared" si="2"/>
        <v>3190.3979423240085</v>
      </c>
      <c r="K13" s="186">
        <f t="shared" si="2"/>
        <v>167.91568117494782</v>
      </c>
      <c r="L13" s="599"/>
      <c r="M13" s="185">
        <f>RANK(K13, K$7:$K$21)</f>
        <v>1</v>
      </c>
      <c r="N13" s="597"/>
      <c r="O13" s="597"/>
      <c r="P13" s="187">
        <v>19</v>
      </c>
      <c r="Q13" s="187">
        <v>3191.1179423240078</v>
      </c>
      <c r="R13" s="184">
        <f t="shared" si="3"/>
        <v>167.9535759117899</v>
      </c>
      <c r="S13" s="181">
        <f t="shared" si="4"/>
        <v>1</v>
      </c>
      <c r="T13" s="598"/>
      <c r="U13" s="187">
        <v>19</v>
      </c>
      <c r="V13" s="187">
        <v>3190.7579423240081</v>
      </c>
      <c r="W13" s="184">
        <f t="shared" si="0"/>
        <v>167.93462854336886</v>
      </c>
      <c r="X13" s="181">
        <f t="shared" si="5"/>
        <v>1</v>
      </c>
      <c r="Y13" s="598"/>
      <c r="Z13" s="187">
        <v>19</v>
      </c>
      <c r="AA13" s="187">
        <v>3190.7579423240081</v>
      </c>
      <c r="AB13" s="184">
        <f t="shared" si="6"/>
        <v>167.93462854336886</v>
      </c>
      <c r="AC13" s="181">
        <f t="shared" si="7"/>
        <v>1</v>
      </c>
      <c r="AD13" s="598"/>
      <c r="AE13" s="187">
        <v>19</v>
      </c>
      <c r="AF13" s="187">
        <v>3189.6779423240087</v>
      </c>
      <c r="AG13" s="184">
        <f t="shared" si="8"/>
        <v>167.87778643810572</v>
      </c>
      <c r="AH13" s="181">
        <f t="shared" si="9"/>
        <v>1</v>
      </c>
      <c r="AI13" s="598"/>
      <c r="AJ13" s="187">
        <v>19</v>
      </c>
      <c r="AK13" s="187">
        <v>3190.3979423240085</v>
      </c>
      <c r="AL13" s="184">
        <f t="shared" si="10"/>
        <v>167.91568117494782</v>
      </c>
      <c r="AM13" s="181">
        <f t="shared" si="11"/>
        <v>1</v>
      </c>
      <c r="AN13" s="598"/>
      <c r="AO13" s="187">
        <v>19</v>
      </c>
      <c r="AP13" s="187">
        <v>3189.6779423240087</v>
      </c>
      <c r="AQ13" s="184">
        <f t="shared" si="12"/>
        <v>167.87778643810572</v>
      </c>
      <c r="AR13" s="181">
        <f t="shared" si="13"/>
        <v>1</v>
      </c>
      <c r="AS13" s="598"/>
      <c r="AT13" s="187">
        <v>19</v>
      </c>
      <c r="AU13" s="187">
        <v>3190.397942324008</v>
      </c>
      <c r="AV13" s="184">
        <f t="shared" si="14"/>
        <v>167.91568117494779</v>
      </c>
      <c r="AW13" s="181">
        <f t="shared" si="15"/>
        <v>1</v>
      </c>
      <c r="AX13" s="598"/>
    </row>
    <row r="14" spans="1:50" ht="14.25" customHeight="1">
      <c r="B14" s="597"/>
      <c r="C14" s="179">
        <v>8</v>
      </c>
      <c r="D14" s="182" t="s">
        <v>630</v>
      </c>
      <c r="E14" s="179">
        <v>24</v>
      </c>
      <c r="F14" s="179">
        <v>3600</v>
      </c>
      <c r="G14" s="184">
        <f t="shared" si="1"/>
        <v>150</v>
      </c>
      <c r="H14" s="598"/>
      <c r="I14" s="185">
        <f t="shared" si="16"/>
        <v>24</v>
      </c>
      <c r="J14" s="185">
        <f t="shared" si="2"/>
        <v>3262.3733825413874</v>
      </c>
      <c r="K14" s="186">
        <f t="shared" si="2"/>
        <v>135.93222427255782</v>
      </c>
      <c r="L14" s="599"/>
      <c r="M14" s="185">
        <f>RANK(K14, K$7:$K$21)</f>
        <v>7</v>
      </c>
      <c r="N14" s="597"/>
      <c r="O14" s="597"/>
      <c r="P14" s="187">
        <v>24</v>
      </c>
      <c r="Q14" s="187">
        <v>3261.3448111128155</v>
      </c>
      <c r="R14" s="184">
        <f t="shared" si="3"/>
        <v>135.88936712970064</v>
      </c>
      <c r="S14" s="181">
        <f t="shared" si="4"/>
        <v>7</v>
      </c>
      <c r="T14" s="598"/>
      <c r="U14" s="187">
        <v>24</v>
      </c>
      <c r="V14" s="187">
        <v>3260.9848111128158</v>
      </c>
      <c r="W14" s="184">
        <f t="shared" si="0"/>
        <v>135.87436712970066</v>
      </c>
      <c r="X14" s="181">
        <f t="shared" si="5"/>
        <v>7</v>
      </c>
      <c r="Y14" s="598"/>
      <c r="Z14" s="187">
        <v>24</v>
      </c>
      <c r="AA14" s="187">
        <v>3262.4248111128154</v>
      </c>
      <c r="AB14" s="184">
        <f t="shared" si="6"/>
        <v>135.93436712970063</v>
      </c>
      <c r="AC14" s="181">
        <f t="shared" si="7"/>
        <v>7</v>
      </c>
      <c r="AD14" s="598"/>
      <c r="AE14" s="187">
        <v>24</v>
      </c>
      <c r="AF14" s="187">
        <v>3262.4248111128159</v>
      </c>
      <c r="AG14" s="184">
        <f t="shared" si="8"/>
        <v>135.93436712970066</v>
      </c>
      <c r="AH14" s="181">
        <f t="shared" si="9"/>
        <v>7</v>
      </c>
      <c r="AI14" s="598"/>
      <c r="AJ14" s="187">
        <v>24</v>
      </c>
      <c r="AK14" s="187">
        <v>3263.1448111128161</v>
      </c>
      <c r="AL14" s="184">
        <f t="shared" si="10"/>
        <v>135.96436712970066</v>
      </c>
      <c r="AM14" s="181">
        <f t="shared" si="11"/>
        <v>7</v>
      </c>
      <c r="AN14" s="598"/>
      <c r="AO14" s="187">
        <v>24</v>
      </c>
      <c r="AP14" s="187">
        <v>3263.1448111128161</v>
      </c>
      <c r="AQ14" s="184">
        <f t="shared" si="12"/>
        <v>135.96436712970066</v>
      </c>
      <c r="AR14" s="181">
        <f t="shared" si="13"/>
        <v>7</v>
      </c>
      <c r="AS14" s="598"/>
      <c r="AT14" s="187">
        <v>24</v>
      </c>
      <c r="AU14" s="187">
        <v>3263.1448111128157</v>
      </c>
      <c r="AV14" s="184">
        <f t="shared" si="14"/>
        <v>135.96436712970066</v>
      </c>
      <c r="AW14" s="181">
        <f t="shared" si="15"/>
        <v>7</v>
      </c>
      <c r="AX14" s="598"/>
    </row>
    <row r="15" spans="1:50" ht="14.25" customHeight="1">
      <c r="B15" s="597"/>
      <c r="C15" s="179">
        <v>9</v>
      </c>
      <c r="D15" s="182"/>
      <c r="E15" s="179"/>
      <c r="F15" s="179"/>
      <c r="G15" s="184"/>
      <c r="H15" s="598"/>
      <c r="I15" s="185"/>
      <c r="J15" s="185"/>
      <c r="K15" s="186"/>
      <c r="L15" s="599"/>
      <c r="M15" s="185"/>
      <c r="N15" s="597"/>
      <c r="O15" s="597"/>
      <c r="P15" s="187"/>
      <c r="Q15" s="187"/>
      <c r="R15" s="184"/>
      <c r="S15" s="181"/>
      <c r="T15" s="598"/>
      <c r="U15" s="187"/>
      <c r="V15" s="187"/>
      <c r="W15" s="184"/>
      <c r="X15" s="181"/>
      <c r="Y15" s="598"/>
      <c r="Z15" s="187"/>
      <c r="AA15" s="187"/>
      <c r="AB15" s="184"/>
      <c r="AC15" s="181"/>
      <c r="AD15" s="598"/>
      <c r="AE15" s="187"/>
      <c r="AF15" s="187"/>
      <c r="AG15" s="184"/>
      <c r="AH15" s="181"/>
      <c r="AI15" s="598"/>
      <c r="AJ15" s="187"/>
      <c r="AK15" s="187"/>
      <c r="AL15" s="184"/>
      <c r="AM15" s="181"/>
      <c r="AN15" s="598"/>
      <c r="AO15" s="187"/>
      <c r="AP15" s="187"/>
      <c r="AQ15" s="184"/>
      <c r="AR15" s="181"/>
      <c r="AS15" s="598"/>
      <c r="AT15" s="187"/>
      <c r="AU15" s="187"/>
      <c r="AV15" s="184"/>
      <c r="AW15" s="181"/>
      <c r="AX15" s="598"/>
    </row>
    <row r="16" spans="1:50" ht="14.25" customHeight="1">
      <c r="B16" s="597"/>
      <c r="C16" s="179">
        <v>10</v>
      </c>
      <c r="D16" s="182"/>
      <c r="E16" s="179"/>
      <c r="F16" s="179"/>
      <c r="G16" s="184"/>
      <c r="H16" s="598"/>
      <c r="I16" s="185"/>
      <c r="J16" s="185"/>
      <c r="K16" s="186"/>
      <c r="L16" s="599"/>
      <c r="M16" s="185"/>
      <c r="N16" s="597"/>
      <c r="O16" s="597"/>
      <c r="P16" s="187"/>
      <c r="Q16" s="187"/>
      <c r="R16" s="184"/>
      <c r="S16" s="181"/>
      <c r="T16" s="598"/>
      <c r="U16" s="187"/>
      <c r="V16" s="187"/>
      <c r="W16" s="184"/>
      <c r="X16" s="181"/>
      <c r="Y16" s="598"/>
      <c r="Z16" s="187"/>
      <c r="AA16" s="187"/>
      <c r="AB16" s="184"/>
      <c r="AC16" s="181"/>
      <c r="AD16" s="598"/>
      <c r="AE16" s="187"/>
      <c r="AF16" s="187"/>
      <c r="AG16" s="184"/>
      <c r="AH16" s="181"/>
      <c r="AI16" s="598"/>
      <c r="AJ16" s="187"/>
      <c r="AK16" s="187"/>
      <c r="AL16" s="184"/>
      <c r="AM16" s="181"/>
      <c r="AN16" s="598"/>
      <c r="AO16" s="187"/>
      <c r="AP16" s="187"/>
      <c r="AQ16" s="184"/>
      <c r="AR16" s="181"/>
      <c r="AS16" s="598"/>
      <c r="AT16" s="187"/>
      <c r="AU16" s="187"/>
      <c r="AV16" s="184"/>
      <c r="AW16" s="181"/>
      <c r="AX16" s="598"/>
    </row>
    <row r="17" spans="2:50" ht="14.25" customHeight="1">
      <c r="B17" s="597"/>
      <c r="C17" s="179">
        <v>11</v>
      </c>
      <c r="D17" s="182"/>
      <c r="E17" s="179"/>
      <c r="F17" s="179"/>
      <c r="G17" s="184"/>
      <c r="H17" s="598"/>
      <c r="I17" s="185"/>
      <c r="J17" s="185"/>
      <c r="K17" s="186"/>
      <c r="L17" s="599"/>
      <c r="M17" s="185"/>
      <c r="N17" s="597"/>
      <c r="O17" s="597"/>
      <c r="P17" s="187"/>
      <c r="Q17" s="187"/>
      <c r="R17" s="184"/>
      <c r="S17" s="181"/>
      <c r="T17" s="598"/>
      <c r="U17" s="187"/>
      <c r="V17" s="187"/>
      <c r="W17" s="184"/>
      <c r="X17" s="181"/>
      <c r="Y17" s="598"/>
      <c r="Z17" s="187"/>
      <c r="AA17" s="187"/>
      <c r="AB17" s="184"/>
      <c r="AC17" s="181"/>
      <c r="AD17" s="598"/>
      <c r="AE17" s="187"/>
      <c r="AF17" s="187"/>
      <c r="AG17" s="184"/>
      <c r="AH17" s="181"/>
      <c r="AI17" s="598"/>
      <c r="AJ17" s="187"/>
      <c r="AK17" s="187"/>
      <c r="AL17" s="184"/>
      <c r="AM17" s="181"/>
      <c r="AN17" s="598"/>
      <c r="AO17" s="187"/>
      <c r="AP17" s="187"/>
      <c r="AQ17" s="184"/>
      <c r="AR17" s="181"/>
      <c r="AS17" s="598"/>
      <c r="AT17" s="187"/>
      <c r="AU17" s="187"/>
      <c r="AV17" s="184"/>
      <c r="AW17" s="181"/>
      <c r="AX17" s="598"/>
    </row>
    <row r="18" spans="2:50" ht="14.25" customHeight="1">
      <c r="B18" s="597"/>
      <c r="C18" s="179">
        <v>12</v>
      </c>
      <c r="D18" s="182"/>
      <c r="E18" s="179"/>
      <c r="F18" s="179"/>
      <c r="G18" s="184"/>
      <c r="H18" s="598"/>
      <c r="I18" s="185"/>
      <c r="J18" s="185"/>
      <c r="K18" s="186"/>
      <c r="L18" s="599"/>
      <c r="M18" s="185"/>
      <c r="N18" s="597"/>
      <c r="O18" s="597"/>
      <c r="P18" s="187"/>
      <c r="Q18" s="187"/>
      <c r="R18" s="184"/>
      <c r="S18" s="181"/>
      <c r="T18" s="598"/>
      <c r="U18" s="187"/>
      <c r="V18" s="187"/>
      <c r="W18" s="184"/>
      <c r="X18" s="181"/>
      <c r="Y18" s="598"/>
      <c r="Z18" s="187"/>
      <c r="AA18" s="187"/>
      <c r="AB18" s="184"/>
      <c r="AC18" s="181"/>
      <c r="AD18" s="598"/>
      <c r="AE18" s="187"/>
      <c r="AF18" s="187"/>
      <c r="AG18" s="184"/>
      <c r="AH18" s="181"/>
      <c r="AI18" s="598"/>
      <c r="AJ18" s="187"/>
      <c r="AK18" s="187"/>
      <c r="AL18" s="184"/>
      <c r="AM18" s="181"/>
      <c r="AN18" s="598"/>
      <c r="AO18" s="187"/>
      <c r="AP18" s="187"/>
      <c r="AQ18" s="184"/>
      <c r="AR18" s="181"/>
      <c r="AS18" s="598"/>
      <c r="AT18" s="187"/>
      <c r="AU18" s="187"/>
      <c r="AV18" s="184"/>
      <c r="AW18" s="181"/>
      <c r="AX18" s="598"/>
    </row>
    <row r="19" spans="2:50" ht="14.25" customHeight="1">
      <c r="B19" s="597"/>
      <c r="C19" s="179">
        <v>13</v>
      </c>
      <c r="D19" s="182"/>
      <c r="E19" s="179"/>
      <c r="F19" s="179"/>
      <c r="G19" s="184"/>
      <c r="H19" s="598"/>
      <c r="I19" s="185"/>
      <c r="J19" s="185"/>
      <c r="K19" s="186"/>
      <c r="L19" s="599"/>
      <c r="M19" s="185"/>
      <c r="N19" s="597"/>
      <c r="O19" s="597"/>
      <c r="P19" s="187"/>
      <c r="Q19" s="187"/>
      <c r="R19" s="184"/>
      <c r="S19" s="181"/>
      <c r="T19" s="598"/>
      <c r="U19" s="187"/>
      <c r="V19" s="187"/>
      <c r="W19" s="184"/>
      <c r="X19" s="181"/>
      <c r="Y19" s="598"/>
      <c r="Z19" s="187"/>
      <c r="AA19" s="187"/>
      <c r="AB19" s="184"/>
      <c r="AC19" s="181"/>
      <c r="AD19" s="598"/>
      <c r="AE19" s="187"/>
      <c r="AF19" s="187"/>
      <c r="AG19" s="184"/>
      <c r="AH19" s="181"/>
      <c r="AI19" s="598"/>
      <c r="AJ19" s="187"/>
      <c r="AK19" s="187"/>
      <c r="AL19" s="184"/>
      <c r="AM19" s="181"/>
      <c r="AN19" s="598"/>
      <c r="AO19" s="187"/>
      <c r="AP19" s="187"/>
      <c r="AQ19" s="184"/>
      <c r="AR19" s="181"/>
      <c r="AS19" s="598"/>
      <c r="AT19" s="187"/>
      <c r="AU19" s="187"/>
      <c r="AV19" s="184"/>
      <c r="AW19" s="181"/>
      <c r="AX19" s="598"/>
    </row>
    <row r="20" spans="2:50" ht="14.25" customHeight="1">
      <c r="B20" s="597"/>
      <c r="C20" s="179">
        <v>14</v>
      </c>
      <c r="D20" s="182"/>
      <c r="E20" s="179"/>
      <c r="F20" s="179"/>
      <c r="G20" s="184"/>
      <c r="H20" s="598"/>
      <c r="I20" s="185"/>
      <c r="J20" s="185"/>
      <c r="K20" s="186"/>
      <c r="L20" s="599"/>
      <c r="M20" s="185"/>
      <c r="N20" s="597"/>
      <c r="O20" s="597"/>
      <c r="P20" s="187"/>
      <c r="Q20" s="187"/>
      <c r="R20" s="184"/>
      <c r="S20" s="181"/>
      <c r="T20" s="598"/>
      <c r="U20" s="187"/>
      <c r="V20" s="187"/>
      <c r="W20" s="184"/>
      <c r="X20" s="181"/>
      <c r="Y20" s="598"/>
      <c r="Z20" s="187"/>
      <c r="AA20" s="187"/>
      <c r="AB20" s="184"/>
      <c r="AC20" s="181"/>
      <c r="AD20" s="598"/>
      <c r="AE20" s="187"/>
      <c r="AF20" s="187"/>
      <c r="AG20" s="184"/>
      <c r="AH20" s="181"/>
      <c r="AI20" s="598"/>
      <c r="AJ20" s="187"/>
      <c r="AK20" s="187"/>
      <c r="AL20" s="184"/>
      <c r="AM20" s="181"/>
      <c r="AN20" s="598"/>
      <c r="AO20" s="187"/>
      <c r="AP20" s="187"/>
      <c r="AQ20" s="184"/>
      <c r="AR20" s="181"/>
      <c r="AS20" s="598"/>
      <c r="AT20" s="187"/>
      <c r="AU20" s="187"/>
      <c r="AV20" s="184"/>
      <c r="AW20" s="181"/>
      <c r="AX20" s="598"/>
    </row>
    <row r="21" spans="2:50" ht="14.25" customHeight="1">
      <c r="B21" s="597"/>
      <c r="C21" s="179">
        <v>15</v>
      </c>
      <c r="D21" s="182"/>
      <c r="E21" s="179"/>
      <c r="F21" s="179"/>
      <c r="G21" s="184"/>
      <c r="H21" s="598"/>
      <c r="I21" s="185"/>
      <c r="J21" s="185"/>
      <c r="K21" s="186"/>
      <c r="L21" s="599"/>
      <c r="M21" s="185"/>
      <c r="N21" s="597"/>
      <c r="O21" s="597"/>
      <c r="P21" s="187"/>
      <c r="Q21" s="187"/>
      <c r="R21" s="184"/>
      <c r="S21" s="181"/>
      <c r="T21" s="598"/>
      <c r="U21" s="187"/>
      <c r="V21" s="187"/>
      <c r="W21" s="184"/>
      <c r="X21" s="181"/>
      <c r="Y21" s="598"/>
      <c r="Z21" s="187"/>
      <c r="AA21" s="187"/>
      <c r="AB21" s="184"/>
      <c r="AC21" s="181"/>
      <c r="AD21" s="598"/>
      <c r="AE21" s="187"/>
      <c r="AF21" s="187"/>
      <c r="AG21" s="184"/>
      <c r="AH21" s="181"/>
      <c r="AI21" s="598"/>
      <c r="AJ21" s="187"/>
      <c r="AK21" s="187"/>
      <c r="AL21" s="184"/>
      <c r="AM21" s="181"/>
      <c r="AN21" s="598"/>
      <c r="AO21" s="187"/>
      <c r="AP21" s="187"/>
      <c r="AQ21" s="184"/>
      <c r="AR21" s="181"/>
      <c r="AS21" s="598"/>
      <c r="AT21" s="187"/>
      <c r="AU21" s="187"/>
      <c r="AV21" s="184"/>
      <c r="AW21" s="181"/>
      <c r="AX21" s="598"/>
    </row>
    <row r="22" spans="2:50" ht="14.25" customHeight="1">
      <c r="B22" s="625" t="s">
        <v>773</v>
      </c>
      <c r="C22" s="631"/>
      <c r="D22" s="631"/>
      <c r="E22" s="631"/>
      <c r="F22" s="631"/>
      <c r="G22" s="631"/>
      <c r="H22" s="631"/>
      <c r="I22" s="631"/>
      <c r="J22" s="631"/>
      <c r="K22" s="631"/>
      <c r="L22" s="631"/>
      <c r="M22" s="632"/>
      <c r="N22" s="629" t="s">
        <v>363</v>
      </c>
      <c r="O22" s="629" t="s">
        <v>105</v>
      </c>
      <c r="P22" s="617">
        <v>46210</v>
      </c>
      <c r="Q22" s="618"/>
      <c r="R22" s="618"/>
      <c r="S22" s="618"/>
      <c r="T22" s="618"/>
      <c r="U22" s="619">
        <v>46211</v>
      </c>
      <c r="V22" s="620"/>
      <c r="W22" s="620"/>
      <c r="X22" s="620"/>
      <c r="Y22" s="620"/>
      <c r="Z22" s="617">
        <v>46212</v>
      </c>
      <c r="AA22" s="618"/>
      <c r="AB22" s="618"/>
      <c r="AC22" s="618"/>
      <c r="AD22" s="618"/>
      <c r="AE22" s="619">
        <v>46213</v>
      </c>
      <c r="AF22" s="620"/>
      <c r="AG22" s="620"/>
      <c r="AH22" s="620"/>
      <c r="AI22" s="620"/>
      <c r="AJ22" s="602">
        <v>46214</v>
      </c>
      <c r="AK22" s="603"/>
      <c r="AL22" s="603"/>
      <c r="AM22" s="603"/>
      <c r="AN22" s="604"/>
      <c r="AO22" s="619">
        <v>46215</v>
      </c>
      <c r="AP22" s="620"/>
      <c r="AQ22" s="620"/>
      <c r="AR22" s="620"/>
      <c r="AS22" s="620"/>
      <c r="AT22" s="602">
        <v>46216</v>
      </c>
      <c r="AU22" s="603"/>
      <c r="AV22" s="603"/>
      <c r="AW22" s="603"/>
      <c r="AX22" s="604"/>
    </row>
    <row r="23" spans="2:50" ht="14.25" customHeight="1"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4"/>
      <c r="N23" s="630"/>
      <c r="O23" s="630"/>
      <c r="P23" s="605">
        <v>46196</v>
      </c>
      <c r="Q23" s="605"/>
      <c r="R23" s="605"/>
      <c r="S23" s="605"/>
      <c r="T23" s="605"/>
      <c r="U23" s="606">
        <v>46197</v>
      </c>
      <c r="V23" s="606"/>
      <c r="W23" s="606"/>
      <c r="X23" s="606"/>
      <c r="Y23" s="606"/>
      <c r="Z23" s="605">
        <v>46198</v>
      </c>
      <c r="AA23" s="605"/>
      <c r="AB23" s="605"/>
      <c r="AC23" s="605"/>
      <c r="AD23" s="605"/>
      <c r="AE23" s="606">
        <v>46199</v>
      </c>
      <c r="AF23" s="606"/>
      <c r="AG23" s="606"/>
      <c r="AH23" s="606"/>
      <c r="AI23" s="606"/>
      <c r="AJ23" s="607">
        <v>46200</v>
      </c>
      <c r="AK23" s="608"/>
      <c r="AL23" s="608"/>
      <c r="AM23" s="608"/>
      <c r="AN23" s="609"/>
      <c r="AO23" s="606">
        <v>46201</v>
      </c>
      <c r="AP23" s="606"/>
      <c r="AQ23" s="606"/>
      <c r="AR23" s="606"/>
      <c r="AS23" s="606"/>
      <c r="AT23" s="607">
        <v>46202</v>
      </c>
      <c r="AU23" s="608"/>
      <c r="AV23" s="608"/>
      <c r="AW23" s="608"/>
      <c r="AX23" s="609"/>
    </row>
    <row r="24" spans="2:50" ht="14.25" customHeight="1">
      <c r="B24" s="597" t="s">
        <v>162</v>
      </c>
      <c r="C24" s="597" t="s">
        <v>157</v>
      </c>
      <c r="D24" s="597"/>
      <c r="E24" s="597" t="s">
        <v>158</v>
      </c>
      <c r="F24" s="597"/>
      <c r="G24" s="597"/>
      <c r="H24" s="597" t="s">
        <v>163</v>
      </c>
      <c r="I24" s="601" t="s">
        <v>364</v>
      </c>
      <c r="J24" s="601"/>
      <c r="K24" s="601"/>
      <c r="L24" s="601" t="s">
        <v>163</v>
      </c>
      <c r="M24" s="601" t="s">
        <v>165</v>
      </c>
      <c r="N24" s="597"/>
      <c r="O24" s="597" t="s">
        <v>164</v>
      </c>
      <c r="P24" s="597" t="s">
        <v>160</v>
      </c>
      <c r="Q24" s="597"/>
      <c r="R24" s="597"/>
      <c r="S24" s="597"/>
      <c r="T24" s="597" t="s">
        <v>163</v>
      </c>
      <c r="U24" s="597" t="s">
        <v>160</v>
      </c>
      <c r="V24" s="597"/>
      <c r="W24" s="597"/>
      <c r="X24" s="597"/>
      <c r="Y24" s="597" t="s">
        <v>163</v>
      </c>
      <c r="Z24" s="597" t="s">
        <v>160</v>
      </c>
      <c r="AA24" s="597"/>
      <c r="AB24" s="597"/>
      <c r="AC24" s="597"/>
      <c r="AD24" s="597" t="s">
        <v>163</v>
      </c>
      <c r="AE24" s="597" t="s">
        <v>160</v>
      </c>
      <c r="AF24" s="597"/>
      <c r="AG24" s="597"/>
      <c r="AH24" s="597"/>
      <c r="AI24" s="597" t="s">
        <v>163</v>
      </c>
      <c r="AJ24" s="597" t="s">
        <v>160</v>
      </c>
      <c r="AK24" s="597"/>
      <c r="AL24" s="597"/>
      <c r="AM24" s="597"/>
      <c r="AN24" s="597" t="s">
        <v>163</v>
      </c>
      <c r="AO24" s="597" t="s">
        <v>160</v>
      </c>
      <c r="AP24" s="597"/>
      <c r="AQ24" s="597"/>
      <c r="AR24" s="597"/>
      <c r="AS24" s="597" t="s">
        <v>163</v>
      </c>
      <c r="AT24" s="597" t="s">
        <v>160</v>
      </c>
      <c r="AU24" s="597"/>
      <c r="AV24" s="597"/>
      <c r="AW24" s="597"/>
      <c r="AX24" s="597" t="s">
        <v>163</v>
      </c>
    </row>
    <row r="25" spans="2:50" ht="14.25" customHeight="1">
      <c r="B25" s="597"/>
      <c r="C25" s="597"/>
      <c r="D25" s="597"/>
      <c r="E25" s="597" t="s">
        <v>365</v>
      </c>
      <c r="F25" s="597"/>
      <c r="G25" s="597"/>
      <c r="H25" s="597"/>
      <c r="I25" s="601" t="s">
        <v>365</v>
      </c>
      <c r="J25" s="601"/>
      <c r="K25" s="601"/>
      <c r="L25" s="601"/>
      <c r="M25" s="601"/>
      <c r="N25" s="597"/>
      <c r="O25" s="597"/>
      <c r="P25" s="597" t="s">
        <v>366</v>
      </c>
      <c r="Q25" s="597"/>
      <c r="R25" s="597"/>
      <c r="S25" s="597"/>
      <c r="T25" s="597"/>
      <c r="U25" s="597" t="s">
        <v>366</v>
      </c>
      <c r="V25" s="597"/>
      <c r="W25" s="597"/>
      <c r="X25" s="597"/>
      <c r="Y25" s="597"/>
      <c r="Z25" s="597" t="s">
        <v>366</v>
      </c>
      <c r="AA25" s="597"/>
      <c r="AB25" s="597"/>
      <c r="AC25" s="597"/>
      <c r="AD25" s="597"/>
      <c r="AE25" s="597" t="s">
        <v>366</v>
      </c>
      <c r="AF25" s="597"/>
      <c r="AG25" s="597"/>
      <c r="AH25" s="597"/>
      <c r="AI25" s="597"/>
      <c r="AJ25" s="597" t="s">
        <v>366</v>
      </c>
      <c r="AK25" s="597"/>
      <c r="AL25" s="597"/>
      <c r="AM25" s="597"/>
      <c r="AN25" s="597"/>
      <c r="AO25" s="597" t="s">
        <v>366</v>
      </c>
      <c r="AP25" s="597"/>
      <c r="AQ25" s="597"/>
      <c r="AR25" s="597"/>
      <c r="AS25" s="597"/>
      <c r="AT25" s="597" t="s">
        <v>366</v>
      </c>
      <c r="AU25" s="597"/>
      <c r="AV25" s="597"/>
      <c r="AW25" s="597"/>
      <c r="AX25" s="597"/>
    </row>
    <row r="26" spans="2:50" ht="14.25" customHeight="1">
      <c r="B26" s="597"/>
      <c r="C26" s="597"/>
      <c r="D26" s="597"/>
      <c r="E26" s="179" t="s">
        <v>159</v>
      </c>
      <c r="F26" s="179" t="s">
        <v>367</v>
      </c>
      <c r="G26" s="179" t="s">
        <v>161</v>
      </c>
      <c r="H26" s="597"/>
      <c r="I26" s="180" t="s">
        <v>159</v>
      </c>
      <c r="J26" s="180" t="s">
        <v>367</v>
      </c>
      <c r="K26" s="180" t="s">
        <v>161</v>
      </c>
      <c r="L26" s="601"/>
      <c r="M26" s="601"/>
      <c r="N26" s="597"/>
      <c r="O26" s="597"/>
      <c r="P26" s="179" t="s">
        <v>159</v>
      </c>
      <c r="Q26" s="179" t="s">
        <v>367</v>
      </c>
      <c r="R26" s="179" t="s">
        <v>161</v>
      </c>
      <c r="S26" s="181" t="s">
        <v>165</v>
      </c>
      <c r="T26" s="597"/>
      <c r="U26" s="179" t="s">
        <v>159</v>
      </c>
      <c r="V26" s="179" t="s">
        <v>367</v>
      </c>
      <c r="W26" s="179" t="s">
        <v>161</v>
      </c>
      <c r="X26" s="181" t="s">
        <v>165</v>
      </c>
      <c r="Y26" s="597"/>
      <c r="Z26" s="179" t="s">
        <v>159</v>
      </c>
      <c r="AA26" s="179" t="s">
        <v>367</v>
      </c>
      <c r="AB26" s="179" t="s">
        <v>161</v>
      </c>
      <c r="AC26" s="181" t="s">
        <v>165</v>
      </c>
      <c r="AD26" s="597"/>
      <c r="AE26" s="179" t="s">
        <v>159</v>
      </c>
      <c r="AF26" s="179" t="s">
        <v>367</v>
      </c>
      <c r="AG26" s="179" t="s">
        <v>161</v>
      </c>
      <c r="AH26" s="181" t="s">
        <v>165</v>
      </c>
      <c r="AI26" s="597"/>
      <c r="AJ26" s="179" t="s">
        <v>159</v>
      </c>
      <c r="AK26" s="179" t="s">
        <v>367</v>
      </c>
      <c r="AL26" s="179" t="s">
        <v>161</v>
      </c>
      <c r="AM26" s="181" t="s">
        <v>165</v>
      </c>
      <c r="AN26" s="597"/>
      <c r="AO26" s="179" t="s">
        <v>159</v>
      </c>
      <c r="AP26" s="179" t="s">
        <v>367</v>
      </c>
      <c r="AQ26" s="179" t="s">
        <v>161</v>
      </c>
      <c r="AR26" s="181" t="s">
        <v>165</v>
      </c>
      <c r="AS26" s="597"/>
      <c r="AT26" s="179" t="s">
        <v>159</v>
      </c>
      <c r="AU26" s="179" t="s">
        <v>367</v>
      </c>
      <c r="AV26" s="179" t="s">
        <v>161</v>
      </c>
      <c r="AW26" s="181" t="s">
        <v>165</v>
      </c>
      <c r="AX26" s="597"/>
    </row>
    <row r="27" spans="2:50" ht="14.25" customHeight="1">
      <c r="B27" s="597" t="s">
        <v>371</v>
      </c>
      <c r="C27" s="179">
        <v>1</v>
      </c>
      <c r="D27" s="182" t="s">
        <v>531</v>
      </c>
      <c r="E27" s="183">
        <v>20</v>
      </c>
      <c r="F27" s="179">
        <v>3600</v>
      </c>
      <c r="G27" s="184">
        <f t="shared" ref="G27:G35" si="17">IFERROR(F27/E27,"")</f>
        <v>180</v>
      </c>
      <c r="H27" s="598">
        <f>AVERAGE(G27:G41)</f>
        <v>176.59147869674186</v>
      </c>
      <c r="I27" s="185">
        <f>AVERAGE(P27,U27,Z27,AE27,AJ27,AO27,AT27)</f>
        <v>20</v>
      </c>
      <c r="J27" s="185">
        <f>AVERAGE(Q27,V27,AA27,AF27,AK27,AP27,AU27)</f>
        <v>3261.8936650019027</v>
      </c>
      <c r="K27" s="186">
        <f>AVERAGE(R27,W27,AB27,AG27,AL27,AQ27,AV27)</f>
        <v>163.09468325009513</v>
      </c>
      <c r="L27" s="599">
        <f>IFERROR(AVERAGE(K27:K41),"-")</f>
        <v>157.47086317143416</v>
      </c>
      <c r="M27" s="185">
        <f>RANK(K27, K$27:$K$41)</f>
        <v>5</v>
      </c>
      <c r="N27" s="597"/>
      <c r="O27" s="597"/>
      <c r="P27" s="187">
        <v>20</v>
      </c>
      <c r="Q27" s="187">
        <v>3260.9165221447597</v>
      </c>
      <c r="R27" s="184">
        <f>IFERROR(Q27/P27,"")</f>
        <v>163.04582610723799</v>
      </c>
      <c r="S27" s="181">
        <f>RANK(R27, R$27:R$41)</f>
        <v>5</v>
      </c>
      <c r="T27" s="598">
        <f>AVERAGE(R27:R41)</f>
        <v>156.40124959468247</v>
      </c>
      <c r="U27" s="187">
        <v>20</v>
      </c>
      <c r="V27" s="187">
        <v>3262.3565221447598</v>
      </c>
      <c r="W27" s="184">
        <f t="shared" ref="W27:W35" si="18">IFERROR(V27/U27,"")</f>
        <v>163.11782610723799</v>
      </c>
      <c r="X27" s="181">
        <f>RANK(W27, W$27:W$41)</f>
        <v>5</v>
      </c>
      <c r="Y27" s="598">
        <f>AVERAGE(W27:W41)</f>
        <v>156.76182407087293</v>
      </c>
      <c r="Z27" s="187">
        <v>20</v>
      </c>
      <c r="AA27" s="187">
        <v>3261.6365221447595</v>
      </c>
      <c r="AB27" s="184">
        <f>IFERROR(AA27/Z27,"")</f>
        <v>163.08182610723799</v>
      </c>
      <c r="AC27" s="181">
        <f>RANK(AB27, AB$27:AB$41)</f>
        <v>5</v>
      </c>
      <c r="AD27" s="598">
        <f>AVERAGE(AB27:AB41)</f>
        <v>157.13327714740424</v>
      </c>
      <c r="AE27" s="187">
        <v>20</v>
      </c>
      <c r="AF27" s="187">
        <v>3261.6365221447595</v>
      </c>
      <c r="AG27" s="184">
        <f>IFERROR(AF27/AE27,"")</f>
        <v>163.08182610723799</v>
      </c>
      <c r="AH27" s="181">
        <f>RANK(AG27, AG$27:AG$41)</f>
        <v>3</v>
      </c>
      <c r="AI27" s="598">
        <f>AVERAGE(AG27:AG41)</f>
        <v>154.56093110602529</v>
      </c>
      <c r="AJ27" s="187">
        <v>20</v>
      </c>
      <c r="AK27" s="187">
        <v>3262.7165221447594</v>
      </c>
      <c r="AL27" s="184">
        <f>IFERROR(AK27/AJ27,"")</f>
        <v>163.13582610723796</v>
      </c>
      <c r="AM27" s="181">
        <f>RANK(AL27, AL$27:AL$41)</f>
        <v>3</v>
      </c>
      <c r="AN27" s="598">
        <f>AVERAGE(AL27:AL41)</f>
        <v>155.11193147966398</v>
      </c>
      <c r="AO27" s="187">
        <v>20</v>
      </c>
      <c r="AP27" s="187">
        <v>3261.6365221447595</v>
      </c>
      <c r="AQ27" s="184">
        <f>IFERROR(AP27/AO27,"")</f>
        <v>163.08182610723799</v>
      </c>
      <c r="AR27" s="181">
        <f>RANK(AQ27, AQ$27:AQ$41)</f>
        <v>3</v>
      </c>
      <c r="AS27" s="598">
        <f>AVERAGE(AQ27:AQ41)</f>
        <v>155.578663159299</v>
      </c>
      <c r="AT27" s="187">
        <v>20</v>
      </c>
      <c r="AU27" s="187">
        <v>3262.3565221447598</v>
      </c>
      <c r="AV27" s="184">
        <f>IFERROR(AU27/AT27,"")</f>
        <v>163.11782610723799</v>
      </c>
      <c r="AW27" s="181">
        <f>RANK(AV27, AV$27:AV$41)</f>
        <v>3</v>
      </c>
      <c r="AX27" s="598">
        <f>AVERAGE(AV27:AV41)</f>
        <v>155.58401546864374</v>
      </c>
    </row>
    <row r="28" spans="2:50" ht="14.25" customHeight="1">
      <c r="B28" s="597"/>
      <c r="C28" s="179">
        <v>2</v>
      </c>
      <c r="D28" s="182" t="s">
        <v>532</v>
      </c>
      <c r="E28" s="179">
        <v>21</v>
      </c>
      <c r="F28" s="179">
        <v>3600</v>
      </c>
      <c r="G28" s="184">
        <f t="shared" si="17"/>
        <v>171.42857142857142</v>
      </c>
      <c r="H28" s="598"/>
      <c r="I28" s="185">
        <f t="shared" ref="I28:K35" si="19">AVERAGE(P28,U28,Z28,AE28,AJ28,AO28,AT28)</f>
        <v>21</v>
      </c>
      <c r="J28" s="185">
        <f t="shared" si="19"/>
        <v>3260.0206533589308</v>
      </c>
      <c r="K28" s="186">
        <f t="shared" si="19"/>
        <v>155.23907873137765</v>
      </c>
      <c r="L28" s="599"/>
      <c r="M28" s="185">
        <f>RANK(K28, K$27:$K$41)</f>
        <v>7</v>
      </c>
      <c r="N28" s="597"/>
      <c r="O28" s="597"/>
      <c r="P28" s="187">
        <v>21</v>
      </c>
      <c r="Q28" s="187">
        <v>3258.7349390732161</v>
      </c>
      <c r="R28" s="184">
        <f t="shared" ref="R28:R35" si="20">IFERROR(Q28/P28,"")</f>
        <v>155.17785424158171</v>
      </c>
      <c r="S28" s="181">
        <f t="shared" ref="S28:S35" si="21">RANK(R28, R$27:R$41)</f>
        <v>6</v>
      </c>
      <c r="T28" s="598"/>
      <c r="U28" s="187">
        <v>21</v>
      </c>
      <c r="V28" s="187">
        <v>3258.0149390732167</v>
      </c>
      <c r="W28" s="184">
        <f t="shared" si="18"/>
        <v>155.14356852729603</v>
      </c>
      <c r="X28" s="181">
        <f t="shared" ref="X28:X35" si="22">RANK(W28, W$27:W$41)</f>
        <v>6</v>
      </c>
      <c r="Y28" s="598"/>
      <c r="Z28" s="187">
        <v>21</v>
      </c>
      <c r="AA28" s="187">
        <v>3259.4549390732163</v>
      </c>
      <c r="AB28" s="184">
        <f t="shared" ref="AB28:AB35" si="23">IFERROR(AA28/Z28,"")</f>
        <v>155.21213995586746</v>
      </c>
      <c r="AC28" s="181">
        <f t="shared" ref="AC28:AC35" si="24">RANK(AB28, AB$27:AB$41)</f>
        <v>6</v>
      </c>
      <c r="AD28" s="598"/>
      <c r="AE28" s="187">
        <v>21</v>
      </c>
      <c r="AF28" s="187">
        <v>3259.4549390732168</v>
      </c>
      <c r="AG28" s="184">
        <f t="shared" ref="AG28:AG35" si="25">IFERROR(AF28/AE28,"")</f>
        <v>155.21213995586746</v>
      </c>
      <c r="AH28" s="181">
        <f t="shared" ref="AH28:AH35" si="26">RANK(AG28, AG$27:AG$41)</f>
        <v>5</v>
      </c>
      <c r="AI28" s="598"/>
      <c r="AJ28" s="187">
        <v>21</v>
      </c>
      <c r="AK28" s="187">
        <v>3261.2549390732165</v>
      </c>
      <c r="AL28" s="184">
        <f t="shared" ref="AL28:AL35" si="27">IFERROR(AK28/AJ28,"")</f>
        <v>155.29785424158175</v>
      </c>
      <c r="AM28" s="181">
        <f t="shared" ref="AM28:AM35" si="28">RANK(AL28, AL$27:AL$41)</f>
        <v>5</v>
      </c>
      <c r="AN28" s="598"/>
      <c r="AO28" s="187">
        <v>21</v>
      </c>
      <c r="AP28" s="187">
        <v>3260.8949390732168</v>
      </c>
      <c r="AQ28" s="184">
        <f t="shared" ref="AQ28:AQ35" si="29">IFERROR(AP28/AO28,"")</f>
        <v>155.28071138443889</v>
      </c>
      <c r="AR28" s="181">
        <f t="shared" ref="AR28:AR35" si="30">RANK(AQ28, AQ$27:AQ$41)</f>
        <v>5</v>
      </c>
      <c r="AS28" s="598"/>
      <c r="AT28" s="187">
        <v>21</v>
      </c>
      <c r="AU28" s="187">
        <v>3262.3349390732169</v>
      </c>
      <c r="AV28" s="184">
        <f t="shared" ref="AV28:AV35" si="31">IFERROR(AU28/AT28,"")</f>
        <v>155.34928281301032</v>
      </c>
      <c r="AW28" s="181">
        <f t="shared" ref="AW28:AW35" si="32">RANK(AV28, AV$27:AV$41)</f>
        <v>5</v>
      </c>
      <c r="AX28" s="598"/>
    </row>
    <row r="29" spans="2:50" ht="14.25" customHeight="1">
      <c r="B29" s="597"/>
      <c r="C29" s="179">
        <v>3</v>
      </c>
      <c r="D29" s="182" t="s">
        <v>539</v>
      </c>
      <c r="E29" s="179">
        <v>19</v>
      </c>
      <c r="F29" s="179">
        <v>3600</v>
      </c>
      <c r="G29" s="184">
        <f t="shared" si="17"/>
        <v>189.47368421052633</v>
      </c>
      <c r="H29" s="598"/>
      <c r="I29" s="185">
        <f t="shared" si="19"/>
        <v>19</v>
      </c>
      <c r="J29" s="185">
        <f t="shared" si="19"/>
        <v>3187.4416259245554</v>
      </c>
      <c r="K29" s="186">
        <f t="shared" si="19"/>
        <v>167.76008557497661</v>
      </c>
      <c r="L29" s="599"/>
      <c r="M29" s="185">
        <f>RANK(K29, K$27:$K$41)</f>
        <v>4</v>
      </c>
      <c r="N29" s="597"/>
      <c r="O29" s="597"/>
      <c r="P29" s="187">
        <v>19</v>
      </c>
      <c r="Q29" s="187">
        <v>3186.9616259245563</v>
      </c>
      <c r="R29" s="184">
        <f t="shared" si="20"/>
        <v>167.73482241708192</v>
      </c>
      <c r="S29" s="181">
        <f t="shared" si="21"/>
        <v>3</v>
      </c>
      <c r="T29" s="598"/>
      <c r="U29" s="187">
        <v>19</v>
      </c>
      <c r="V29" s="187">
        <v>3186.9616259245558</v>
      </c>
      <c r="W29" s="184">
        <f t="shared" si="18"/>
        <v>167.73482241708189</v>
      </c>
      <c r="X29" s="181">
        <f t="shared" si="22"/>
        <v>3</v>
      </c>
      <c r="Y29" s="598"/>
      <c r="Z29" s="187">
        <v>19</v>
      </c>
      <c r="AA29" s="187">
        <v>3188.4016259245554</v>
      </c>
      <c r="AB29" s="184">
        <f t="shared" si="23"/>
        <v>167.81061189076607</v>
      </c>
      <c r="AC29" s="181">
        <f t="shared" si="24"/>
        <v>2</v>
      </c>
      <c r="AD29" s="598"/>
      <c r="AE29" s="187"/>
      <c r="AF29" s="187"/>
      <c r="AG29" s="184"/>
      <c r="AH29" s="181"/>
      <c r="AI29" s="598"/>
      <c r="AJ29" s="187"/>
      <c r="AK29" s="187"/>
      <c r="AL29" s="184"/>
      <c r="AM29" s="181"/>
      <c r="AN29" s="598"/>
      <c r="AO29" s="187"/>
      <c r="AP29" s="187"/>
      <c r="AQ29" s="184"/>
      <c r="AR29" s="181"/>
      <c r="AS29" s="598"/>
      <c r="AT29" s="187"/>
      <c r="AU29" s="187"/>
      <c r="AV29" s="184"/>
      <c r="AW29" s="181"/>
      <c r="AX29" s="598"/>
    </row>
    <row r="30" spans="2:50" ht="14.25" customHeight="1">
      <c r="B30" s="597"/>
      <c r="C30" s="179">
        <v>4</v>
      </c>
      <c r="D30" s="182" t="s">
        <v>614</v>
      </c>
      <c r="E30" s="179">
        <v>19</v>
      </c>
      <c r="F30" s="179">
        <v>3600</v>
      </c>
      <c r="G30" s="184">
        <f t="shared" si="17"/>
        <v>189.47368421052633</v>
      </c>
      <c r="H30" s="598"/>
      <c r="I30" s="185">
        <f t="shared" si="19"/>
        <v>19</v>
      </c>
      <c r="J30" s="185">
        <f t="shared" si="19"/>
        <v>3188.4312659167049</v>
      </c>
      <c r="K30" s="186">
        <f t="shared" si="19"/>
        <v>167.81217189035289</v>
      </c>
      <c r="L30" s="599"/>
      <c r="M30" s="185">
        <f>RANK(K30, K$27:$K$41)</f>
        <v>2</v>
      </c>
      <c r="N30" s="597"/>
      <c r="O30" s="597"/>
      <c r="P30" s="187">
        <v>19</v>
      </c>
      <c r="Q30" s="187">
        <v>3185.0595668322521</v>
      </c>
      <c r="R30" s="184">
        <f t="shared" si="20"/>
        <v>167.63471404380275</v>
      </c>
      <c r="S30" s="181">
        <f t="shared" si="21"/>
        <v>4</v>
      </c>
      <c r="T30" s="598"/>
      <c r="U30" s="187">
        <v>19</v>
      </c>
      <c r="V30" s="187">
        <v>3186.1395668322516</v>
      </c>
      <c r="W30" s="184">
        <f t="shared" si="18"/>
        <v>167.69155614906586</v>
      </c>
      <c r="X30" s="181">
        <f t="shared" si="22"/>
        <v>4</v>
      </c>
      <c r="Y30" s="598"/>
      <c r="Z30" s="187">
        <v>19</v>
      </c>
      <c r="AA30" s="187">
        <v>3185.779566832251</v>
      </c>
      <c r="AB30" s="184">
        <f t="shared" si="23"/>
        <v>167.67260878064479</v>
      </c>
      <c r="AC30" s="181">
        <f t="shared" si="24"/>
        <v>4</v>
      </c>
      <c r="AD30" s="598"/>
      <c r="AE30" s="187">
        <v>19</v>
      </c>
      <c r="AF30" s="187">
        <v>3188.8900402300455</v>
      </c>
      <c r="AG30" s="184">
        <f t="shared" si="25"/>
        <v>167.8363179068445</v>
      </c>
      <c r="AH30" s="181">
        <f t="shared" si="26"/>
        <v>2</v>
      </c>
      <c r="AI30" s="598"/>
      <c r="AJ30" s="187">
        <v>19</v>
      </c>
      <c r="AK30" s="187">
        <v>3189.970040230045</v>
      </c>
      <c r="AL30" s="184">
        <f t="shared" si="27"/>
        <v>167.89316001210764</v>
      </c>
      <c r="AM30" s="181">
        <f t="shared" si="28"/>
        <v>2</v>
      </c>
      <c r="AN30" s="598"/>
      <c r="AO30" s="187">
        <v>19</v>
      </c>
      <c r="AP30" s="187">
        <v>3191.4100402300451</v>
      </c>
      <c r="AQ30" s="184">
        <f t="shared" si="29"/>
        <v>167.96894948579185</v>
      </c>
      <c r="AR30" s="181">
        <f t="shared" si="30"/>
        <v>2</v>
      </c>
      <c r="AS30" s="598"/>
      <c r="AT30" s="187">
        <v>19</v>
      </c>
      <c r="AU30" s="187">
        <v>3191.7700402300447</v>
      </c>
      <c r="AV30" s="184">
        <f t="shared" si="31"/>
        <v>167.98789685421289</v>
      </c>
      <c r="AW30" s="181">
        <f t="shared" si="32"/>
        <v>2</v>
      </c>
      <c r="AX30" s="598"/>
    </row>
    <row r="31" spans="2:50" ht="14.25" customHeight="1">
      <c r="B31" s="597"/>
      <c r="C31" s="179">
        <v>5</v>
      </c>
      <c r="D31" s="182" t="s">
        <v>543</v>
      </c>
      <c r="E31" s="179">
        <v>19</v>
      </c>
      <c r="F31" s="179">
        <v>3600</v>
      </c>
      <c r="G31" s="184">
        <f t="shared" si="17"/>
        <v>189.47368421052633</v>
      </c>
      <c r="H31" s="598"/>
      <c r="I31" s="185">
        <f t="shared" si="19"/>
        <v>19</v>
      </c>
      <c r="J31" s="185">
        <f t="shared" si="19"/>
        <v>3187.7634355198265</v>
      </c>
      <c r="K31" s="186">
        <f t="shared" si="19"/>
        <v>167.77702292209611</v>
      </c>
      <c r="L31" s="599"/>
      <c r="M31" s="185">
        <f>RANK(K31, K$27:$K$41)</f>
        <v>3</v>
      </c>
      <c r="N31" s="597"/>
      <c r="O31" s="597"/>
      <c r="P31" s="187">
        <v>19</v>
      </c>
      <c r="Q31" s="187">
        <v>3187.8834355198264</v>
      </c>
      <c r="R31" s="184">
        <f t="shared" si="20"/>
        <v>167.78333871156983</v>
      </c>
      <c r="S31" s="181">
        <f t="shared" si="21"/>
        <v>2</v>
      </c>
      <c r="T31" s="598"/>
      <c r="U31" s="187">
        <v>19</v>
      </c>
      <c r="V31" s="187">
        <v>3187.1634355198266</v>
      </c>
      <c r="W31" s="184">
        <f t="shared" si="18"/>
        <v>167.74544397472772</v>
      </c>
      <c r="X31" s="181">
        <f t="shared" si="22"/>
        <v>2</v>
      </c>
      <c r="Y31" s="598"/>
      <c r="Z31" s="187">
        <v>19</v>
      </c>
      <c r="AA31" s="187">
        <v>3188.2434355198266</v>
      </c>
      <c r="AB31" s="184">
        <f t="shared" si="23"/>
        <v>167.80228607999086</v>
      </c>
      <c r="AC31" s="181">
        <f t="shared" si="24"/>
        <v>3</v>
      </c>
      <c r="AD31" s="598"/>
      <c r="AE31" s="187"/>
      <c r="AF31" s="187"/>
      <c r="AG31" s="184"/>
      <c r="AH31" s="181"/>
      <c r="AI31" s="598"/>
      <c r="AJ31" s="187"/>
      <c r="AK31" s="187"/>
      <c r="AL31" s="184"/>
      <c r="AM31" s="181"/>
      <c r="AN31" s="598"/>
      <c r="AO31" s="187"/>
      <c r="AP31" s="187"/>
      <c r="AQ31" s="184"/>
      <c r="AR31" s="181"/>
      <c r="AS31" s="598"/>
      <c r="AT31" s="187"/>
      <c r="AU31" s="187"/>
      <c r="AV31" s="184"/>
      <c r="AW31" s="181"/>
      <c r="AX31" s="598"/>
    </row>
    <row r="32" spans="2:50" ht="14.25" customHeight="1">
      <c r="B32" s="597"/>
      <c r="C32" s="179">
        <v>6</v>
      </c>
      <c r="D32" s="182" t="s">
        <v>597</v>
      </c>
      <c r="E32" s="179">
        <v>24</v>
      </c>
      <c r="F32" s="179">
        <v>3600</v>
      </c>
      <c r="G32" s="184">
        <f t="shared" si="17"/>
        <v>150</v>
      </c>
      <c r="H32" s="598"/>
      <c r="I32" s="185">
        <f t="shared" si="19"/>
        <v>24</v>
      </c>
      <c r="J32" s="185">
        <f t="shared" si="19"/>
        <v>3256.7237514563381</v>
      </c>
      <c r="K32" s="186">
        <f t="shared" si="19"/>
        <v>135.69682297734741</v>
      </c>
      <c r="L32" s="599"/>
      <c r="M32" s="185">
        <f>RANK(K32, K$27:$K$41)</f>
        <v>9</v>
      </c>
      <c r="N32" s="597"/>
      <c r="O32" s="597"/>
      <c r="P32" s="187">
        <v>24</v>
      </c>
      <c r="Q32" s="187">
        <v>3257.3408943134796</v>
      </c>
      <c r="R32" s="184">
        <f t="shared" si="20"/>
        <v>135.72253726306164</v>
      </c>
      <c r="S32" s="181">
        <f t="shared" si="21"/>
        <v>9</v>
      </c>
      <c r="T32" s="598"/>
      <c r="U32" s="187">
        <v>24</v>
      </c>
      <c r="V32" s="187">
        <v>3258.4208943134799</v>
      </c>
      <c r="W32" s="184">
        <f t="shared" si="18"/>
        <v>135.76753726306166</v>
      </c>
      <c r="X32" s="181">
        <f t="shared" si="22"/>
        <v>9</v>
      </c>
      <c r="Y32" s="598"/>
      <c r="Z32" s="187">
        <v>24</v>
      </c>
      <c r="AA32" s="187">
        <v>3258.0608943134798</v>
      </c>
      <c r="AB32" s="184">
        <f t="shared" si="23"/>
        <v>135.75253726306167</v>
      </c>
      <c r="AC32" s="181">
        <f t="shared" si="24"/>
        <v>9</v>
      </c>
      <c r="AD32" s="598"/>
      <c r="AE32" s="187">
        <v>24</v>
      </c>
      <c r="AF32" s="187">
        <v>3256.260894313481</v>
      </c>
      <c r="AG32" s="184">
        <f t="shared" si="25"/>
        <v>135.67753726306171</v>
      </c>
      <c r="AH32" s="181">
        <f t="shared" si="26"/>
        <v>7</v>
      </c>
      <c r="AI32" s="598"/>
      <c r="AJ32" s="187">
        <v>24</v>
      </c>
      <c r="AK32" s="187">
        <v>3256.260894313481</v>
      </c>
      <c r="AL32" s="184">
        <f t="shared" si="27"/>
        <v>135.67753726306171</v>
      </c>
      <c r="AM32" s="181">
        <f t="shared" si="28"/>
        <v>7</v>
      </c>
      <c r="AN32" s="598"/>
      <c r="AO32" s="187">
        <v>24</v>
      </c>
      <c r="AP32" s="187">
        <v>3254.8208943134819</v>
      </c>
      <c r="AQ32" s="184">
        <f t="shared" si="29"/>
        <v>135.61753726306173</v>
      </c>
      <c r="AR32" s="181">
        <f t="shared" si="30"/>
        <v>7</v>
      </c>
      <c r="AS32" s="598"/>
      <c r="AT32" s="187">
        <v>24</v>
      </c>
      <c r="AU32" s="187">
        <v>3255.9008943134818</v>
      </c>
      <c r="AV32" s="184">
        <f t="shared" si="31"/>
        <v>135.66253726306175</v>
      </c>
      <c r="AW32" s="181">
        <f t="shared" si="32"/>
        <v>7</v>
      </c>
      <c r="AX32" s="598"/>
    </row>
    <row r="33" spans="2:50" ht="14.25" customHeight="1">
      <c r="B33" s="597"/>
      <c r="C33" s="179">
        <v>7</v>
      </c>
      <c r="D33" s="182" t="s">
        <v>533</v>
      </c>
      <c r="E33" s="179">
        <v>19</v>
      </c>
      <c r="F33" s="179">
        <v>3600</v>
      </c>
      <c r="G33" s="184">
        <f t="shared" si="17"/>
        <v>189.47368421052633</v>
      </c>
      <c r="H33" s="598"/>
      <c r="I33" s="185">
        <f t="shared" si="19"/>
        <v>19</v>
      </c>
      <c r="J33" s="185">
        <f t="shared" si="19"/>
        <v>3191.1179423240069</v>
      </c>
      <c r="K33" s="186">
        <f t="shared" si="19"/>
        <v>167.95357591178981</v>
      </c>
      <c r="L33" s="599"/>
      <c r="M33" s="185">
        <f>RANK(K33, K$27:$K$41)</f>
        <v>1</v>
      </c>
      <c r="N33" s="597"/>
      <c r="O33" s="597"/>
      <c r="P33" s="187">
        <v>19</v>
      </c>
      <c r="Q33" s="187">
        <v>3189.6779423240082</v>
      </c>
      <c r="R33" s="184">
        <f t="shared" si="20"/>
        <v>167.87778643810569</v>
      </c>
      <c r="S33" s="181">
        <f t="shared" si="21"/>
        <v>1</v>
      </c>
      <c r="T33" s="598"/>
      <c r="U33" s="187">
        <v>19</v>
      </c>
      <c r="V33" s="187">
        <v>3189.3179423240076</v>
      </c>
      <c r="W33" s="184">
        <f t="shared" si="18"/>
        <v>167.85883906968462</v>
      </c>
      <c r="X33" s="181">
        <f t="shared" si="22"/>
        <v>1</v>
      </c>
      <c r="Y33" s="598"/>
      <c r="Z33" s="187">
        <v>19</v>
      </c>
      <c r="AA33" s="187">
        <v>3190.7579423240072</v>
      </c>
      <c r="AB33" s="184">
        <f t="shared" si="23"/>
        <v>167.9346285433688</v>
      </c>
      <c r="AC33" s="181">
        <f t="shared" si="24"/>
        <v>1</v>
      </c>
      <c r="AD33" s="598"/>
      <c r="AE33" s="187">
        <v>19</v>
      </c>
      <c r="AF33" s="187">
        <v>3190.7579423240068</v>
      </c>
      <c r="AG33" s="184">
        <f t="shared" si="25"/>
        <v>167.93462854336877</v>
      </c>
      <c r="AH33" s="181">
        <f t="shared" si="26"/>
        <v>1</v>
      </c>
      <c r="AI33" s="598"/>
      <c r="AJ33" s="187">
        <v>19</v>
      </c>
      <c r="AK33" s="187">
        <v>3191.8379423240058</v>
      </c>
      <c r="AL33" s="184">
        <f t="shared" si="27"/>
        <v>167.99147064863189</v>
      </c>
      <c r="AM33" s="181">
        <f t="shared" si="28"/>
        <v>1</v>
      </c>
      <c r="AN33" s="598"/>
      <c r="AO33" s="187">
        <v>19</v>
      </c>
      <c r="AP33" s="187">
        <v>3192.5579423240056</v>
      </c>
      <c r="AQ33" s="184">
        <f t="shared" si="29"/>
        <v>168.02936538547397</v>
      </c>
      <c r="AR33" s="181">
        <f t="shared" si="30"/>
        <v>1</v>
      </c>
      <c r="AS33" s="598"/>
      <c r="AT33" s="187">
        <v>19</v>
      </c>
      <c r="AU33" s="187">
        <v>3192.9179423240043</v>
      </c>
      <c r="AV33" s="184">
        <f t="shared" si="31"/>
        <v>168.04831275389498</v>
      </c>
      <c r="AW33" s="181">
        <f t="shared" si="32"/>
        <v>1</v>
      </c>
      <c r="AX33" s="598"/>
    </row>
    <row r="34" spans="2:50" ht="14.25" customHeight="1">
      <c r="B34" s="597"/>
      <c r="C34" s="179">
        <v>8</v>
      </c>
      <c r="D34" s="182" t="s">
        <v>630</v>
      </c>
      <c r="E34" s="179">
        <v>24</v>
      </c>
      <c r="F34" s="179">
        <v>3600</v>
      </c>
      <c r="G34" s="184">
        <f t="shared" si="17"/>
        <v>150</v>
      </c>
      <c r="H34" s="598"/>
      <c r="I34" s="185">
        <f t="shared" si="19"/>
        <v>24</v>
      </c>
      <c r="J34" s="185">
        <f t="shared" si="19"/>
        <v>3263.9162396842435</v>
      </c>
      <c r="K34" s="186">
        <f t="shared" si="19"/>
        <v>135.99650998684348</v>
      </c>
      <c r="L34" s="599"/>
      <c r="M34" s="185">
        <f>RANK(K34, K$27:$K$41)</f>
        <v>8</v>
      </c>
      <c r="N34" s="597"/>
      <c r="O34" s="597"/>
      <c r="P34" s="187">
        <v>24</v>
      </c>
      <c r="Q34" s="187">
        <v>3262.4248111128159</v>
      </c>
      <c r="R34" s="184">
        <f t="shared" si="20"/>
        <v>135.93436712970066</v>
      </c>
      <c r="S34" s="181">
        <f t="shared" si="21"/>
        <v>8</v>
      </c>
      <c r="T34" s="598"/>
      <c r="U34" s="187">
        <v>24</v>
      </c>
      <c r="V34" s="187">
        <v>3263.5048111128158</v>
      </c>
      <c r="W34" s="184">
        <f t="shared" si="18"/>
        <v>135.97936712970065</v>
      </c>
      <c r="X34" s="181">
        <f t="shared" si="22"/>
        <v>8</v>
      </c>
      <c r="Y34" s="598"/>
      <c r="Z34" s="187">
        <v>24</v>
      </c>
      <c r="AA34" s="187">
        <v>3264.5848111128148</v>
      </c>
      <c r="AB34" s="184">
        <f t="shared" si="23"/>
        <v>136.02436712970061</v>
      </c>
      <c r="AC34" s="181">
        <f t="shared" si="24"/>
        <v>8</v>
      </c>
      <c r="AD34" s="598"/>
      <c r="AE34" s="187">
        <v>24</v>
      </c>
      <c r="AF34" s="187">
        <v>3264.2248111128142</v>
      </c>
      <c r="AG34" s="184">
        <f t="shared" si="25"/>
        <v>136.00936712970059</v>
      </c>
      <c r="AH34" s="181">
        <f t="shared" si="26"/>
        <v>6</v>
      </c>
      <c r="AI34" s="598"/>
      <c r="AJ34" s="187">
        <v>24</v>
      </c>
      <c r="AK34" s="187">
        <v>3264.944811112814</v>
      </c>
      <c r="AL34" s="184">
        <f t="shared" si="27"/>
        <v>136.03936712970059</v>
      </c>
      <c r="AM34" s="181">
        <f t="shared" si="28"/>
        <v>6</v>
      </c>
      <c r="AN34" s="598"/>
      <c r="AO34" s="187">
        <v>24</v>
      </c>
      <c r="AP34" s="187">
        <v>3264.5848111128144</v>
      </c>
      <c r="AQ34" s="184">
        <f t="shared" si="29"/>
        <v>136.02436712970061</v>
      </c>
      <c r="AR34" s="181">
        <f t="shared" si="30"/>
        <v>6</v>
      </c>
      <c r="AS34" s="598"/>
      <c r="AT34" s="187">
        <v>24</v>
      </c>
      <c r="AU34" s="187">
        <v>3263.1448111128148</v>
      </c>
      <c r="AV34" s="184">
        <f t="shared" si="31"/>
        <v>135.96436712970061</v>
      </c>
      <c r="AW34" s="181">
        <f t="shared" si="32"/>
        <v>6</v>
      </c>
      <c r="AX34" s="598"/>
    </row>
    <row r="35" spans="2:50" ht="14.25" customHeight="1">
      <c r="B35" s="597"/>
      <c r="C35" s="179">
        <v>9</v>
      </c>
      <c r="D35" s="182" t="s">
        <v>776</v>
      </c>
      <c r="E35" s="179">
        <v>20</v>
      </c>
      <c r="F35" s="179">
        <v>3600</v>
      </c>
      <c r="G35" s="184">
        <f t="shared" si="17"/>
        <v>180</v>
      </c>
      <c r="H35" s="598"/>
      <c r="I35" s="185">
        <f t="shared" si="19"/>
        <v>20</v>
      </c>
      <c r="J35" s="185">
        <f t="shared" si="19"/>
        <v>3118.1563459605654</v>
      </c>
      <c r="K35" s="186">
        <f t="shared" si="19"/>
        <v>155.90781729802828</v>
      </c>
      <c r="L35" s="599"/>
      <c r="M35" s="185">
        <f>RANK(K35, K$27:$K$41)</f>
        <v>6</v>
      </c>
      <c r="N35" s="597"/>
      <c r="O35" s="597"/>
      <c r="P35" s="187">
        <v>20</v>
      </c>
      <c r="Q35" s="187">
        <v>2934</v>
      </c>
      <c r="R35" s="184">
        <f t="shared" si="20"/>
        <v>146.69999999999999</v>
      </c>
      <c r="S35" s="181">
        <f t="shared" si="21"/>
        <v>7</v>
      </c>
      <c r="T35" s="598"/>
      <c r="U35" s="187">
        <v>20</v>
      </c>
      <c r="V35" s="187">
        <v>2996.3491199999994</v>
      </c>
      <c r="W35" s="184">
        <f t="shared" si="18"/>
        <v>149.81745599999996</v>
      </c>
      <c r="X35" s="181">
        <f t="shared" si="22"/>
        <v>7</v>
      </c>
      <c r="Y35" s="598"/>
      <c r="Z35" s="187">
        <v>20</v>
      </c>
      <c r="AA35" s="187">
        <v>3058.1697715199994</v>
      </c>
      <c r="AB35" s="184">
        <f t="shared" si="23"/>
        <v>152.90848857599997</v>
      </c>
      <c r="AC35" s="181">
        <f t="shared" si="24"/>
        <v>7</v>
      </c>
      <c r="AD35" s="598"/>
      <c r="AE35" s="187">
        <v>20</v>
      </c>
      <c r="AF35" s="187">
        <v>3123.4940167219193</v>
      </c>
      <c r="AG35" s="184">
        <f t="shared" si="25"/>
        <v>156.17470083609595</v>
      </c>
      <c r="AH35" s="181">
        <f t="shared" si="26"/>
        <v>4</v>
      </c>
      <c r="AI35" s="598"/>
      <c r="AJ35" s="187">
        <v>20</v>
      </c>
      <c r="AK35" s="187">
        <v>3194.966099106523</v>
      </c>
      <c r="AL35" s="184">
        <f t="shared" si="27"/>
        <v>159.74830495532615</v>
      </c>
      <c r="AM35" s="181">
        <f t="shared" si="28"/>
        <v>4</v>
      </c>
      <c r="AN35" s="598"/>
      <c r="AO35" s="187">
        <v>20</v>
      </c>
      <c r="AP35" s="187">
        <v>3260.9577071877598</v>
      </c>
      <c r="AQ35" s="184">
        <f t="shared" si="29"/>
        <v>163.04788535938798</v>
      </c>
      <c r="AR35" s="181">
        <f t="shared" si="30"/>
        <v>4</v>
      </c>
      <c r="AS35" s="598"/>
      <c r="AT35" s="187">
        <v>20</v>
      </c>
      <c r="AU35" s="187">
        <v>3259.1577071877596</v>
      </c>
      <c r="AV35" s="184">
        <f t="shared" si="31"/>
        <v>162.95788535938797</v>
      </c>
      <c r="AW35" s="181">
        <f t="shared" si="32"/>
        <v>4</v>
      </c>
      <c r="AX35" s="598"/>
    </row>
    <row r="36" spans="2:50" ht="14.25" customHeight="1">
      <c r="B36" s="597"/>
      <c r="C36" s="179">
        <v>10</v>
      </c>
      <c r="D36" s="182"/>
      <c r="E36" s="179"/>
      <c r="F36" s="179"/>
      <c r="G36" s="184"/>
      <c r="H36" s="598"/>
      <c r="I36" s="185"/>
      <c r="J36" s="185"/>
      <c r="K36" s="186"/>
      <c r="L36" s="599"/>
      <c r="M36" s="185"/>
      <c r="N36" s="597"/>
      <c r="O36" s="597"/>
      <c r="P36" s="187"/>
      <c r="Q36" s="187"/>
      <c r="R36" s="184"/>
      <c r="S36" s="181"/>
      <c r="T36" s="598"/>
      <c r="U36" s="187"/>
      <c r="V36" s="187"/>
      <c r="W36" s="184"/>
      <c r="X36" s="181"/>
      <c r="Y36" s="598"/>
      <c r="Z36" s="187"/>
      <c r="AA36" s="187"/>
      <c r="AB36" s="184"/>
      <c r="AC36" s="181"/>
      <c r="AD36" s="598"/>
      <c r="AE36" s="187"/>
      <c r="AF36" s="187"/>
      <c r="AG36" s="184"/>
      <c r="AH36" s="181"/>
      <c r="AI36" s="598"/>
      <c r="AJ36" s="187"/>
      <c r="AK36" s="187"/>
      <c r="AL36" s="184"/>
      <c r="AM36" s="181"/>
      <c r="AN36" s="598"/>
      <c r="AO36" s="187"/>
      <c r="AP36" s="187"/>
      <c r="AQ36" s="184"/>
      <c r="AR36" s="181"/>
      <c r="AS36" s="598"/>
      <c r="AT36" s="187"/>
      <c r="AU36" s="187"/>
      <c r="AV36" s="184"/>
      <c r="AW36" s="181"/>
      <c r="AX36" s="598"/>
    </row>
    <row r="37" spans="2:50" ht="14.25" customHeight="1">
      <c r="B37" s="597"/>
      <c r="C37" s="179">
        <v>11</v>
      </c>
      <c r="D37" s="182"/>
      <c r="E37" s="179"/>
      <c r="F37" s="179"/>
      <c r="G37" s="184"/>
      <c r="H37" s="598"/>
      <c r="I37" s="185"/>
      <c r="J37" s="185"/>
      <c r="K37" s="186"/>
      <c r="L37" s="599"/>
      <c r="M37" s="185"/>
      <c r="N37" s="597"/>
      <c r="O37" s="597"/>
      <c r="P37" s="187"/>
      <c r="Q37" s="187"/>
      <c r="R37" s="184"/>
      <c r="S37" s="181"/>
      <c r="T37" s="598"/>
      <c r="U37" s="187"/>
      <c r="V37" s="187"/>
      <c r="W37" s="184"/>
      <c r="X37" s="181"/>
      <c r="Y37" s="598"/>
      <c r="Z37" s="187"/>
      <c r="AA37" s="187"/>
      <c r="AB37" s="184"/>
      <c r="AC37" s="181"/>
      <c r="AD37" s="598"/>
      <c r="AE37" s="187"/>
      <c r="AF37" s="187"/>
      <c r="AG37" s="184"/>
      <c r="AH37" s="181"/>
      <c r="AI37" s="598"/>
      <c r="AJ37" s="187"/>
      <c r="AK37" s="187"/>
      <c r="AL37" s="184"/>
      <c r="AM37" s="181"/>
      <c r="AN37" s="598"/>
      <c r="AO37" s="187"/>
      <c r="AP37" s="187"/>
      <c r="AQ37" s="184"/>
      <c r="AR37" s="181"/>
      <c r="AS37" s="598"/>
      <c r="AT37" s="187"/>
      <c r="AU37" s="187"/>
      <c r="AV37" s="184"/>
      <c r="AW37" s="181"/>
      <c r="AX37" s="598"/>
    </row>
    <row r="38" spans="2:50" ht="14.25" customHeight="1">
      <c r="B38" s="597"/>
      <c r="C38" s="179">
        <v>12</v>
      </c>
      <c r="D38" s="182"/>
      <c r="E38" s="179"/>
      <c r="F38" s="179"/>
      <c r="G38" s="184"/>
      <c r="H38" s="598"/>
      <c r="I38" s="185"/>
      <c r="J38" s="185"/>
      <c r="K38" s="186"/>
      <c r="L38" s="599"/>
      <c r="M38" s="185"/>
      <c r="N38" s="597"/>
      <c r="O38" s="597"/>
      <c r="P38" s="187"/>
      <c r="Q38" s="187"/>
      <c r="R38" s="184"/>
      <c r="S38" s="181"/>
      <c r="T38" s="598"/>
      <c r="U38" s="187"/>
      <c r="V38" s="187"/>
      <c r="W38" s="184"/>
      <c r="X38" s="181"/>
      <c r="Y38" s="598"/>
      <c r="Z38" s="187"/>
      <c r="AA38" s="187"/>
      <c r="AB38" s="184"/>
      <c r="AC38" s="181"/>
      <c r="AD38" s="598"/>
      <c r="AE38" s="187"/>
      <c r="AF38" s="187"/>
      <c r="AG38" s="184"/>
      <c r="AH38" s="181"/>
      <c r="AI38" s="598"/>
      <c r="AJ38" s="187"/>
      <c r="AK38" s="187"/>
      <c r="AL38" s="184"/>
      <c r="AM38" s="181"/>
      <c r="AN38" s="598"/>
      <c r="AO38" s="187"/>
      <c r="AP38" s="187"/>
      <c r="AQ38" s="184"/>
      <c r="AR38" s="181"/>
      <c r="AS38" s="598"/>
      <c r="AT38" s="187"/>
      <c r="AU38" s="187"/>
      <c r="AV38" s="184"/>
      <c r="AW38" s="181"/>
      <c r="AX38" s="598"/>
    </row>
    <row r="39" spans="2:50" ht="14.25" customHeight="1">
      <c r="B39" s="597"/>
      <c r="C39" s="179">
        <v>13</v>
      </c>
      <c r="D39" s="182"/>
      <c r="E39" s="179"/>
      <c r="F39" s="179"/>
      <c r="G39" s="184"/>
      <c r="H39" s="598"/>
      <c r="I39" s="185"/>
      <c r="J39" s="185"/>
      <c r="K39" s="186"/>
      <c r="L39" s="599"/>
      <c r="M39" s="185"/>
      <c r="N39" s="597"/>
      <c r="O39" s="597"/>
      <c r="P39" s="187"/>
      <c r="Q39" s="187"/>
      <c r="R39" s="184"/>
      <c r="S39" s="181"/>
      <c r="T39" s="598"/>
      <c r="U39" s="187"/>
      <c r="V39" s="187"/>
      <c r="W39" s="184"/>
      <c r="X39" s="181"/>
      <c r="Y39" s="598"/>
      <c r="Z39" s="187"/>
      <c r="AA39" s="187"/>
      <c r="AB39" s="184"/>
      <c r="AC39" s="181"/>
      <c r="AD39" s="598"/>
      <c r="AE39" s="187"/>
      <c r="AF39" s="187"/>
      <c r="AG39" s="184"/>
      <c r="AH39" s="181"/>
      <c r="AI39" s="598"/>
      <c r="AJ39" s="187"/>
      <c r="AK39" s="187"/>
      <c r="AL39" s="184"/>
      <c r="AM39" s="181"/>
      <c r="AN39" s="598"/>
      <c r="AO39" s="187"/>
      <c r="AP39" s="187"/>
      <c r="AQ39" s="184"/>
      <c r="AR39" s="181"/>
      <c r="AS39" s="598"/>
      <c r="AT39" s="187"/>
      <c r="AU39" s="187"/>
      <c r="AV39" s="184"/>
      <c r="AW39" s="181"/>
      <c r="AX39" s="598"/>
    </row>
    <row r="40" spans="2:50" ht="14.25" customHeight="1">
      <c r="B40" s="597"/>
      <c r="C40" s="179">
        <v>14</v>
      </c>
      <c r="D40" s="182"/>
      <c r="E40" s="179"/>
      <c r="F40" s="179"/>
      <c r="G40" s="184"/>
      <c r="H40" s="598"/>
      <c r="I40" s="185"/>
      <c r="J40" s="185"/>
      <c r="K40" s="186"/>
      <c r="L40" s="599"/>
      <c r="M40" s="185"/>
      <c r="N40" s="597"/>
      <c r="O40" s="597"/>
      <c r="P40" s="187"/>
      <c r="Q40" s="187"/>
      <c r="R40" s="184"/>
      <c r="S40" s="181"/>
      <c r="T40" s="598"/>
      <c r="U40" s="187"/>
      <c r="V40" s="187"/>
      <c r="W40" s="184"/>
      <c r="X40" s="181"/>
      <c r="Y40" s="598"/>
      <c r="Z40" s="187"/>
      <c r="AA40" s="187"/>
      <c r="AB40" s="184"/>
      <c r="AC40" s="181"/>
      <c r="AD40" s="598"/>
      <c r="AE40" s="187"/>
      <c r="AF40" s="187"/>
      <c r="AG40" s="184"/>
      <c r="AH40" s="181"/>
      <c r="AI40" s="598"/>
      <c r="AJ40" s="187"/>
      <c r="AK40" s="187"/>
      <c r="AL40" s="184"/>
      <c r="AM40" s="181"/>
      <c r="AN40" s="598"/>
      <c r="AO40" s="187"/>
      <c r="AP40" s="187"/>
      <c r="AQ40" s="184"/>
      <c r="AR40" s="181"/>
      <c r="AS40" s="598"/>
      <c r="AT40" s="187"/>
      <c r="AU40" s="187"/>
      <c r="AV40" s="184"/>
      <c r="AW40" s="181"/>
      <c r="AX40" s="598"/>
    </row>
    <row r="41" spans="2:50" ht="14.25" customHeight="1">
      <c r="B41" s="597"/>
      <c r="C41" s="179">
        <v>15</v>
      </c>
      <c r="D41" s="182"/>
      <c r="E41" s="179"/>
      <c r="F41" s="179"/>
      <c r="G41" s="184"/>
      <c r="H41" s="598"/>
      <c r="I41" s="185"/>
      <c r="J41" s="185"/>
      <c r="K41" s="186"/>
      <c r="L41" s="599"/>
      <c r="M41" s="185"/>
      <c r="N41" s="597"/>
      <c r="O41" s="597"/>
      <c r="P41" s="187"/>
      <c r="Q41" s="187"/>
      <c r="R41" s="184"/>
      <c r="S41" s="181"/>
      <c r="T41" s="598"/>
      <c r="U41" s="187"/>
      <c r="V41" s="187"/>
      <c r="W41" s="184"/>
      <c r="X41" s="181"/>
      <c r="Y41" s="598"/>
      <c r="Z41" s="187"/>
      <c r="AA41" s="187"/>
      <c r="AB41" s="184"/>
      <c r="AC41" s="181"/>
      <c r="AD41" s="598"/>
      <c r="AE41" s="187"/>
      <c r="AF41" s="187"/>
      <c r="AG41" s="184"/>
      <c r="AH41" s="181"/>
      <c r="AI41" s="598"/>
      <c r="AJ41" s="187"/>
      <c r="AK41" s="187"/>
      <c r="AL41" s="184"/>
      <c r="AM41" s="181"/>
      <c r="AN41" s="598"/>
      <c r="AO41" s="187"/>
      <c r="AP41" s="187"/>
      <c r="AQ41" s="184"/>
      <c r="AR41" s="181"/>
      <c r="AS41" s="598"/>
      <c r="AT41" s="187"/>
      <c r="AU41" s="187"/>
      <c r="AV41" s="184"/>
      <c r="AW41" s="181"/>
      <c r="AX41" s="598"/>
    </row>
    <row r="42" spans="2:50" ht="14.25" customHeight="1">
      <c r="B42" s="625" t="s">
        <v>825</v>
      </c>
      <c r="C42" s="631"/>
      <c r="D42" s="631"/>
      <c r="E42" s="631"/>
      <c r="F42" s="631"/>
      <c r="G42" s="631"/>
      <c r="H42" s="631"/>
      <c r="I42" s="631"/>
      <c r="J42" s="631"/>
      <c r="K42" s="631"/>
      <c r="L42" s="631"/>
      <c r="M42" s="632"/>
      <c r="N42" s="629" t="s">
        <v>363</v>
      </c>
      <c r="O42" s="629" t="s">
        <v>105</v>
      </c>
      <c r="P42" s="617">
        <v>46217</v>
      </c>
      <c r="Q42" s="618"/>
      <c r="R42" s="618"/>
      <c r="S42" s="618"/>
      <c r="T42" s="618"/>
      <c r="U42" s="619">
        <v>46218</v>
      </c>
      <c r="V42" s="620"/>
      <c r="W42" s="620"/>
      <c r="X42" s="620"/>
      <c r="Y42" s="620"/>
      <c r="Z42" s="617">
        <v>46219</v>
      </c>
      <c r="AA42" s="618"/>
      <c r="AB42" s="618"/>
      <c r="AC42" s="618"/>
      <c r="AD42" s="618"/>
      <c r="AE42" s="619">
        <v>46220</v>
      </c>
      <c r="AF42" s="620"/>
      <c r="AG42" s="620"/>
      <c r="AH42" s="620"/>
      <c r="AI42" s="620"/>
      <c r="AJ42" s="602">
        <v>46221</v>
      </c>
      <c r="AK42" s="603"/>
      <c r="AL42" s="603"/>
      <c r="AM42" s="603"/>
      <c r="AN42" s="604"/>
      <c r="AO42" s="619">
        <v>46222</v>
      </c>
      <c r="AP42" s="620"/>
      <c r="AQ42" s="620"/>
      <c r="AR42" s="620"/>
      <c r="AS42" s="620"/>
      <c r="AT42" s="602">
        <v>46223</v>
      </c>
      <c r="AU42" s="603"/>
      <c r="AV42" s="603"/>
      <c r="AW42" s="603"/>
      <c r="AX42" s="604"/>
    </row>
    <row r="43" spans="2:50" ht="14.25" customHeight="1">
      <c r="B43" s="633"/>
      <c r="C43" s="633"/>
      <c r="D43" s="633"/>
      <c r="E43" s="633"/>
      <c r="F43" s="633"/>
      <c r="G43" s="633"/>
      <c r="H43" s="633"/>
      <c r="I43" s="633"/>
      <c r="J43" s="633"/>
      <c r="K43" s="633"/>
      <c r="L43" s="633"/>
      <c r="M43" s="634"/>
      <c r="N43" s="630"/>
      <c r="O43" s="630"/>
      <c r="P43" s="605">
        <v>46196</v>
      </c>
      <c r="Q43" s="605"/>
      <c r="R43" s="605"/>
      <c r="S43" s="605"/>
      <c r="T43" s="605"/>
      <c r="U43" s="606">
        <v>46197</v>
      </c>
      <c r="V43" s="606"/>
      <c r="W43" s="606"/>
      <c r="X43" s="606"/>
      <c r="Y43" s="606"/>
      <c r="Z43" s="605">
        <v>46198</v>
      </c>
      <c r="AA43" s="605"/>
      <c r="AB43" s="605"/>
      <c r="AC43" s="605"/>
      <c r="AD43" s="605"/>
      <c r="AE43" s="606">
        <v>46199</v>
      </c>
      <c r="AF43" s="606"/>
      <c r="AG43" s="606"/>
      <c r="AH43" s="606"/>
      <c r="AI43" s="606"/>
      <c r="AJ43" s="607">
        <v>46200</v>
      </c>
      <c r="AK43" s="608"/>
      <c r="AL43" s="608"/>
      <c r="AM43" s="608"/>
      <c r="AN43" s="609"/>
      <c r="AO43" s="606">
        <v>46201</v>
      </c>
      <c r="AP43" s="606"/>
      <c r="AQ43" s="606"/>
      <c r="AR43" s="606"/>
      <c r="AS43" s="606"/>
      <c r="AT43" s="607">
        <v>46202</v>
      </c>
      <c r="AU43" s="608"/>
      <c r="AV43" s="608"/>
      <c r="AW43" s="608"/>
      <c r="AX43" s="609"/>
    </row>
    <row r="44" spans="2:50" ht="14.25" customHeight="1">
      <c r="B44" s="597" t="s">
        <v>162</v>
      </c>
      <c r="C44" s="597" t="s">
        <v>157</v>
      </c>
      <c r="D44" s="597"/>
      <c r="E44" s="597" t="s">
        <v>158</v>
      </c>
      <c r="F44" s="597"/>
      <c r="G44" s="597"/>
      <c r="H44" s="597" t="s">
        <v>163</v>
      </c>
      <c r="I44" s="601" t="s">
        <v>364</v>
      </c>
      <c r="J44" s="601"/>
      <c r="K44" s="601"/>
      <c r="L44" s="601" t="s">
        <v>163</v>
      </c>
      <c r="M44" s="601" t="s">
        <v>165</v>
      </c>
      <c r="N44" s="597"/>
      <c r="O44" s="597" t="s">
        <v>164</v>
      </c>
      <c r="P44" s="597" t="s">
        <v>160</v>
      </c>
      <c r="Q44" s="597"/>
      <c r="R44" s="597"/>
      <c r="S44" s="597"/>
      <c r="T44" s="597" t="s">
        <v>163</v>
      </c>
      <c r="U44" s="597" t="s">
        <v>160</v>
      </c>
      <c r="V44" s="597"/>
      <c r="W44" s="597"/>
      <c r="X44" s="597"/>
      <c r="Y44" s="597" t="s">
        <v>163</v>
      </c>
      <c r="Z44" s="597" t="s">
        <v>160</v>
      </c>
      <c r="AA44" s="597"/>
      <c r="AB44" s="597"/>
      <c r="AC44" s="597"/>
      <c r="AD44" s="597" t="s">
        <v>163</v>
      </c>
      <c r="AE44" s="597" t="s">
        <v>160</v>
      </c>
      <c r="AF44" s="597"/>
      <c r="AG44" s="597"/>
      <c r="AH44" s="597"/>
      <c r="AI44" s="597" t="s">
        <v>163</v>
      </c>
      <c r="AJ44" s="597" t="s">
        <v>160</v>
      </c>
      <c r="AK44" s="597"/>
      <c r="AL44" s="597"/>
      <c r="AM44" s="597"/>
      <c r="AN44" s="597" t="s">
        <v>163</v>
      </c>
      <c r="AO44" s="597" t="s">
        <v>160</v>
      </c>
      <c r="AP44" s="597"/>
      <c r="AQ44" s="597"/>
      <c r="AR44" s="597"/>
      <c r="AS44" s="597" t="s">
        <v>163</v>
      </c>
      <c r="AT44" s="597" t="s">
        <v>160</v>
      </c>
      <c r="AU44" s="597"/>
      <c r="AV44" s="597"/>
      <c r="AW44" s="597"/>
      <c r="AX44" s="597" t="s">
        <v>163</v>
      </c>
    </row>
    <row r="45" spans="2:50" ht="14.25" customHeight="1">
      <c r="B45" s="597"/>
      <c r="C45" s="597"/>
      <c r="D45" s="597"/>
      <c r="E45" s="597" t="s">
        <v>365</v>
      </c>
      <c r="F45" s="597"/>
      <c r="G45" s="597"/>
      <c r="H45" s="597"/>
      <c r="I45" s="601" t="s">
        <v>365</v>
      </c>
      <c r="J45" s="601"/>
      <c r="K45" s="601"/>
      <c r="L45" s="601"/>
      <c r="M45" s="601"/>
      <c r="N45" s="597"/>
      <c r="O45" s="597"/>
      <c r="P45" s="597" t="s">
        <v>366</v>
      </c>
      <c r="Q45" s="597"/>
      <c r="R45" s="597"/>
      <c r="S45" s="597"/>
      <c r="T45" s="597"/>
      <c r="U45" s="597" t="s">
        <v>366</v>
      </c>
      <c r="V45" s="597"/>
      <c r="W45" s="597"/>
      <c r="X45" s="597"/>
      <c r="Y45" s="597"/>
      <c r="Z45" s="597" t="s">
        <v>366</v>
      </c>
      <c r="AA45" s="597"/>
      <c r="AB45" s="597"/>
      <c r="AC45" s="597"/>
      <c r="AD45" s="597"/>
      <c r="AE45" s="597" t="s">
        <v>366</v>
      </c>
      <c r="AF45" s="597"/>
      <c r="AG45" s="597"/>
      <c r="AH45" s="597"/>
      <c r="AI45" s="597"/>
      <c r="AJ45" s="597" t="s">
        <v>366</v>
      </c>
      <c r="AK45" s="597"/>
      <c r="AL45" s="597"/>
      <c r="AM45" s="597"/>
      <c r="AN45" s="597"/>
      <c r="AO45" s="597" t="s">
        <v>366</v>
      </c>
      <c r="AP45" s="597"/>
      <c r="AQ45" s="597"/>
      <c r="AR45" s="597"/>
      <c r="AS45" s="597"/>
      <c r="AT45" s="597" t="s">
        <v>366</v>
      </c>
      <c r="AU45" s="597"/>
      <c r="AV45" s="597"/>
      <c r="AW45" s="597"/>
      <c r="AX45" s="597"/>
    </row>
    <row r="46" spans="2:50" ht="14.25" customHeight="1">
      <c r="B46" s="597"/>
      <c r="C46" s="597"/>
      <c r="D46" s="597"/>
      <c r="E46" s="179" t="s">
        <v>159</v>
      </c>
      <c r="F46" s="179" t="s">
        <v>367</v>
      </c>
      <c r="G46" s="179" t="s">
        <v>161</v>
      </c>
      <c r="H46" s="597"/>
      <c r="I46" s="180" t="s">
        <v>159</v>
      </c>
      <c r="J46" s="180" t="s">
        <v>367</v>
      </c>
      <c r="K46" s="180" t="s">
        <v>161</v>
      </c>
      <c r="L46" s="601"/>
      <c r="M46" s="601"/>
      <c r="N46" s="597"/>
      <c r="O46" s="597"/>
      <c r="P46" s="179" t="s">
        <v>159</v>
      </c>
      <c r="Q46" s="179" t="s">
        <v>367</v>
      </c>
      <c r="R46" s="179" t="s">
        <v>161</v>
      </c>
      <c r="S46" s="181" t="s">
        <v>165</v>
      </c>
      <c r="T46" s="597"/>
      <c r="U46" s="179" t="s">
        <v>159</v>
      </c>
      <c r="V46" s="179" t="s">
        <v>367</v>
      </c>
      <c r="W46" s="179" t="s">
        <v>161</v>
      </c>
      <c r="X46" s="181" t="s">
        <v>165</v>
      </c>
      <c r="Y46" s="597"/>
      <c r="Z46" s="179" t="s">
        <v>159</v>
      </c>
      <c r="AA46" s="179" t="s">
        <v>367</v>
      </c>
      <c r="AB46" s="179" t="s">
        <v>161</v>
      </c>
      <c r="AC46" s="181" t="s">
        <v>165</v>
      </c>
      <c r="AD46" s="597"/>
      <c r="AE46" s="179" t="s">
        <v>159</v>
      </c>
      <c r="AF46" s="179" t="s">
        <v>367</v>
      </c>
      <c r="AG46" s="179" t="s">
        <v>161</v>
      </c>
      <c r="AH46" s="181" t="s">
        <v>165</v>
      </c>
      <c r="AI46" s="597"/>
      <c r="AJ46" s="179" t="s">
        <v>159</v>
      </c>
      <c r="AK46" s="179" t="s">
        <v>367</v>
      </c>
      <c r="AL46" s="179" t="s">
        <v>161</v>
      </c>
      <c r="AM46" s="181" t="s">
        <v>165</v>
      </c>
      <c r="AN46" s="597"/>
      <c r="AO46" s="179" t="s">
        <v>159</v>
      </c>
      <c r="AP46" s="179" t="s">
        <v>367</v>
      </c>
      <c r="AQ46" s="179" t="s">
        <v>161</v>
      </c>
      <c r="AR46" s="181" t="s">
        <v>165</v>
      </c>
      <c r="AS46" s="597"/>
      <c r="AT46" s="179" t="s">
        <v>159</v>
      </c>
      <c r="AU46" s="179" t="s">
        <v>367</v>
      </c>
      <c r="AV46" s="179" t="s">
        <v>161</v>
      </c>
      <c r="AW46" s="181" t="s">
        <v>165</v>
      </c>
      <c r="AX46" s="597"/>
    </row>
    <row r="47" spans="2:50" ht="14.25" customHeight="1">
      <c r="B47" s="597" t="s">
        <v>371</v>
      </c>
      <c r="C47" s="179">
        <v>1</v>
      </c>
      <c r="D47" s="182" t="s">
        <v>531</v>
      </c>
      <c r="E47" s="183">
        <v>20</v>
      </c>
      <c r="F47" s="179">
        <v>3600</v>
      </c>
      <c r="G47" s="184">
        <f t="shared" ref="G47:G53" si="33">IFERROR(F47/E47,"")</f>
        <v>180</v>
      </c>
      <c r="H47" s="598">
        <f>AVERAGE(G47:G61)</f>
        <v>172.91084854994628</v>
      </c>
      <c r="I47" s="185">
        <f>AVERAGE(P47,U47,Z47,AE47,AJ47,AO47,AT47)</f>
        <v>20</v>
      </c>
      <c r="J47" s="185">
        <f>AVERAGE(Q47,V47,AA47,AF47,AK47,AP47,AU47)</f>
        <v>3259.7336650019024</v>
      </c>
      <c r="K47" s="186">
        <f>AVERAGE(R47,W47,AB47,AG47,AL47,AQ47,AV47)</f>
        <v>162.98668325009513</v>
      </c>
      <c r="L47" s="599">
        <f>IFERROR(AVERAGE(K47:K61),"-")</f>
        <v>155.59252941356741</v>
      </c>
      <c r="M47" s="185">
        <f>RANK(K47, K$47:$K$61)</f>
        <v>3</v>
      </c>
      <c r="N47" s="597"/>
      <c r="O47" s="597"/>
      <c r="P47" s="187">
        <v>20</v>
      </c>
      <c r="Q47" s="187">
        <v>3261.2765221447598</v>
      </c>
      <c r="R47" s="184">
        <f>IFERROR(Q47/P47,"")</f>
        <v>163.06382610723799</v>
      </c>
      <c r="S47" s="181">
        <f>RANK(R47, R$47:R$61)</f>
        <v>3</v>
      </c>
      <c r="T47" s="598">
        <f>AVERAGE(R47:R61)</f>
        <v>155.58017121515289</v>
      </c>
      <c r="U47" s="187">
        <v>20</v>
      </c>
      <c r="V47" s="187">
        <v>3260.1965221447599</v>
      </c>
      <c r="W47" s="184">
        <f t="shared" ref="W47:W53" si="34">IFERROR(V47/U47,"")</f>
        <v>163.00982610723798</v>
      </c>
      <c r="X47" s="181">
        <f>RANK(W47, W$47:W$61)</f>
        <v>3</v>
      </c>
      <c r="Y47" s="598">
        <f>AVERAGE(W47:W61)</f>
        <v>155.53655359968565</v>
      </c>
      <c r="Z47" s="187">
        <v>20</v>
      </c>
      <c r="AA47" s="187">
        <v>3259.8365221447598</v>
      </c>
      <c r="AB47" s="184">
        <f>IFERROR(AA47/Z47,"")</f>
        <v>162.99182610723798</v>
      </c>
      <c r="AC47" s="181">
        <f>RANK(AB47, AB$47:AB$61)</f>
        <v>3</v>
      </c>
      <c r="AD47" s="598">
        <f>AVERAGE(AB47:AB61)</f>
        <v>155.58451809507838</v>
      </c>
      <c r="AE47" s="187">
        <v>20</v>
      </c>
      <c r="AF47" s="187">
        <v>3260.9165221447602</v>
      </c>
      <c r="AG47" s="184">
        <f>IFERROR(AF47/AE47,"")</f>
        <v>163.04582610723801</v>
      </c>
      <c r="AH47" s="181">
        <f>RANK(AG47, AG$47:AG$61)</f>
        <v>3</v>
      </c>
      <c r="AI47" s="598">
        <f>AVERAGE(AG47:AG61)</f>
        <v>155.59911208004078</v>
      </c>
      <c r="AJ47" s="187">
        <v>20</v>
      </c>
      <c r="AK47" s="187">
        <v>3260.1965221447599</v>
      </c>
      <c r="AL47" s="184">
        <f>IFERROR(AK47/AJ47,"")</f>
        <v>163.00982610723798</v>
      </c>
      <c r="AM47" s="181">
        <f>RANK(AL47, AL$47:AL$61)</f>
        <v>3</v>
      </c>
      <c r="AN47" s="598">
        <f>AVERAGE(AL47:AL61)</f>
        <v>155.62317676067602</v>
      </c>
      <c r="AO47" s="187">
        <v>20</v>
      </c>
      <c r="AP47" s="187">
        <v>3258.7565221447594</v>
      </c>
      <c r="AQ47" s="184">
        <f>IFERROR(AP47/AO47,"")</f>
        <v>162.93782610723798</v>
      </c>
      <c r="AR47" s="181">
        <f>RANK(AQ47, AQ$47:AQ$61)</f>
        <v>3</v>
      </c>
      <c r="AS47" s="598">
        <f>AVERAGE(AQ47:AQ61)</f>
        <v>155.61706397872109</v>
      </c>
      <c r="AT47" s="187">
        <v>20</v>
      </c>
      <c r="AU47" s="187">
        <v>3256.9565221447597</v>
      </c>
      <c r="AV47" s="184">
        <f>IFERROR(AU47/AT47,"")</f>
        <v>162.84782610723798</v>
      </c>
      <c r="AW47" s="181">
        <f>RANK(AV47, AV$47:AV$61)</f>
        <v>4</v>
      </c>
      <c r="AX47" s="598">
        <f>AVERAGE(AV47:AV61)</f>
        <v>155.60711016561689</v>
      </c>
    </row>
    <row r="48" spans="2:50" ht="14.25" customHeight="1">
      <c r="B48" s="597"/>
      <c r="C48" s="179">
        <v>2</v>
      </c>
      <c r="D48" s="182" t="s">
        <v>532</v>
      </c>
      <c r="E48" s="179">
        <v>21</v>
      </c>
      <c r="F48" s="179">
        <v>3600</v>
      </c>
      <c r="G48" s="184">
        <f t="shared" si="33"/>
        <v>171.42857142857142</v>
      </c>
      <c r="H48" s="598"/>
      <c r="I48" s="185">
        <f t="shared" ref="I48:K53" si="35">AVERAGE(P48,U48,Z48,AE48,AJ48,AO48,AT48)</f>
        <v>21</v>
      </c>
      <c r="J48" s="185">
        <f t="shared" si="35"/>
        <v>3262.0777962160751</v>
      </c>
      <c r="K48" s="186">
        <f t="shared" si="35"/>
        <v>155.33703791505118</v>
      </c>
      <c r="L48" s="599"/>
      <c r="M48" s="185">
        <f>RANK(K48, K$47:$K$61)</f>
        <v>5</v>
      </c>
      <c r="N48" s="597"/>
      <c r="O48" s="597"/>
      <c r="P48" s="187">
        <v>21</v>
      </c>
      <c r="Q48" s="187">
        <v>3262.6949390732175</v>
      </c>
      <c r="R48" s="184">
        <f t="shared" ref="R48:R53" si="36">IFERROR(Q48/P48,"")</f>
        <v>155.36642567015321</v>
      </c>
      <c r="S48" s="181">
        <f t="shared" ref="S48:S53" si="37">RANK(R48, R$47:R$61)</f>
        <v>5</v>
      </c>
      <c r="T48" s="598"/>
      <c r="U48" s="187">
        <v>21</v>
      </c>
      <c r="V48" s="187">
        <v>3261.6149390732176</v>
      </c>
      <c r="W48" s="184">
        <f t="shared" si="34"/>
        <v>155.31499709872463</v>
      </c>
      <c r="X48" s="181">
        <f t="shared" ref="X48:X53" si="38">RANK(W48, W$47:W$61)</f>
        <v>5</v>
      </c>
      <c r="Y48" s="598"/>
      <c r="Z48" s="187">
        <v>21</v>
      </c>
      <c r="AA48" s="187">
        <v>3262.3349390732174</v>
      </c>
      <c r="AB48" s="184">
        <f t="shared" ref="AB48:AB53" si="39">IFERROR(AA48/Z48,"")</f>
        <v>155.34928281301035</v>
      </c>
      <c r="AC48" s="181">
        <f t="shared" ref="AC48:AC53" si="40">RANK(AB48, AB$47:AB$61)</f>
        <v>5</v>
      </c>
      <c r="AD48" s="598"/>
      <c r="AE48" s="187">
        <v>21</v>
      </c>
      <c r="AF48" s="187">
        <v>3262.3349390732174</v>
      </c>
      <c r="AG48" s="184">
        <f t="shared" ref="AG48:AG53" si="41">IFERROR(AF48/AE48,"")</f>
        <v>155.34928281301035</v>
      </c>
      <c r="AH48" s="181">
        <f t="shared" ref="AH48:AH53" si="42">RANK(AG48, AG$47:AG$61)</f>
        <v>5</v>
      </c>
      <c r="AI48" s="598"/>
      <c r="AJ48" s="187">
        <v>21</v>
      </c>
      <c r="AK48" s="187">
        <v>3262.3349390732174</v>
      </c>
      <c r="AL48" s="184">
        <f t="shared" ref="AL48:AL53" si="43">IFERROR(AK48/AJ48,"")</f>
        <v>155.34928281301035</v>
      </c>
      <c r="AM48" s="181">
        <f t="shared" ref="AM48:AM53" si="44">RANK(AL48, AL$47:AL$61)</f>
        <v>5</v>
      </c>
      <c r="AN48" s="598"/>
      <c r="AO48" s="187">
        <v>21</v>
      </c>
      <c r="AP48" s="187">
        <v>3262.3349390732183</v>
      </c>
      <c r="AQ48" s="184">
        <f t="shared" ref="AQ48:AQ53" si="45">IFERROR(AP48/AO48,"")</f>
        <v>155.3492828130104</v>
      </c>
      <c r="AR48" s="181">
        <f t="shared" ref="AR48:AR53" si="46">RANK(AQ48, AQ$47:AQ$61)</f>
        <v>5</v>
      </c>
      <c r="AS48" s="598"/>
      <c r="AT48" s="187">
        <v>21</v>
      </c>
      <c r="AU48" s="187">
        <v>3260.8949390732187</v>
      </c>
      <c r="AV48" s="184">
        <f t="shared" ref="AV48:AV53" si="47">IFERROR(AU48/AT48,"")</f>
        <v>155.28071138443897</v>
      </c>
      <c r="AW48" s="181">
        <f t="shared" ref="AW48:AW53" si="48">RANK(AV48, AV$47:AV$61)</f>
        <v>5</v>
      </c>
      <c r="AX48" s="598"/>
    </row>
    <row r="49" spans="2:50" ht="14.25" customHeight="1">
      <c r="B49" s="597"/>
      <c r="C49" s="179">
        <v>3</v>
      </c>
      <c r="D49" s="182" t="s">
        <v>614</v>
      </c>
      <c r="E49" s="179">
        <v>19</v>
      </c>
      <c r="F49" s="179">
        <v>3600</v>
      </c>
      <c r="G49" s="184">
        <f t="shared" si="33"/>
        <v>189.47368421052633</v>
      </c>
      <c r="H49" s="598"/>
      <c r="I49" s="185">
        <f t="shared" si="35"/>
        <v>19</v>
      </c>
      <c r="J49" s="185">
        <f t="shared" si="35"/>
        <v>3191.8521555976813</v>
      </c>
      <c r="K49" s="186">
        <f t="shared" si="35"/>
        <v>167.99221871566743</v>
      </c>
      <c r="L49" s="599"/>
      <c r="M49" s="185">
        <f>RANK(K49, K$47:$K$61)</f>
        <v>2</v>
      </c>
      <c r="N49" s="597"/>
      <c r="O49" s="597"/>
      <c r="P49" s="187">
        <v>19</v>
      </c>
      <c r="Q49" s="187">
        <v>3192.4900402300441</v>
      </c>
      <c r="R49" s="184">
        <f t="shared" si="36"/>
        <v>168.02579159105494</v>
      </c>
      <c r="S49" s="181">
        <f t="shared" si="37"/>
        <v>2</v>
      </c>
      <c r="T49" s="598"/>
      <c r="U49" s="187">
        <v>19</v>
      </c>
      <c r="V49" s="187">
        <v>3191.0500402300436</v>
      </c>
      <c r="W49" s="184">
        <f t="shared" si="34"/>
        <v>167.9500021173707</v>
      </c>
      <c r="X49" s="181">
        <f t="shared" si="38"/>
        <v>2</v>
      </c>
      <c r="Y49" s="598"/>
      <c r="Z49" s="187">
        <v>19</v>
      </c>
      <c r="AA49" s="187">
        <v>3190.3300402300433</v>
      </c>
      <c r="AB49" s="184">
        <f t="shared" si="39"/>
        <v>167.9121073805286</v>
      </c>
      <c r="AC49" s="181">
        <f t="shared" si="40"/>
        <v>2</v>
      </c>
      <c r="AD49" s="598"/>
      <c r="AE49" s="187">
        <v>19</v>
      </c>
      <c r="AF49" s="187">
        <v>3188.8900402300437</v>
      </c>
      <c r="AG49" s="184">
        <f t="shared" si="41"/>
        <v>167.83631790684441</v>
      </c>
      <c r="AH49" s="181">
        <f t="shared" si="42"/>
        <v>2</v>
      </c>
      <c r="AI49" s="598"/>
      <c r="AJ49" s="187">
        <v>19</v>
      </c>
      <c r="AK49" s="187">
        <v>3192.6816427545327</v>
      </c>
      <c r="AL49" s="184">
        <f t="shared" si="43"/>
        <v>168.03587593444908</v>
      </c>
      <c r="AM49" s="181">
        <f t="shared" si="44"/>
        <v>2</v>
      </c>
      <c r="AN49" s="598"/>
      <c r="AO49" s="187">
        <v>19</v>
      </c>
      <c r="AP49" s="187">
        <v>3193.0416427545319</v>
      </c>
      <c r="AQ49" s="184">
        <f t="shared" si="45"/>
        <v>168.05482330287009</v>
      </c>
      <c r="AR49" s="181">
        <f t="shared" si="46"/>
        <v>1</v>
      </c>
      <c r="AS49" s="598"/>
      <c r="AT49" s="187">
        <v>19</v>
      </c>
      <c r="AU49" s="187">
        <v>3194.4816427545306</v>
      </c>
      <c r="AV49" s="184">
        <f t="shared" si="47"/>
        <v>168.13061277655424</v>
      </c>
      <c r="AW49" s="181">
        <f t="shared" si="48"/>
        <v>1</v>
      </c>
      <c r="AX49" s="598"/>
    </row>
    <row r="50" spans="2:50" ht="14.25" customHeight="1">
      <c r="B50" s="597"/>
      <c r="C50" s="179">
        <v>4</v>
      </c>
      <c r="D50" s="182" t="s">
        <v>597</v>
      </c>
      <c r="E50" s="179">
        <v>24</v>
      </c>
      <c r="F50" s="179">
        <v>3600</v>
      </c>
      <c r="G50" s="184">
        <f t="shared" si="33"/>
        <v>150</v>
      </c>
      <c r="H50" s="598"/>
      <c r="I50" s="185">
        <f t="shared" si="35"/>
        <v>24</v>
      </c>
      <c r="J50" s="185">
        <f t="shared" si="35"/>
        <v>3261.4234651247284</v>
      </c>
      <c r="K50" s="186">
        <f t="shared" si="35"/>
        <v>135.89264438019703</v>
      </c>
      <c r="L50" s="599"/>
      <c r="M50" s="185">
        <f>RANK(K50, K$47:$K$61)</f>
        <v>7</v>
      </c>
      <c r="N50" s="597"/>
      <c r="O50" s="597"/>
      <c r="P50" s="187">
        <v>24</v>
      </c>
      <c r="Q50" s="187">
        <v>3255.1808943134815</v>
      </c>
      <c r="R50" s="184">
        <f t="shared" si="36"/>
        <v>135.63253726306172</v>
      </c>
      <c r="S50" s="181">
        <f t="shared" si="37"/>
        <v>7</v>
      </c>
      <c r="T50" s="598"/>
      <c r="U50" s="187">
        <v>24</v>
      </c>
      <c r="V50" s="187">
        <v>3253.7408943134815</v>
      </c>
      <c r="W50" s="184">
        <f t="shared" si="34"/>
        <v>135.57253726306172</v>
      </c>
      <c r="X50" s="181">
        <f t="shared" si="38"/>
        <v>7</v>
      </c>
      <c r="Y50" s="598"/>
      <c r="Z50" s="187">
        <v>24</v>
      </c>
      <c r="AA50" s="187">
        <v>3263.1284934492282</v>
      </c>
      <c r="AB50" s="184">
        <f t="shared" si="39"/>
        <v>135.96368722705117</v>
      </c>
      <c r="AC50" s="181">
        <f t="shared" si="40"/>
        <v>7</v>
      </c>
      <c r="AD50" s="598"/>
      <c r="AE50" s="187">
        <v>24</v>
      </c>
      <c r="AF50" s="187">
        <v>3264.2084934492277</v>
      </c>
      <c r="AG50" s="184">
        <f t="shared" si="41"/>
        <v>136.00868722705115</v>
      </c>
      <c r="AH50" s="181">
        <f t="shared" si="42"/>
        <v>7</v>
      </c>
      <c r="AI50" s="598"/>
      <c r="AJ50" s="187">
        <v>24</v>
      </c>
      <c r="AK50" s="187">
        <v>3263.4884934492279</v>
      </c>
      <c r="AL50" s="184">
        <f t="shared" si="43"/>
        <v>135.97868722705115</v>
      </c>
      <c r="AM50" s="181">
        <f t="shared" si="44"/>
        <v>7</v>
      </c>
      <c r="AN50" s="598"/>
      <c r="AO50" s="187">
        <v>24</v>
      </c>
      <c r="AP50" s="187">
        <v>3264.5684934492274</v>
      </c>
      <c r="AQ50" s="184">
        <f t="shared" si="45"/>
        <v>136.02368722705114</v>
      </c>
      <c r="AR50" s="181">
        <f t="shared" si="46"/>
        <v>7</v>
      </c>
      <c r="AS50" s="598"/>
      <c r="AT50" s="187">
        <v>24</v>
      </c>
      <c r="AU50" s="187">
        <v>3265.6484934492273</v>
      </c>
      <c r="AV50" s="184">
        <f t="shared" si="47"/>
        <v>136.06868722705113</v>
      </c>
      <c r="AW50" s="181">
        <f t="shared" si="48"/>
        <v>7</v>
      </c>
      <c r="AX50" s="598"/>
    </row>
    <row r="51" spans="2:50" ht="14.25" customHeight="1">
      <c r="B51" s="597"/>
      <c r="C51" s="179">
        <v>5</v>
      </c>
      <c r="D51" s="182" t="s">
        <v>533</v>
      </c>
      <c r="E51" s="179">
        <v>19</v>
      </c>
      <c r="F51" s="179">
        <v>3600</v>
      </c>
      <c r="G51" s="184">
        <f t="shared" si="33"/>
        <v>189.47368421052633</v>
      </c>
      <c r="H51" s="598"/>
      <c r="I51" s="185">
        <f t="shared" si="35"/>
        <v>19</v>
      </c>
      <c r="J51" s="185">
        <f t="shared" si="35"/>
        <v>3192.0436566097187</v>
      </c>
      <c r="K51" s="186">
        <f t="shared" si="35"/>
        <v>168.00229771630097</v>
      </c>
      <c r="L51" s="599"/>
      <c r="M51" s="185">
        <f>RANK(K51, K$47:$K$61)</f>
        <v>1</v>
      </c>
      <c r="N51" s="597"/>
      <c r="O51" s="597"/>
      <c r="P51" s="187">
        <v>19</v>
      </c>
      <c r="Q51" s="187">
        <v>3192.5579423240038</v>
      </c>
      <c r="R51" s="184">
        <f t="shared" si="36"/>
        <v>168.02936538547388</v>
      </c>
      <c r="S51" s="181">
        <f t="shared" si="37"/>
        <v>1</v>
      </c>
      <c r="T51" s="598"/>
      <c r="U51" s="187">
        <v>19</v>
      </c>
      <c r="V51" s="187">
        <v>3193.2779423240036</v>
      </c>
      <c r="W51" s="184">
        <f t="shared" si="34"/>
        <v>168.06726012231599</v>
      </c>
      <c r="X51" s="181">
        <f t="shared" si="38"/>
        <v>1</v>
      </c>
      <c r="Y51" s="598"/>
      <c r="Z51" s="187">
        <v>19</v>
      </c>
      <c r="AA51" s="187">
        <v>3191.837942324004</v>
      </c>
      <c r="AB51" s="184">
        <f t="shared" si="39"/>
        <v>167.99147064863178</v>
      </c>
      <c r="AC51" s="181">
        <f t="shared" si="40"/>
        <v>1</v>
      </c>
      <c r="AD51" s="598"/>
      <c r="AE51" s="187">
        <v>19</v>
      </c>
      <c r="AF51" s="187">
        <v>3192.1979423240041</v>
      </c>
      <c r="AG51" s="184">
        <f t="shared" si="41"/>
        <v>168.01041801705284</v>
      </c>
      <c r="AH51" s="181">
        <f t="shared" si="42"/>
        <v>1</v>
      </c>
      <c r="AI51" s="598"/>
      <c r="AJ51" s="187">
        <v>19</v>
      </c>
      <c r="AK51" s="187">
        <v>3192.9179423240043</v>
      </c>
      <c r="AL51" s="184">
        <f t="shared" si="43"/>
        <v>168.04831275389498</v>
      </c>
      <c r="AM51" s="181">
        <f t="shared" si="44"/>
        <v>1</v>
      </c>
      <c r="AN51" s="598"/>
      <c r="AO51" s="187">
        <v>19</v>
      </c>
      <c r="AP51" s="187">
        <v>3191.1179423240042</v>
      </c>
      <c r="AQ51" s="184">
        <f t="shared" si="45"/>
        <v>167.9535759117897</v>
      </c>
      <c r="AR51" s="181">
        <f t="shared" si="46"/>
        <v>2</v>
      </c>
      <c r="AS51" s="598"/>
      <c r="AT51" s="187">
        <v>19</v>
      </c>
      <c r="AU51" s="187">
        <v>3190.3979423240039</v>
      </c>
      <c r="AV51" s="184">
        <f t="shared" si="47"/>
        <v>167.91568117494757</v>
      </c>
      <c r="AW51" s="181">
        <f t="shared" si="48"/>
        <v>2</v>
      </c>
      <c r="AX51" s="598"/>
    </row>
    <row r="52" spans="2:50" ht="14.25" customHeight="1">
      <c r="B52" s="597"/>
      <c r="C52" s="179">
        <v>6</v>
      </c>
      <c r="D52" s="182" t="s">
        <v>630</v>
      </c>
      <c r="E52" s="179">
        <v>24</v>
      </c>
      <c r="F52" s="179">
        <v>3600</v>
      </c>
      <c r="G52" s="184">
        <f t="shared" si="33"/>
        <v>150</v>
      </c>
      <c r="H52" s="598"/>
      <c r="I52" s="185">
        <f t="shared" si="35"/>
        <v>24</v>
      </c>
      <c r="J52" s="185">
        <f t="shared" si="35"/>
        <v>3266.0248111128135</v>
      </c>
      <c r="K52" s="186">
        <f t="shared" si="35"/>
        <v>136.08436712970055</v>
      </c>
      <c r="L52" s="599"/>
      <c r="M52" s="185">
        <f>RANK(K52, K$47:$K$61)</f>
        <v>6</v>
      </c>
      <c r="N52" s="597"/>
      <c r="O52" s="597"/>
      <c r="P52" s="187">
        <v>24</v>
      </c>
      <c r="Q52" s="187">
        <v>3264.9448111128136</v>
      </c>
      <c r="R52" s="184">
        <f t="shared" si="36"/>
        <v>136.03936712970057</v>
      </c>
      <c r="S52" s="181">
        <f t="shared" si="37"/>
        <v>6</v>
      </c>
      <c r="T52" s="598"/>
      <c r="U52" s="187">
        <v>24</v>
      </c>
      <c r="V52" s="187">
        <v>3264.2248111128138</v>
      </c>
      <c r="W52" s="184">
        <f t="shared" si="34"/>
        <v>136.00936712970056</v>
      </c>
      <c r="X52" s="181">
        <f t="shared" si="38"/>
        <v>6</v>
      </c>
      <c r="Y52" s="598"/>
      <c r="Z52" s="187">
        <v>24</v>
      </c>
      <c r="AA52" s="187">
        <v>3265.6648111128134</v>
      </c>
      <c r="AB52" s="184">
        <f t="shared" si="39"/>
        <v>136.06936712970057</v>
      </c>
      <c r="AC52" s="181">
        <f t="shared" si="40"/>
        <v>6</v>
      </c>
      <c r="AD52" s="598"/>
      <c r="AE52" s="187">
        <v>24</v>
      </c>
      <c r="AF52" s="187">
        <v>3267.1048111128134</v>
      </c>
      <c r="AG52" s="184">
        <f t="shared" si="41"/>
        <v>136.12936712970057</v>
      </c>
      <c r="AH52" s="181">
        <f t="shared" si="42"/>
        <v>6</v>
      </c>
      <c r="AI52" s="598"/>
      <c r="AJ52" s="187">
        <v>24</v>
      </c>
      <c r="AK52" s="187">
        <v>3267.464811112814</v>
      </c>
      <c r="AL52" s="184">
        <f t="shared" si="43"/>
        <v>136.14436712970058</v>
      </c>
      <c r="AM52" s="181">
        <f t="shared" si="44"/>
        <v>6</v>
      </c>
      <c r="AN52" s="598"/>
      <c r="AO52" s="187">
        <v>24</v>
      </c>
      <c r="AP52" s="187">
        <v>3266.7448111128137</v>
      </c>
      <c r="AQ52" s="184">
        <f t="shared" si="45"/>
        <v>136.11436712970058</v>
      </c>
      <c r="AR52" s="181">
        <f t="shared" si="46"/>
        <v>6</v>
      </c>
      <c r="AS52" s="598"/>
      <c r="AT52" s="187">
        <v>24</v>
      </c>
      <c r="AU52" s="187">
        <v>3266.0248111128139</v>
      </c>
      <c r="AV52" s="184">
        <f t="shared" si="47"/>
        <v>136.08436712970058</v>
      </c>
      <c r="AW52" s="181">
        <f t="shared" si="48"/>
        <v>6</v>
      </c>
      <c r="AX52" s="598"/>
    </row>
    <row r="53" spans="2:50" ht="14.25" customHeight="1">
      <c r="B53" s="597"/>
      <c r="C53" s="179">
        <v>7</v>
      </c>
      <c r="D53" s="182" t="s">
        <v>776</v>
      </c>
      <c r="E53" s="179">
        <v>20</v>
      </c>
      <c r="F53" s="179">
        <v>3600</v>
      </c>
      <c r="G53" s="184">
        <f t="shared" si="33"/>
        <v>180</v>
      </c>
      <c r="H53" s="598"/>
      <c r="I53" s="185">
        <f t="shared" si="35"/>
        <v>20</v>
      </c>
      <c r="J53" s="185">
        <f t="shared" si="35"/>
        <v>3257.0491357591882</v>
      </c>
      <c r="K53" s="186">
        <f t="shared" si="35"/>
        <v>162.8524567879594</v>
      </c>
      <c r="L53" s="599"/>
      <c r="M53" s="185">
        <f>RANK(K53, K$47:$K$61)</f>
        <v>4</v>
      </c>
      <c r="N53" s="597"/>
      <c r="O53" s="597"/>
      <c r="P53" s="187">
        <v>20</v>
      </c>
      <c r="Q53" s="187">
        <v>3258.0777071877592</v>
      </c>
      <c r="R53" s="184">
        <f t="shared" si="36"/>
        <v>162.90388535938797</v>
      </c>
      <c r="S53" s="181">
        <f t="shared" si="37"/>
        <v>4</v>
      </c>
      <c r="T53" s="598"/>
      <c r="U53" s="187">
        <v>20</v>
      </c>
      <c r="V53" s="187">
        <v>3256.63770718776</v>
      </c>
      <c r="W53" s="184">
        <f t="shared" si="34"/>
        <v>162.831885359388</v>
      </c>
      <c r="X53" s="181">
        <f t="shared" si="38"/>
        <v>4</v>
      </c>
      <c r="Y53" s="598"/>
      <c r="Z53" s="187">
        <v>20</v>
      </c>
      <c r="AA53" s="187">
        <v>3256.2777071877599</v>
      </c>
      <c r="AB53" s="184">
        <f t="shared" si="39"/>
        <v>162.813885359388</v>
      </c>
      <c r="AC53" s="181">
        <f t="shared" si="40"/>
        <v>4</v>
      </c>
      <c r="AD53" s="598"/>
      <c r="AE53" s="187">
        <v>20</v>
      </c>
      <c r="AF53" s="187">
        <v>3256.2777071877599</v>
      </c>
      <c r="AG53" s="184">
        <f t="shared" si="41"/>
        <v>162.813885359388</v>
      </c>
      <c r="AH53" s="181">
        <f t="shared" si="42"/>
        <v>4</v>
      </c>
      <c r="AI53" s="598"/>
      <c r="AJ53" s="187">
        <v>20</v>
      </c>
      <c r="AK53" s="187">
        <v>3255.9177071877598</v>
      </c>
      <c r="AL53" s="184">
        <f t="shared" si="43"/>
        <v>162.795885359388</v>
      </c>
      <c r="AM53" s="181">
        <f t="shared" si="44"/>
        <v>4</v>
      </c>
      <c r="AN53" s="598"/>
      <c r="AO53" s="187">
        <v>20</v>
      </c>
      <c r="AP53" s="187">
        <v>3257.7177071877595</v>
      </c>
      <c r="AQ53" s="184">
        <f t="shared" si="45"/>
        <v>162.88588535938797</v>
      </c>
      <c r="AR53" s="181">
        <f t="shared" si="46"/>
        <v>4</v>
      </c>
      <c r="AS53" s="598"/>
      <c r="AT53" s="187">
        <v>20</v>
      </c>
      <c r="AU53" s="187">
        <v>3258.4377071877589</v>
      </c>
      <c r="AV53" s="184">
        <f t="shared" si="47"/>
        <v>162.92188535938794</v>
      </c>
      <c r="AW53" s="181">
        <f t="shared" si="48"/>
        <v>3</v>
      </c>
      <c r="AX53" s="598"/>
    </row>
    <row r="54" spans="2:50" ht="14.25" customHeight="1">
      <c r="B54" s="597"/>
      <c r="C54" s="179">
        <v>8</v>
      </c>
      <c r="D54" s="182"/>
      <c r="E54" s="179"/>
      <c r="F54" s="179"/>
      <c r="G54" s="184"/>
      <c r="H54" s="598"/>
      <c r="I54" s="185"/>
      <c r="J54" s="185"/>
      <c r="K54" s="186"/>
      <c r="L54" s="599"/>
      <c r="M54" s="185"/>
      <c r="N54" s="597"/>
      <c r="O54" s="597"/>
      <c r="P54" s="187"/>
      <c r="Q54" s="187"/>
      <c r="R54" s="184"/>
      <c r="S54" s="181"/>
      <c r="T54" s="598"/>
      <c r="U54" s="187"/>
      <c r="V54" s="187"/>
      <c r="W54" s="184"/>
      <c r="X54" s="181"/>
      <c r="Y54" s="598"/>
      <c r="Z54" s="187"/>
      <c r="AA54" s="187"/>
      <c r="AB54" s="184"/>
      <c r="AC54" s="181"/>
      <c r="AD54" s="598"/>
      <c r="AE54" s="187"/>
      <c r="AF54" s="187"/>
      <c r="AG54" s="184"/>
      <c r="AH54" s="181"/>
      <c r="AI54" s="598"/>
      <c r="AJ54" s="187"/>
      <c r="AK54" s="187"/>
      <c r="AL54" s="184"/>
      <c r="AM54" s="181"/>
      <c r="AN54" s="598"/>
      <c r="AO54" s="187"/>
      <c r="AP54" s="187"/>
      <c r="AQ54" s="184"/>
      <c r="AR54" s="181"/>
      <c r="AS54" s="598"/>
      <c r="AT54" s="187"/>
      <c r="AU54" s="187"/>
      <c r="AV54" s="184"/>
      <c r="AW54" s="181"/>
      <c r="AX54" s="598"/>
    </row>
    <row r="55" spans="2:50" ht="14.25" customHeight="1">
      <c r="B55" s="597"/>
      <c r="C55" s="179">
        <v>9</v>
      </c>
      <c r="D55" s="182"/>
      <c r="E55" s="179"/>
      <c r="F55" s="179"/>
      <c r="G55" s="184"/>
      <c r="H55" s="598"/>
      <c r="I55" s="185"/>
      <c r="J55" s="185"/>
      <c r="K55" s="186"/>
      <c r="L55" s="599"/>
      <c r="M55" s="185"/>
      <c r="N55" s="597"/>
      <c r="O55" s="597"/>
      <c r="P55" s="187"/>
      <c r="Q55" s="187"/>
      <c r="R55" s="184"/>
      <c r="S55" s="181"/>
      <c r="T55" s="598"/>
      <c r="U55" s="187"/>
      <c r="V55" s="187"/>
      <c r="W55" s="184"/>
      <c r="X55" s="181"/>
      <c r="Y55" s="598"/>
      <c r="Z55" s="187"/>
      <c r="AA55" s="187"/>
      <c r="AB55" s="184"/>
      <c r="AC55" s="181"/>
      <c r="AD55" s="598"/>
      <c r="AE55" s="187"/>
      <c r="AF55" s="187"/>
      <c r="AG55" s="184"/>
      <c r="AH55" s="181"/>
      <c r="AI55" s="598"/>
      <c r="AJ55" s="187"/>
      <c r="AK55" s="187"/>
      <c r="AL55" s="184"/>
      <c r="AM55" s="181"/>
      <c r="AN55" s="598"/>
      <c r="AO55" s="187"/>
      <c r="AP55" s="187"/>
      <c r="AQ55" s="184"/>
      <c r="AR55" s="181"/>
      <c r="AS55" s="598"/>
      <c r="AT55" s="187"/>
      <c r="AU55" s="187"/>
      <c r="AV55" s="184"/>
      <c r="AW55" s="181"/>
      <c r="AX55" s="598"/>
    </row>
    <row r="56" spans="2:50" ht="14.25" customHeight="1">
      <c r="B56" s="597"/>
      <c r="C56" s="179">
        <v>10</v>
      </c>
      <c r="D56" s="182"/>
      <c r="E56" s="179"/>
      <c r="F56" s="179"/>
      <c r="G56" s="184"/>
      <c r="H56" s="598"/>
      <c r="I56" s="185"/>
      <c r="J56" s="185"/>
      <c r="K56" s="186"/>
      <c r="L56" s="599"/>
      <c r="M56" s="185"/>
      <c r="N56" s="597"/>
      <c r="O56" s="597"/>
      <c r="P56" s="187"/>
      <c r="Q56" s="187"/>
      <c r="R56" s="184"/>
      <c r="S56" s="181"/>
      <c r="T56" s="598"/>
      <c r="U56" s="187"/>
      <c r="V56" s="187"/>
      <c r="W56" s="184"/>
      <c r="X56" s="181"/>
      <c r="Y56" s="598"/>
      <c r="Z56" s="187"/>
      <c r="AA56" s="187"/>
      <c r="AB56" s="184"/>
      <c r="AC56" s="181"/>
      <c r="AD56" s="598"/>
      <c r="AE56" s="187"/>
      <c r="AF56" s="187"/>
      <c r="AG56" s="184"/>
      <c r="AH56" s="181"/>
      <c r="AI56" s="598"/>
      <c r="AJ56" s="187"/>
      <c r="AK56" s="187"/>
      <c r="AL56" s="184"/>
      <c r="AM56" s="181"/>
      <c r="AN56" s="598"/>
      <c r="AO56" s="187"/>
      <c r="AP56" s="187"/>
      <c r="AQ56" s="184"/>
      <c r="AR56" s="181"/>
      <c r="AS56" s="598"/>
      <c r="AT56" s="187"/>
      <c r="AU56" s="187"/>
      <c r="AV56" s="184"/>
      <c r="AW56" s="181"/>
      <c r="AX56" s="598"/>
    </row>
    <row r="57" spans="2:50" ht="14.25" customHeight="1">
      <c r="B57" s="597"/>
      <c r="C57" s="179">
        <v>11</v>
      </c>
      <c r="D57" s="182"/>
      <c r="E57" s="179"/>
      <c r="F57" s="179"/>
      <c r="G57" s="184"/>
      <c r="H57" s="598"/>
      <c r="I57" s="185"/>
      <c r="J57" s="185"/>
      <c r="K57" s="186"/>
      <c r="L57" s="599"/>
      <c r="M57" s="185"/>
      <c r="N57" s="597"/>
      <c r="O57" s="597"/>
      <c r="P57" s="187"/>
      <c r="Q57" s="187"/>
      <c r="R57" s="184"/>
      <c r="S57" s="181"/>
      <c r="T57" s="598"/>
      <c r="U57" s="187"/>
      <c r="V57" s="187"/>
      <c r="W57" s="184"/>
      <c r="X57" s="181"/>
      <c r="Y57" s="598"/>
      <c r="Z57" s="187"/>
      <c r="AA57" s="187"/>
      <c r="AB57" s="184"/>
      <c r="AC57" s="181"/>
      <c r="AD57" s="598"/>
      <c r="AE57" s="187"/>
      <c r="AF57" s="187"/>
      <c r="AG57" s="184"/>
      <c r="AH57" s="181"/>
      <c r="AI57" s="598"/>
      <c r="AJ57" s="187"/>
      <c r="AK57" s="187"/>
      <c r="AL57" s="184"/>
      <c r="AM57" s="181"/>
      <c r="AN57" s="598"/>
      <c r="AO57" s="187"/>
      <c r="AP57" s="187"/>
      <c r="AQ57" s="184"/>
      <c r="AR57" s="181"/>
      <c r="AS57" s="598"/>
      <c r="AT57" s="187"/>
      <c r="AU57" s="187"/>
      <c r="AV57" s="184"/>
      <c r="AW57" s="181"/>
      <c r="AX57" s="598"/>
    </row>
    <row r="58" spans="2:50" ht="14.25" customHeight="1">
      <c r="B58" s="597"/>
      <c r="C58" s="179">
        <v>12</v>
      </c>
      <c r="D58" s="182"/>
      <c r="E58" s="179"/>
      <c r="F58" s="179"/>
      <c r="G58" s="184"/>
      <c r="H58" s="598"/>
      <c r="I58" s="185"/>
      <c r="J58" s="185"/>
      <c r="K58" s="186"/>
      <c r="L58" s="599"/>
      <c r="M58" s="185"/>
      <c r="N58" s="597"/>
      <c r="O58" s="597"/>
      <c r="P58" s="187"/>
      <c r="Q58" s="187"/>
      <c r="R58" s="184"/>
      <c r="S58" s="181"/>
      <c r="T58" s="598"/>
      <c r="U58" s="187"/>
      <c r="V58" s="187"/>
      <c r="W58" s="184"/>
      <c r="X58" s="181"/>
      <c r="Y58" s="598"/>
      <c r="Z58" s="187"/>
      <c r="AA58" s="187"/>
      <c r="AB58" s="184"/>
      <c r="AC58" s="181"/>
      <c r="AD58" s="598"/>
      <c r="AE58" s="187"/>
      <c r="AF58" s="187"/>
      <c r="AG58" s="184"/>
      <c r="AH58" s="181"/>
      <c r="AI58" s="598"/>
      <c r="AJ58" s="187"/>
      <c r="AK58" s="187"/>
      <c r="AL58" s="184"/>
      <c r="AM58" s="181"/>
      <c r="AN58" s="598"/>
      <c r="AO58" s="187"/>
      <c r="AP58" s="187"/>
      <c r="AQ58" s="184"/>
      <c r="AR58" s="181"/>
      <c r="AS58" s="598"/>
      <c r="AT58" s="187"/>
      <c r="AU58" s="187"/>
      <c r="AV58" s="184"/>
      <c r="AW58" s="181"/>
      <c r="AX58" s="598"/>
    </row>
    <row r="59" spans="2:50" ht="14.25" customHeight="1">
      <c r="B59" s="597"/>
      <c r="C59" s="179">
        <v>13</v>
      </c>
      <c r="D59" s="182"/>
      <c r="E59" s="179"/>
      <c r="F59" s="179"/>
      <c r="G59" s="184"/>
      <c r="H59" s="598"/>
      <c r="I59" s="185"/>
      <c r="J59" s="185"/>
      <c r="K59" s="186"/>
      <c r="L59" s="599"/>
      <c r="M59" s="185"/>
      <c r="N59" s="597"/>
      <c r="O59" s="597"/>
      <c r="P59" s="187"/>
      <c r="Q59" s="187"/>
      <c r="R59" s="184"/>
      <c r="S59" s="181"/>
      <c r="T59" s="598"/>
      <c r="U59" s="187"/>
      <c r="V59" s="187"/>
      <c r="W59" s="184"/>
      <c r="X59" s="181"/>
      <c r="Y59" s="598"/>
      <c r="Z59" s="187"/>
      <c r="AA59" s="187"/>
      <c r="AB59" s="184"/>
      <c r="AC59" s="181"/>
      <c r="AD59" s="598"/>
      <c r="AE59" s="187"/>
      <c r="AF59" s="187"/>
      <c r="AG59" s="184"/>
      <c r="AH59" s="181"/>
      <c r="AI59" s="598"/>
      <c r="AJ59" s="187"/>
      <c r="AK59" s="187"/>
      <c r="AL59" s="184"/>
      <c r="AM59" s="181"/>
      <c r="AN59" s="598"/>
      <c r="AO59" s="187"/>
      <c r="AP59" s="187"/>
      <c r="AQ59" s="184"/>
      <c r="AR59" s="181"/>
      <c r="AS59" s="598"/>
      <c r="AT59" s="187"/>
      <c r="AU59" s="187"/>
      <c r="AV59" s="184"/>
      <c r="AW59" s="181"/>
      <c r="AX59" s="598"/>
    </row>
    <row r="60" spans="2:50" ht="14.25" customHeight="1">
      <c r="B60" s="597"/>
      <c r="C60" s="179">
        <v>14</v>
      </c>
      <c r="D60" s="182"/>
      <c r="E60" s="179"/>
      <c r="F60" s="179"/>
      <c r="G60" s="184"/>
      <c r="H60" s="598"/>
      <c r="I60" s="185"/>
      <c r="J60" s="185"/>
      <c r="K60" s="186"/>
      <c r="L60" s="599"/>
      <c r="M60" s="185"/>
      <c r="N60" s="597"/>
      <c r="O60" s="597"/>
      <c r="P60" s="187"/>
      <c r="Q60" s="187"/>
      <c r="R60" s="184"/>
      <c r="S60" s="181"/>
      <c r="T60" s="598"/>
      <c r="U60" s="187"/>
      <c r="V60" s="187"/>
      <c r="W60" s="184"/>
      <c r="X60" s="181"/>
      <c r="Y60" s="598"/>
      <c r="Z60" s="187"/>
      <c r="AA60" s="187"/>
      <c r="AB60" s="184"/>
      <c r="AC60" s="181"/>
      <c r="AD60" s="598"/>
      <c r="AE60" s="187"/>
      <c r="AF60" s="187"/>
      <c r="AG60" s="184"/>
      <c r="AH60" s="181"/>
      <c r="AI60" s="598"/>
      <c r="AJ60" s="187"/>
      <c r="AK60" s="187"/>
      <c r="AL60" s="184"/>
      <c r="AM60" s="181"/>
      <c r="AN60" s="598"/>
      <c r="AO60" s="187"/>
      <c r="AP60" s="187"/>
      <c r="AQ60" s="184"/>
      <c r="AR60" s="181"/>
      <c r="AS60" s="598"/>
      <c r="AT60" s="187"/>
      <c r="AU60" s="187"/>
      <c r="AV60" s="184"/>
      <c r="AW60" s="181"/>
      <c r="AX60" s="598"/>
    </row>
    <row r="61" spans="2:50" ht="14.25" customHeight="1">
      <c r="B61" s="597"/>
      <c r="C61" s="179">
        <v>15</v>
      </c>
      <c r="D61" s="182"/>
      <c r="E61" s="179"/>
      <c r="F61" s="179"/>
      <c r="G61" s="184"/>
      <c r="H61" s="598"/>
      <c r="I61" s="185"/>
      <c r="J61" s="185"/>
      <c r="K61" s="186"/>
      <c r="L61" s="599"/>
      <c r="M61" s="185"/>
      <c r="N61" s="597"/>
      <c r="O61" s="597"/>
      <c r="P61" s="187"/>
      <c r="Q61" s="187"/>
      <c r="R61" s="184"/>
      <c r="S61" s="181"/>
      <c r="T61" s="598"/>
      <c r="U61" s="187"/>
      <c r="V61" s="187"/>
      <c r="W61" s="184"/>
      <c r="X61" s="181"/>
      <c r="Y61" s="598"/>
      <c r="Z61" s="187"/>
      <c r="AA61" s="187"/>
      <c r="AB61" s="184"/>
      <c r="AC61" s="181"/>
      <c r="AD61" s="598"/>
      <c r="AE61" s="187"/>
      <c r="AF61" s="187"/>
      <c r="AG61" s="184"/>
      <c r="AH61" s="181"/>
      <c r="AI61" s="598"/>
      <c r="AJ61" s="187"/>
      <c r="AK61" s="187"/>
      <c r="AL61" s="184"/>
      <c r="AM61" s="181"/>
      <c r="AN61" s="598"/>
      <c r="AO61" s="187"/>
      <c r="AP61" s="187"/>
      <c r="AQ61" s="184"/>
      <c r="AR61" s="181"/>
      <c r="AS61" s="598"/>
      <c r="AT61" s="187"/>
      <c r="AU61" s="187"/>
      <c r="AV61" s="184"/>
      <c r="AW61" s="181"/>
      <c r="AX61" s="598"/>
    </row>
    <row r="86" spans="2:50" ht="14.25" customHeight="1">
      <c r="B86" s="521" t="s">
        <v>825</v>
      </c>
      <c r="C86" s="522"/>
      <c r="D86" s="523"/>
      <c r="E86" s="522"/>
      <c r="F86" s="522"/>
      <c r="G86" s="522"/>
      <c r="H86" s="522"/>
      <c r="I86" s="524"/>
      <c r="J86" s="524"/>
      <c r="K86" s="524"/>
      <c r="L86" s="524"/>
      <c r="M86" s="524"/>
      <c r="N86" s="629" t="s">
        <v>363</v>
      </c>
      <c r="O86" s="629" t="s">
        <v>105</v>
      </c>
      <c r="P86" s="617">
        <v>46217</v>
      </c>
      <c r="Q86" s="618"/>
      <c r="R86" s="618"/>
      <c r="S86" s="618"/>
      <c r="T86" s="618"/>
      <c r="U86" s="619">
        <v>46218</v>
      </c>
      <c r="V86" s="620"/>
      <c r="W86" s="620"/>
      <c r="X86" s="620"/>
      <c r="Y86" s="620"/>
      <c r="Z86" s="617">
        <v>46219</v>
      </c>
      <c r="AA86" s="618"/>
      <c r="AB86" s="618"/>
      <c r="AC86" s="618"/>
      <c r="AD86" s="618"/>
      <c r="AE86" s="619">
        <v>46220</v>
      </c>
      <c r="AF86" s="620"/>
      <c r="AG86" s="620"/>
      <c r="AH86" s="620"/>
      <c r="AI86" s="620"/>
      <c r="AJ86" s="602">
        <v>46221</v>
      </c>
      <c r="AK86" s="603"/>
      <c r="AL86" s="603"/>
      <c r="AM86" s="603"/>
      <c r="AN86" s="604"/>
      <c r="AO86" s="619">
        <v>46222</v>
      </c>
      <c r="AP86" s="620"/>
      <c r="AQ86" s="620"/>
      <c r="AR86" s="620"/>
      <c r="AS86" s="620"/>
      <c r="AT86" s="602">
        <v>46223</v>
      </c>
      <c r="AU86" s="603"/>
      <c r="AV86" s="603"/>
      <c r="AW86" s="603"/>
      <c r="AX86" s="604"/>
    </row>
    <row r="87" spans="2:50" ht="14.25" customHeight="1">
      <c r="B87" s="521"/>
      <c r="C87" s="522"/>
      <c r="D87" s="523"/>
      <c r="E87" s="522"/>
      <c r="F87" s="522"/>
      <c r="G87" s="522"/>
      <c r="H87" s="522"/>
      <c r="I87" s="524"/>
      <c r="J87" s="524"/>
      <c r="K87" s="524"/>
      <c r="L87" s="524"/>
      <c r="M87" s="524"/>
      <c r="N87" s="630"/>
      <c r="O87" s="630"/>
      <c r="P87" s="605">
        <v>46196</v>
      </c>
      <c r="Q87" s="605"/>
      <c r="R87" s="605"/>
      <c r="S87" s="605"/>
      <c r="T87" s="605"/>
      <c r="U87" s="606">
        <v>46197</v>
      </c>
      <c r="V87" s="606"/>
      <c r="W87" s="606"/>
      <c r="X87" s="606"/>
      <c r="Y87" s="606"/>
      <c r="Z87" s="605">
        <v>46198</v>
      </c>
      <c r="AA87" s="605"/>
      <c r="AB87" s="605"/>
      <c r="AC87" s="605"/>
      <c r="AD87" s="605"/>
      <c r="AE87" s="606">
        <v>46199</v>
      </c>
      <c r="AF87" s="606"/>
      <c r="AG87" s="606"/>
      <c r="AH87" s="606"/>
      <c r="AI87" s="606"/>
      <c r="AJ87" s="607">
        <v>46200</v>
      </c>
      <c r="AK87" s="608"/>
      <c r="AL87" s="608"/>
      <c r="AM87" s="608"/>
      <c r="AN87" s="609"/>
      <c r="AO87" s="606">
        <v>46201</v>
      </c>
      <c r="AP87" s="606"/>
      <c r="AQ87" s="606"/>
      <c r="AR87" s="606"/>
      <c r="AS87" s="606"/>
      <c r="AT87" s="607">
        <v>46202</v>
      </c>
      <c r="AU87" s="608"/>
      <c r="AV87" s="608"/>
      <c r="AW87" s="608"/>
      <c r="AX87" s="609"/>
    </row>
    <row r="88" spans="2:50" ht="14.25" customHeight="1">
      <c r="B88" s="597" t="s">
        <v>162</v>
      </c>
      <c r="C88" s="597" t="s">
        <v>157</v>
      </c>
      <c r="D88" s="597"/>
      <c r="E88" s="597" t="s">
        <v>158</v>
      </c>
      <c r="F88" s="597"/>
      <c r="G88" s="597"/>
      <c r="H88" s="597" t="s">
        <v>163</v>
      </c>
      <c r="I88" s="601" t="s">
        <v>364</v>
      </c>
      <c r="J88" s="601"/>
      <c r="K88" s="601"/>
      <c r="L88" s="601" t="s">
        <v>163</v>
      </c>
      <c r="M88" s="601" t="s">
        <v>165</v>
      </c>
      <c r="N88" s="597"/>
      <c r="O88" s="597" t="s">
        <v>164</v>
      </c>
      <c r="P88" s="597" t="s">
        <v>160</v>
      </c>
      <c r="Q88" s="597"/>
      <c r="R88" s="597"/>
      <c r="S88" s="597"/>
      <c r="T88" s="597" t="s">
        <v>163</v>
      </c>
      <c r="U88" s="597" t="s">
        <v>160</v>
      </c>
      <c r="V88" s="597"/>
      <c r="W88" s="597"/>
      <c r="X88" s="597"/>
      <c r="Y88" s="597" t="s">
        <v>163</v>
      </c>
      <c r="Z88" s="597" t="s">
        <v>160</v>
      </c>
      <c r="AA88" s="597"/>
      <c r="AB88" s="597"/>
      <c r="AC88" s="597"/>
      <c r="AD88" s="597" t="s">
        <v>163</v>
      </c>
      <c r="AE88" s="597" t="s">
        <v>160</v>
      </c>
      <c r="AF88" s="597"/>
      <c r="AG88" s="597"/>
      <c r="AH88" s="597"/>
      <c r="AI88" s="597" t="s">
        <v>163</v>
      </c>
      <c r="AJ88" s="597" t="s">
        <v>160</v>
      </c>
      <c r="AK88" s="597"/>
      <c r="AL88" s="597"/>
      <c r="AM88" s="597"/>
      <c r="AN88" s="597" t="s">
        <v>163</v>
      </c>
      <c r="AO88" s="597" t="s">
        <v>160</v>
      </c>
      <c r="AP88" s="597"/>
      <c r="AQ88" s="597"/>
      <c r="AR88" s="597"/>
      <c r="AS88" s="597" t="s">
        <v>163</v>
      </c>
      <c r="AT88" s="597" t="s">
        <v>160</v>
      </c>
      <c r="AU88" s="597"/>
      <c r="AV88" s="597"/>
      <c r="AW88" s="597"/>
      <c r="AX88" s="597" t="s">
        <v>163</v>
      </c>
    </row>
    <row r="89" spans="2:50" ht="14.25" customHeight="1">
      <c r="B89" s="597"/>
      <c r="C89" s="597"/>
      <c r="D89" s="597"/>
      <c r="E89" s="597" t="s">
        <v>365</v>
      </c>
      <c r="F89" s="597"/>
      <c r="G89" s="597"/>
      <c r="H89" s="597"/>
      <c r="I89" s="601" t="s">
        <v>365</v>
      </c>
      <c r="J89" s="601"/>
      <c r="K89" s="601"/>
      <c r="L89" s="601"/>
      <c r="M89" s="601"/>
      <c r="N89" s="597"/>
      <c r="O89" s="597"/>
      <c r="P89" s="597" t="s">
        <v>366</v>
      </c>
      <c r="Q89" s="597"/>
      <c r="R89" s="597"/>
      <c r="S89" s="597"/>
      <c r="T89" s="597"/>
      <c r="U89" s="597" t="s">
        <v>366</v>
      </c>
      <c r="V89" s="597"/>
      <c r="W89" s="597"/>
      <c r="X89" s="597"/>
      <c r="Y89" s="597"/>
      <c r="Z89" s="597" t="s">
        <v>366</v>
      </c>
      <c r="AA89" s="597"/>
      <c r="AB89" s="597"/>
      <c r="AC89" s="597"/>
      <c r="AD89" s="597"/>
      <c r="AE89" s="597" t="s">
        <v>366</v>
      </c>
      <c r="AF89" s="597"/>
      <c r="AG89" s="597"/>
      <c r="AH89" s="597"/>
      <c r="AI89" s="597"/>
      <c r="AJ89" s="597" t="s">
        <v>366</v>
      </c>
      <c r="AK89" s="597"/>
      <c r="AL89" s="597"/>
      <c r="AM89" s="597"/>
      <c r="AN89" s="597"/>
      <c r="AO89" s="597" t="s">
        <v>366</v>
      </c>
      <c r="AP89" s="597"/>
      <c r="AQ89" s="597"/>
      <c r="AR89" s="597"/>
      <c r="AS89" s="597"/>
      <c r="AT89" s="597" t="s">
        <v>366</v>
      </c>
      <c r="AU89" s="597"/>
      <c r="AV89" s="597"/>
      <c r="AW89" s="597"/>
      <c r="AX89" s="597"/>
    </row>
    <row r="90" spans="2:50" ht="14.25" customHeight="1">
      <c r="B90" s="597"/>
      <c r="C90" s="597"/>
      <c r="D90" s="597"/>
      <c r="E90" s="179" t="s">
        <v>159</v>
      </c>
      <c r="F90" s="179" t="s">
        <v>367</v>
      </c>
      <c r="G90" s="179" t="s">
        <v>161</v>
      </c>
      <c r="H90" s="597"/>
      <c r="I90" s="180" t="s">
        <v>159</v>
      </c>
      <c r="J90" s="180" t="s">
        <v>367</v>
      </c>
      <c r="K90" s="180" t="s">
        <v>161</v>
      </c>
      <c r="L90" s="601"/>
      <c r="M90" s="601"/>
      <c r="N90" s="597"/>
      <c r="O90" s="597"/>
      <c r="P90" s="179" t="s">
        <v>159</v>
      </c>
      <c r="Q90" s="179" t="s">
        <v>367</v>
      </c>
      <c r="R90" s="179" t="s">
        <v>161</v>
      </c>
      <c r="S90" s="181" t="s">
        <v>165</v>
      </c>
      <c r="T90" s="597"/>
      <c r="U90" s="179" t="s">
        <v>159</v>
      </c>
      <c r="V90" s="179" t="s">
        <v>367</v>
      </c>
      <c r="W90" s="179" t="s">
        <v>161</v>
      </c>
      <c r="X90" s="181" t="s">
        <v>165</v>
      </c>
      <c r="Y90" s="597"/>
      <c r="Z90" s="179" t="s">
        <v>159</v>
      </c>
      <c r="AA90" s="179" t="s">
        <v>367</v>
      </c>
      <c r="AB90" s="179" t="s">
        <v>161</v>
      </c>
      <c r="AC90" s="181" t="s">
        <v>165</v>
      </c>
      <c r="AD90" s="597"/>
      <c r="AE90" s="179" t="s">
        <v>159</v>
      </c>
      <c r="AF90" s="179" t="s">
        <v>367</v>
      </c>
      <c r="AG90" s="179" t="s">
        <v>161</v>
      </c>
      <c r="AH90" s="181" t="s">
        <v>165</v>
      </c>
      <c r="AI90" s="597"/>
      <c r="AJ90" s="179" t="s">
        <v>159</v>
      </c>
      <c r="AK90" s="179" t="s">
        <v>367</v>
      </c>
      <c r="AL90" s="179" t="s">
        <v>161</v>
      </c>
      <c r="AM90" s="181" t="s">
        <v>165</v>
      </c>
      <c r="AN90" s="597"/>
      <c r="AO90" s="179" t="s">
        <v>159</v>
      </c>
      <c r="AP90" s="179" t="s">
        <v>367</v>
      </c>
      <c r="AQ90" s="179" t="s">
        <v>161</v>
      </c>
      <c r="AR90" s="181" t="s">
        <v>165</v>
      </c>
      <c r="AS90" s="597"/>
      <c r="AT90" s="179" t="s">
        <v>159</v>
      </c>
      <c r="AU90" s="179" t="s">
        <v>367</v>
      </c>
      <c r="AV90" s="179" t="s">
        <v>161</v>
      </c>
      <c r="AW90" s="181" t="s">
        <v>165</v>
      </c>
      <c r="AX90" s="597"/>
    </row>
    <row r="91" spans="2:50" ht="14.25" customHeight="1">
      <c r="B91" s="597" t="s">
        <v>371</v>
      </c>
      <c r="C91" s="179">
        <v>1</v>
      </c>
      <c r="D91" s="182" t="s">
        <v>531</v>
      </c>
      <c r="E91" s="183">
        <v>20</v>
      </c>
      <c r="F91" s="179">
        <v>3600</v>
      </c>
      <c r="G91" s="184">
        <f t="shared" ref="G91:G97" si="49">IFERROR(F91/E91,"")</f>
        <v>180</v>
      </c>
      <c r="H91" s="598">
        <f>AVERAGE(G91:G105)</f>
        <v>172.91084854994628</v>
      </c>
      <c r="I91" s="185">
        <f>AVERAGE(P91,U91,Z91,AE91,AJ91,AO91,AT91)</f>
        <v>20</v>
      </c>
      <c r="J91" s="185">
        <f>AVERAGE(Q91,V91,AA91,AF91,AK91,AP91,AU91)</f>
        <v>3259.7336650019024</v>
      </c>
      <c r="K91" s="186">
        <f>AVERAGE(R91,W91,AB91,AG91,AL91,AQ91,AV91)</f>
        <v>162.98668325009513</v>
      </c>
      <c r="L91" s="599">
        <f>IFERROR(AVERAGE(K91:K105),"-")</f>
        <v>155.59252941356741</v>
      </c>
      <c r="M91" s="185">
        <f>RANK(K91, K$91:$K$127)</f>
        <v>3</v>
      </c>
      <c r="N91" s="597"/>
      <c r="O91" s="597"/>
      <c r="P91" s="187">
        <v>20</v>
      </c>
      <c r="Q91" s="187">
        <v>3261.2765221447598</v>
      </c>
      <c r="R91" s="184">
        <f>IFERROR(Q91/P91,"")</f>
        <v>163.06382610723799</v>
      </c>
      <c r="S91" s="181">
        <f>RANK(R91, R$91:R$127)</f>
        <v>3</v>
      </c>
      <c r="T91" s="598">
        <f>AVERAGE(R91:R105)</f>
        <v>155.58017121515289</v>
      </c>
      <c r="U91" s="187">
        <v>20</v>
      </c>
      <c r="V91" s="187">
        <v>3260.1965221447599</v>
      </c>
      <c r="W91" s="184">
        <f t="shared" ref="W91:W97" si="50">IFERROR(V91/U91,"")</f>
        <v>163.00982610723798</v>
      </c>
      <c r="X91" s="181">
        <f>RANK(W91, W$91:W$127)</f>
        <v>3</v>
      </c>
      <c r="Y91" s="598">
        <f>AVERAGE(W91:W105)</f>
        <v>155.53655359968565</v>
      </c>
      <c r="Z91" s="187">
        <v>20</v>
      </c>
      <c r="AA91" s="187">
        <v>3259.8365221447598</v>
      </c>
      <c r="AB91" s="184">
        <f>IFERROR(AA91/Z91,"")</f>
        <v>162.99182610723798</v>
      </c>
      <c r="AC91" s="181">
        <f>RANK(AB91, AB$91:AB$127)</f>
        <v>3</v>
      </c>
      <c r="AD91" s="598">
        <f>AVERAGE(AB91:AB105)</f>
        <v>155.58451809507838</v>
      </c>
      <c r="AE91" s="187">
        <v>20</v>
      </c>
      <c r="AF91" s="187">
        <v>3260.9165221447602</v>
      </c>
      <c r="AG91" s="184">
        <f>IFERROR(AF91/AE91,"")</f>
        <v>163.04582610723801</v>
      </c>
      <c r="AH91" s="181">
        <f>RANK(AG91, AG$91:AG$127)</f>
        <v>3</v>
      </c>
      <c r="AI91" s="598">
        <f>AVERAGE(AG91:AG105)</f>
        <v>155.59911208004078</v>
      </c>
      <c r="AJ91" s="187">
        <v>20</v>
      </c>
      <c r="AK91" s="187">
        <v>3260.1965221447599</v>
      </c>
      <c r="AL91" s="184">
        <f>IFERROR(AK91/AJ91,"")</f>
        <v>163.00982610723798</v>
      </c>
      <c r="AM91" s="181">
        <f>RANK(AL91, AL$91:AL$127)</f>
        <v>3</v>
      </c>
      <c r="AN91" s="598">
        <f>AVERAGE(AL91:AL105)</f>
        <v>155.62317676067602</v>
      </c>
      <c r="AO91" s="187">
        <v>20</v>
      </c>
      <c r="AP91" s="187">
        <v>3258.7565221447594</v>
      </c>
      <c r="AQ91" s="184">
        <f>IFERROR(AP91/AO91,"")</f>
        <v>162.93782610723798</v>
      </c>
      <c r="AR91" s="181">
        <f>RANK(AQ91, AQ$91:AQ$127)</f>
        <v>3</v>
      </c>
      <c r="AS91" s="598">
        <f>AVERAGE(AQ91:AQ105)</f>
        <v>155.61706397872109</v>
      </c>
      <c r="AT91" s="187">
        <v>20</v>
      </c>
      <c r="AU91" s="187">
        <v>3256.9565221447597</v>
      </c>
      <c r="AV91" s="184">
        <f>IFERROR(AU91/AT91,"")</f>
        <v>162.84782610723798</v>
      </c>
      <c r="AW91" s="181">
        <f>RANK(AV91, AV$91:AV$127)</f>
        <v>4</v>
      </c>
      <c r="AX91" s="598">
        <f>AVERAGE(AV91:AV105)</f>
        <v>155.60711016561689</v>
      </c>
    </row>
    <row r="92" spans="2:50" ht="14.25" customHeight="1">
      <c r="B92" s="597"/>
      <c r="C92" s="179">
        <v>2</v>
      </c>
      <c r="D92" s="182" t="s">
        <v>532</v>
      </c>
      <c r="E92" s="179">
        <v>21</v>
      </c>
      <c r="F92" s="179">
        <v>3600</v>
      </c>
      <c r="G92" s="184">
        <f t="shared" si="49"/>
        <v>171.42857142857142</v>
      </c>
      <c r="H92" s="598"/>
      <c r="I92" s="185">
        <f t="shared" ref="I92:K97" si="51">AVERAGE(P92,U92,Z92,AE92,AJ92,AO92,AT92)</f>
        <v>21</v>
      </c>
      <c r="J92" s="185">
        <f t="shared" si="51"/>
        <v>3262.0777962160751</v>
      </c>
      <c r="K92" s="186">
        <f t="shared" si="51"/>
        <v>155.33703791505118</v>
      </c>
      <c r="L92" s="599"/>
      <c r="M92" s="185">
        <f>RANK(K92, K$91:$K$127)</f>
        <v>5</v>
      </c>
      <c r="N92" s="597"/>
      <c r="O92" s="597"/>
      <c r="P92" s="187">
        <v>21</v>
      </c>
      <c r="Q92" s="187">
        <v>3262.6949390732175</v>
      </c>
      <c r="R92" s="184">
        <f t="shared" ref="R92:R97" si="52">IFERROR(Q92/P92,"")</f>
        <v>155.36642567015321</v>
      </c>
      <c r="S92" s="181">
        <f t="shared" ref="S92:S126" si="53">RANK(R92, R$91:R$127)</f>
        <v>5</v>
      </c>
      <c r="T92" s="598"/>
      <c r="U92" s="187">
        <v>21</v>
      </c>
      <c r="V92" s="187">
        <v>3261.6149390732176</v>
      </c>
      <c r="W92" s="184">
        <f t="shared" si="50"/>
        <v>155.31499709872463</v>
      </c>
      <c r="X92" s="181">
        <f t="shared" ref="X92:X126" si="54">RANK(W92, W$91:W$127)</f>
        <v>5</v>
      </c>
      <c r="Y92" s="598"/>
      <c r="Z92" s="187">
        <v>21</v>
      </c>
      <c r="AA92" s="187">
        <v>3262.3349390732174</v>
      </c>
      <c r="AB92" s="184">
        <f t="shared" ref="AB92:AB97" si="55">IFERROR(AA92/Z92,"")</f>
        <v>155.34928281301035</v>
      </c>
      <c r="AC92" s="181">
        <f t="shared" ref="AC92:AC126" si="56">RANK(AB92, AB$91:AB$127)</f>
        <v>5</v>
      </c>
      <c r="AD92" s="598"/>
      <c r="AE92" s="187">
        <v>21</v>
      </c>
      <c r="AF92" s="187">
        <v>3262.3349390732174</v>
      </c>
      <c r="AG92" s="184">
        <f t="shared" ref="AG92:AG97" si="57">IFERROR(AF92/AE92,"")</f>
        <v>155.34928281301035</v>
      </c>
      <c r="AH92" s="181">
        <f t="shared" ref="AH92:AH126" si="58">RANK(AG92, AG$91:AG$127)</f>
        <v>5</v>
      </c>
      <c r="AI92" s="598"/>
      <c r="AJ92" s="187">
        <v>21</v>
      </c>
      <c r="AK92" s="187">
        <v>3262.3349390732174</v>
      </c>
      <c r="AL92" s="184">
        <f t="shared" ref="AL92:AL97" si="59">IFERROR(AK92/AJ92,"")</f>
        <v>155.34928281301035</v>
      </c>
      <c r="AM92" s="181">
        <f t="shared" ref="AM92:AM126" si="60">RANK(AL92, AL$91:AL$127)</f>
        <v>5</v>
      </c>
      <c r="AN92" s="598"/>
      <c r="AO92" s="187">
        <v>21</v>
      </c>
      <c r="AP92" s="187">
        <v>3262.3349390732183</v>
      </c>
      <c r="AQ92" s="184">
        <f t="shared" ref="AQ92:AQ97" si="61">IFERROR(AP92/AO92,"")</f>
        <v>155.3492828130104</v>
      </c>
      <c r="AR92" s="181">
        <f t="shared" ref="AR92:AR126" si="62">RANK(AQ92, AQ$91:AQ$127)</f>
        <v>5</v>
      </c>
      <c r="AS92" s="598"/>
      <c r="AT92" s="187">
        <v>21</v>
      </c>
      <c r="AU92" s="187">
        <v>3260.8949390732187</v>
      </c>
      <c r="AV92" s="184">
        <f t="shared" ref="AV92:AV97" si="63">IFERROR(AU92/AT92,"")</f>
        <v>155.28071138443897</v>
      </c>
      <c r="AW92" s="181">
        <f t="shared" ref="AW92:AW126" si="64">RANK(AV92, AV$91:AV$127)</f>
        <v>5</v>
      </c>
      <c r="AX92" s="598"/>
    </row>
    <row r="93" spans="2:50" ht="14.25" customHeight="1">
      <c r="B93" s="597"/>
      <c r="C93" s="179">
        <v>3</v>
      </c>
      <c r="D93" s="182" t="s">
        <v>614</v>
      </c>
      <c r="E93" s="179">
        <v>19</v>
      </c>
      <c r="F93" s="179">
        <v>3600</v>
      </c>
      <c r="G93" s="184">
        <f t="shared" si="49"/>
        <v>189.47368421052633</v>
      </c>
      <c r="H93" s="598"/>
      <c r="I93" s="185">
        <f t="shared" si="51"/>
        <v>19</v>
      </c>
      <c r="J93" s="185">
        <f t="shared" si="51"/>
        <v>3191.8521555976813</v>
      </c>
      <c r="K93" s="186">
        <f t="shared" si="51"/>
        <v>167.99221871566743</v>
      </c>
      <c r="L93" s="599"/>
      <c r="M93" s="185">
        <f>RANK(K93, K$91:$K$127)</f>
        <v>2</v>
      </c>
      <c r="N93" s="597"/>
      <c r="O93" s="597"/>
      <c r="P93" s="187">
        <v>19</v>
      </c>
      <c r="Q93" s="187">
        <v>3192.4900402300441</v>
      </c>
      <c r="R93" s="184">
        <f t="shared" si="52"/>
        <v>168.02579159105494</v>
      </c>
      <c r="S93" s="181">
        <f t="shared" si="53"/>
        <v>2</v>
      </c>
      <c r="T93" s="598"/>
      <c r="U93" s="187">
        <v>19</v>
      </c>
      <c r="V93" s="187">
        <v>3191.0500402300436</v>
      </c>
      <c r="W93" s="184">
        <f t="shared" si="50"/>
        <v>167.9500021173707</v>
      </c>
      <c r="X93" s="181">
        <f t="shared" si="54"/>
        <v>2</v>
      </c>
      <c r="Y93" s="598"/>
      <c r="Z93" s="187">
        <v>19</v>
      </c>
      <c r="AA93" s="187">
        <v>3190.3300402300433</v>
      </c>
      <c r="AB93" s="184">
        <f t="shared" si="55"/>
        <v>167.9121073805286</v>
      </c>
      <c r="AC93" s="181">
        <f t="shared" si="56"/>
        <v>2</v>
      </c>
      <c r="AD93" s="598"/>
      <c r="AE93" s="187">
        <v>19</v>
      </c>
      <c r="AF93" s="187">
        <v>3188.8900402300437</v>
      </c>
      <c r="AG93" s="184">
        <f t="shared" si="57"/>
        <v>167.83631790684441</v>
      </c>
      <c r="AH93" s="181">
        <f t="shared" si="58"/>
        <v>2</v>
      </c>
      <c r="AI93" s="598"/>
      <c r="AJ93" s="187">
        <v>19</v>
      </c>
      <c r="AK93" s="187">
        <v>3192.6816427545327</v>
      </c>
      <c r="AL93" s="184">
        <f t="shared" si="59"/>
        <v>168.03587593444908</v>
      </c>
      <c r="AM93" s="181">
        <f t="shared" si="60"/>
        <v>2</v>
      </c>
      <c r="AN93" s="598"/>
      <c r="AO93" s="187">
        <v>19</v>
      </c>
      <c r="AP93" s="187">
        <v>3193.0416427545319</v>
      </c>
      <c r="AQ93" s="184">
        <f t="shared" si="61"/>
        <v>168.05482330287009</v>
      </c>
      <c r="AR93" s="181">
        <f t="shared" si="62"/>
        <v>1</v>
      </c>
      <c r="AS93" s="598"/>
      <c r="AT93" s="187">
        <v>19</v>
      </c>
      <c r="AU93" s="187">
        <v>3194.4816427545306</v>
      </c>
      <c r="AV93" s="184">
        <f t="shared" si="63"/>
        <v>168.13061277655424</v>
      </c>
      <c r="AW93" s="181">
        <f t="shared" si="64"/>
        <v>1</v>
      </c>
      <c r="AX93" s="598"/>
    </row>
    <row r="94" spans="2:50" ht="14.25" customHeight="1">
      <c r="B94" s="597"/>
      <c r="C94" s="179">
        <v>4</v>
      </c>
      <c r="D94" s="182" t="s">
        <v>597</v>
      </c>
      <c r="E94" s="179">
        <v>24</v>
      </c>
      <c r="F94" s="179">
        <v>3600</v>
      </c>
      <c r="G94" s="184">
        <f t="shared" si="49"/>
        <v>150</v>
      </c>
      <c r="H94" s="598"/>
      <c r="I94" s="185">
        <f t="shared" si="51"/>
        <v>24</v>
      </c>
      <c r="J94" s="185">
        <f t="shared" si="51"/>
        <v>3261.4234651247284</v>
      </c>
      <c r="K94" s="186">
        <f t="shared" si="51"/>
        <v>135.89264438019703</v>
      </c>
      <c r="L94" s="599"/>
      <c r="M94" s="185">
        <f>RANK(K94, K$91:$K$127)</f>
        <v>7</v>
      </c>
      <c r="N94" s="597"/>
      <c r="O94" s="597"/>
      <c r="P94" s="187">
        <v>24</v>
      </c>
      <c r="Q94" s="187">
        <v>3255.1808943134815</v>
      </c>
      <c r="R94" s="184">
        <f t="shared" si="52"/>
        <v>135.63253726306172</v>
      </c>
      <c r="S94" s="181">
        <f t="shared" si="53"/>
        <v>7</v>
      </c>
      <c r="T94" s="598"/>
      <c r="U94" s="187">
        <v>24</v>
      </c>
      <c r="V94" s="187">
        <v>3253.7408943134815</v>
      </c>
      <c r="W94" s="184">
        <f t="shared" si="50"/>
        <v>135.57253726306172</v>
      </c>
      <c r="X94" s="181">
        <f t="shared" si="54"/>
        <v>7</v>
      </c>
      <c r="Y94" s="598"/>
      <c r="Z94" s="187">
        <v>24</v>
      </c>
      <c r="AA94" s="187">
        <v>3263.1284934492282</v>
      </c>
      <c r="AB94" s="184">
        <f t="shared" si="55"/>
        <v>135.96368722705117</v>
      </c>
      <c r="AC94" s="181">
        <f t="shared" si="56"/>
        <v>7</v>
      </c>
      <c r="AD94" s="598"/>
      <c r="AE94" s="187">
        <v>24</v>
      </c>
      <c r="AF94" s="187">
        <v>3264.2084934492277</v>
      </c>
      <c r="AG94" s="184">
        <f t="shared" si="57"/>
        <v>136.00868722705115</v>
      </c>
      <c r="AH94" s="181">
        <f t="shared" si="58"/>
        <v>7</v>
      </c>
      <c r="AI94" s="598"/>
      <c r="AJ94" s="187">
        <v>24</v>
      </c>
      <c r="AK94" s="187">
        <v>3263.4884934492279</v>
      </c>
      <c r="AL94" s="184">
        <f t="shared" si="59"/>
        <v>135.97868722705115</v>
      </c>
      <c r="AM94" s="181">
        <f t="shared" si="60"/>
        <v>7</v>
      </c>
      <c r="AN94" s="598"/>
      <c r="AO94" s="187">
        <v>24</v>
      </c>
      <c r="AP94" s="187">
        <v>3264.5684934492274</v>
      </c>
      <c r="AQ94" s="184">
        <f t="shared" si="61"/>
        <v>136.02368722705114</v>
      </c>
      <c r="AR94" s="181">
        <f t="shared" si="62"/>
        <v>7</v>
      </c>
      <c r="AS94" s="598"/>
      <c r="AT94" s="187">
        <v>24</v>
      </c>
      <c r="AU94" s="187">
        <v>3265.6484934492273</v>
      </c>
      <c r="AV94" s="184">
        <f t="shared" si="63"/>
        <v>136.06868722705113</v>
      </c>
      <c r="AW94" s="181">
        <f t="shared" si="64"/>
        <v>7</v>
      </c>
      <c r="AX94" s="598"/>
    </row>
    <row r="95" spans="2:50" ht="14.25" customHeight="1">
      <c r="B95" s="597"/>
      <c r="C95" s="179">
        <v>5</v>
      </c>
      <c r="D95" s="182" t="s">
        <v>533</v>
      </c>
      <c r="E95" s="179">
        <v>19</v>
      </c>
      <c r="F95" s="179">
        <v>3600</v>
      </c>
      <c r="G95" s="184">
        <f t="shared" si="49"/>
        <v>189.47368421052633</v>
      </c>
      <c r="H95" s="598"/>
      <c r="I95" s="185">
        <f t="shared" si="51"/>
        <v>19</v>
      </c>
      <c r="J95" s="185">
        <f t="shared" si="51"/>
        <v>3192.0436566097187</v>
      </c>
      <c r="K95" s="186">
        <f t="shared" si="51"/>
        <v>168.00229771630097</v>
      </c>
      <c r="L95" s="599"/>
      <c r="M95" s="185">
        <f>RANK(K95, K$91:$K$127)</f>
        <v>1</v>
      </c>
      <c r="N95" s="597"/>
      <c r="O95" s="597"/>
      <c r="P95" s="187">
        <v>19</v>
      </c>
      <c r="Q95" s="187">
        <v>3192.5579423240038</v>
      </c>
      <c r="R95" s="184">
        <f t="shared" si="52"/>
        <v>168.02936538547388</v>
      </c>
      <c r="S95" s="181">
        <f t="shared" si="53"/>
        <v>1</v>
      </c>
      <c r="T95" s="598"/>
      <c r="U95" s="187">
        <v>19</v>
      </c>
      <c r="V95" s="187">
        <v>3193.2779423240036</v>
      </c>
      <c r="W95" s="184">
        <f t="shared" si="50"/>
        <v>168.06726012231599</v>
      </c>
      <c r="X95" s="181">
        <f t="shared" si="54"/>
        <v>1</v>
      </c>
      <c r="Y95" s="598"/>
      <c r="Z95" s="187">
        <v>19</v>
      </c>
      <c r="AA95" s="187">
        <v>3191.837942324004</v>
      </c>
      <c r="AB95" s="184">
        <f t="shared" si="55"/>
        <v>167.99147064863178</v>
      </c>
      <c r="AC95" s="181">
        <f t="shared" si="56"/>
        <v>1</v>
      </c>
      <c r="AD95" s="598"/>
      <c r="AE95" s="187">
        <v>19</v>
      </c>
      <c r="AF95" s="187">
        <v>3192.1979423240041</v>
      </c>
      <c r="AG95" s="184">
        <f t="shared" si="57"/>
        <v>168.01041801705284</v>
      </c>
      <c r="AH95" s="181">
        <f t="shared" si="58"/>
        <v>1</v>
      </c>
      <c r="AI95" s="598"/>
      <c r="AJ95" s="187">
        <v>19</v>
      </c>
      <c r="AK95" s="187">
        <v>3192.9179423240043</v>
      </c>
      <c r="AL95" s="184">
        <f t="shared" si="59"/>
        <v>168.04831275389498</v>
      </c>
      <c r="AM95" s="181">
        <f t="shared" si="60"/>
        <v>1</v>
      </c>
      <c r="AN95" s="598"/>
      <c r="AO95" s="187">
        <v>19</v>
      </c>
      <c r="AP95" s="187">
        <v>3191.1179423240042</v>
      </c>
      <c r="AQ95" s="184">
        <f t="shared" si="61"/>
        <v>167.9535759117897</v>
      </c>
      <c r="AR95" s="181">
        <f t="shared" si="62"/>
        <v>2</v>
      </c>
      <c r="AS95" s="598"/>
      <c r="AT95" s="187">
        <v>19</v>
      </c>
      <c r="AU95" s="187">
        <v>3190.3979423240039</v>
      </c>
      <c r="AV95" s="184">
        <f t="shared" si="63"/>
        <v>167.91568117494757</v>
      </c>
      <c r="AW95" s="181">
        <f t="shared" si="64"/>
        <v>2</v>
      </c>
      <c r="AX95" s="598"/>
    </row>
    <row r="96" spans="2:50" ht="14.25" customHeight="1">
      <c r="B96" s="597"/>
      <c r="C96" s="179">
        <v>6</v>
      </c>
      <c r="D96" s="182" t="s">
        <v>630</v>
      </c>
      <c r="E96" s="179">
        <v>24</v>
      </c>
      <c r="F96" s="179">
        <v>3600</v>
      </c>
      <c r="G96" s="184">
        <f t="shared" si="49"/>
        <v>150</v>
      </c>
      <c r="H96" s="598"/>
      <c r="I96" s="185">
        <f t="shared" si="51"/>
        <v>24</v>
      </c>
      <c r="J96" s="185">
        <f t="shared" si="51"/>
        <v>3266.0248111128135</v>
      </c>
      <c r="K96" s="186">
        <f t="shared" si="51"/>
        <v>136.08436712970055</v>
      </c>
      <c r="L96" s="599"/>
      <c r="M96" s="185">
        <f>RANK(K96, K$91:$K$127)</f>
        <v>6</v>
      </c>
      <c r="N96" s="597"/>
      <c r="O96" s="597"/>
      <c r="P96" s="187">
        <v>24</v>
      </c>
      <c r="Q96" s="187">
        <v>3264.9448111128136</v>
      </c>
      <c r="R96" s="184">
        <f t="shared" si="52"/>
        <v>136.03936712970057</v>
      </c>
      <c r="S96" s="181">
        <f t="shared" si="53"/>
        <v>6</v>
      </c>
      <c r="T96" s="598"/>
      <c r="U96" s="187">
        <v>24</v>
      </c>
      <c r="V96" s="187">
        <v>3264.2248111128138</v>
      </c>
      <c r="W96" s="184">
        <f t="shared" si="50"/>
        <v>136.00936712970056</v>
      </c>
      <c r="X96" s="181">
        <f t="shared" si="54"/>
        <v>6</v>
      </c>
      <c r="Y96" s="598"/>
      <c r="Z96" s="187">
        <v>24</v>
      </c>
      <c r="AA96" s="187">
        <v>3265.6648111128134</v>
      </c>
      <c r="AB96" s="184">
        <f t="shared" si="55"/>
        <v>136.06936712970057</v>
      </c>
      <c r="AC96" s="181">
        <f t="shared" si="56"/>
        <v>6</v>
      </c>
      <c r="AD96" s="598"/>
      <c r="AE96" s="187">
        <v>24</v>
      </c>
      <c r="AF96" s="187">
        <v>3267.1048111128134</v>
      </c>
      <c r="AG96" s="184">
        <f t="shared" si="57"/>
        <v>136.12936712970057</v>
      </c>
      <c r="AH96" s="181">
        <f t="shared" si="58"/>
        <v>6</v>
      </c>
      <c r="AI96" s="598"/>
      <c r="AJ96" s="187">
        <v>24</v>
      </c>
      <c r="AK96" s="187">
        <v>3267.464811112814</v>
      </c>
      <c r="AL96" s="184">
        <f t="shared" si="59"/>
        <v>136.14436712970058</v>
      </c>
      <c r="AM96" s="181">
        <f t="shared" si="60"/>
        <v>6</v>
      </c>
      <c r="AN96" s="598"/>
      <c r="AO96" s="187">
        <v>24</v>
      </c>
      <c r="AP96" s="187">
        <v>3266.7448111128137</v>
      </c>
      <c r="AQ96" s="184">
        <f t="shared" si="61"/>
        <v>136.11436712970058</v>
      </c>
      <c r="AR96" s="181">
        <f t="shared" si="62"/>
        <v>6</v>
      </c>
      <c r="AS96" s="598"/>
      <c r="AT96" s="187">
        <v>24</v>
      </c>
      <c r="AU96" s="187">
        <v>3266.0248111128139</v>
      </c>
      <c r="AV96" s="184">
        <f t="shared" si="63"/>
        <v>136.08436712970058</v>
      </c>
      <c r="AW96" s="181">
        <f t="shared" si="64"/>
        <v>6</v>
      </c>
      <c r="AX96" s="598"/>
    </row>
    <row r="97" spans="2:50" ht="14.25" customHeight="1">
      <c r="B97" s="597"/>
      <c r="C97" s="179">
        <v>7</v>
      </c>
      <c r="D97" s="182" t="s">
        <v>776</v>
      </c>
      <c r="E97" s="179">
        <v>20</v>
      </c>
      <c r="F97" s="179">
        <v>3600</v>
      </c>
      <c r="G97" s="184">
        <f t="shared" si="49"/>
        <v>180</v>
      </c>
      <c r="H97" s="598"/>
      <c r="I97" s="185">
        <f t="shared" si="51"/>
        <v>20</v>
      </c>
      <c r="J97" s="185">
        <f t="shared" si="51"/>
        <v>3257.0491357591882</v>
      </c>
      <c r="K97" s="186">
        <f t="shared" si="51"/>
        <v>162.8524567879594</v>
      </c>
      <c r="L97" s="599"/>
      <c r="M97" s="185">
        <f>RANK(K97, K$91:$K$127)</f>
        <v>4</v>
      </c>
      <c r="N97" s="597"/>
      <c r="O97" s="597"/>
      <c r="P97" s="187">
        <v>20</v>
      </c>
      <c r="Q97" s="187">
        <v>3258.0777071877592</v>
      </c>
      <c r="R97" s="184">
        <f t="shared" si="52"/>
        <v>162.90388535938797</v>
      </c>
      <c r="S97" s="181">
        <f t="shared" si="53"/>
        <v>4</v>
      </c>
      <c r="T97" s="598"/>
      <c r="U97" s="187">
        <v>20</v>
      </c>
      <c r="V97" s="187">
        <v>3256.63770718776</v>
      </c>
      <c r="W97" s="184">
        <f t="shared" si="50"/>
        <v>162.831885359388</v>
      </c>
      <c r="X97" s="181">
        <f t="shared" si="54"/>
        <v>4</v>
      </c>
      <c r="Y97" s="598"/>
      <c r="Z97" s="187">
        <v>20</v>
      </c>
      <c r="AA97" s="187">
        <v>3256.2777071877599</v>
      </c>
      <c r="AB97" s="184">
        <f t="shared" si="55"/>
        <v>162.813885359388</v>
      </c>
      <c r="AC97" s="181">
        <f t="shared" si="56"/>
        <v>4</v>
      </c>
      <c r="AD97" s="598"/>
      <c r="AE97" s="187">
        <v>20</v>
      </c>
      <c r="AF97" s="187">
        <v>3256.2777071877599</v>
      </c>
      <c r="AG97" s="184">
        <f t="shared" si="57"/>
        <v>162.813885359388</v>
      </c>
      <c r="AH97" s="181">
        <f t="shared" si="58"/>
        <v>4</v>
      </c>
      <c r="AI97" s="598"/>
      <c r="AJ97" s="187">
        <v>20</v>
      </c>
      <c r="AK97" s="187">
        <v>3255.9177071877598</v>
      </c>
      <c r="AL97" s="184">
        <f t="shared" si="59"/>
        <v>162.795885359388</v>
      </c>
      <c r="AM97" s="181">
        <f t="shared" si="60"/>
        <v>4</v>
      </c>
      <c r="AN97" s="598"/>
      <c r="AO97" s="187">
        <v>20</v>
      </c>
      <c r="AP97" s="187">
        <v>3257.7177071877595</v>
      </c>
      <c r="AQ97" s="184">
        <f t="shared" si="61"/>
        <v>162.88588535938797</v>
      </c>
      <c r="AR97" s="181">
        <f t="shared" si="62"/>
        <v>4</v>
      </c>
      <c r="AS97" s="598"/>
      <c r="AT97" s="187">
        <v>20</v>
      </c>
      <c r="AU97" s="187">
        <v>3258.4377071877589</v>
      </c>
      <c r="AV97" s="184">
        <f t="shared" si="63"/>
        <v>162.92188535938794</v>
      </c>
      <c r="AW97" s="181">
        <f t="shared" si="64"/>
        <v>3</v>
      </c>
      <c r="AX97" s="598"/>
    </row>
    <row r="98" spans="2:50" ht="14.25" customHeight="1">
      <c r="B98" s="597"/>
      <c r="C98" s="179">
        <v>8</v>
      </c>
      <c r="D98" s="182"/>
      <c r="E98" s="179"/>
      <c r="F98" s="179"/>
      <c r="G98" s="184"/>
      <c r="H98" s="598"/>
      <c r="I98" s="185"/>
      <c r="J98" s="185"/>
      <c r="K98" s="186"/>
      <c r="L98" s="599"/>
      <c r="M98" s="185" t="e">
        <f>RANK(K98, K$91:$K$127)</f>
        <v>#N/A</v>
      </c>
      <c r="N98" s="597"/>
      <c r="O98" s="597"/>
      <c r="P98" s="187"/>
      <c r="Q98" s="187"/>
      <c r="R98" s="184"/>
      <c r="S98" s="181" t="e">
        <f t="shared" si="53"/>
        <v>#N/A</v>
      </c>
      <c r="T98" s="598"/>
      <c r="U98" s="187"/>
      <c r="V98" s="187"/>
      <c r="W98" s="184"/>
      <c r="X98" s="181" t="e">
        <f t="shared" si="54"/>
        <v>#N/A</v>
      </c>
      <c r="Y98" s="598"/>
      <c r="Z98" s="187"/>
      <c r="AA98" s="187"/>
      <c r="AB98" s="184"/>
      <c r="AC98" s="181" t="e">
        <f t="shared" si="56"/>
        <v>#N/A</v>
      </c>
      <c r="AD98" s="598"/>
      <c r="AE98" s="187"/>
      <c r="AF98" s="187"/>
      <c r="AG98" s="184"/>
      <c r="AH98" s="181" t="e">
        <f t="shared" si="58"/>
        <v>#N/A</v>
      </c>
      <c r="AI98" s="598"/>
      <c r="AJ98" s="187"/>
      <c r="AK98" s="187"/>
      <c r="AL98" s="184"/>
      <c r="AM98" s="181" t="e">
        <f t="shared" si="60"/>
        <v>#N/A</v>
      </c>
      <c r="AN98" s="598"/>
      <c r="AO98" s="187"/>
      <c r="AP98" s="187"/>
      <c r="AQ98" s="184"/>
      <c r="AR98" s="181" t="e">
        <f t="shared" si="62"/>
        <v>#N/A</v>
      </c>
      <c r="AS98" s="598"/>
      <c r="AT98" s="187"/>
      <c r="AU98" s="187"/>
      <c r="AV98" s="184"/>
      <c r="AW98" s="181" t="e">
        <f t="shared" si="64"/>
        <v>#N/A</v>
      </c>
      <c r="AX98" s="598"/>
    </row>
    <row r="99" spans="2:50" ht="14.25" customHeight="1">
      <c r="B99" s="597"/>
      <c r="C99" s="179">
        <v>9</v>
      </c>
      <c r="D99" s="182"/>
      <c r="E99" s="179"/>
      <c r="F99" s="179"/>
      <c r="G99" s="184"/>
      <c r="H99" s="598"/>
      <c r="I99" s="185"/>
      <c r="J99" s="185"/>
      <c r="K99" s="186"/>
      <c r="L99" s="599"/>
      <c r="M99" s="185" t="e">
        <f>RANK(K99, K$91:$K$127)</f>
        <v>#N/A</v>
      </c>
      <c r="N99" s="597"/>
      <c r="O99" s="597"/>
      <c r="P99" s="187"/>
      <c r="Q99" s="187"/>
      <c r="R99" s="184"/>
      <c r="S99" s="181" t="e">
        <f t="shared" si="53"/>
        <v>#N/A</v>
      </c>
      <c r="T99" s="598"/>
      <c r="U99" s="187"/>
      <c r="V99" s="187"/>
      <c r="W99" s="184"/>
      <c r="X99" s="181" t="e">
        <f t="shared" si="54"/>
        <v>#N/A</v>
      </c>
      <c r="Y99" s="598"/>
      <c r="Z99" s="187"/>
      <c r="AA99" s="187"/>
      <c r="AB99" s="184"/>
      <c r="AC99" s="181" t="e">
        <f t="shared" si="56"/>
        <v>#N/A</v>
      </c>
      <c r="AD99" s="598"/>
      <c r="AE99" s="187"/>
      <c r="AF99" s="187"/>
      <c r="AG99" s="184"/>
      <c r="AH99" s="181" t="e">
        <f t="shared" si="58"/>
        <v>#N/A</v>
      </c>
      <c r="AI99" s="598"/>
      <c r="AJ99" s="187"/>
      <c r="AK99" s="187"/>
      <c r="AL99" s="184"/>
      <c r="AM99" s="181" t="e">
        <f t="shared" si="60"/>
        <v>#N/A</v>
      </c>
      <c r="AN99" s="598"/>
      <c r="AO99" s="187"/>
      <c r="AP99" s="187"/>
      <c r="AQ99" s="184"/>
      <c r="AR99" s="181" t="e">
        <f t="shared" si="62"/>
        <v>#N/A</v>
      </c>
      <c r="AS99" s="598"/>
      <c r="AT99" s="187"/>
      <c r="AU99" s="187"/>
      <c r="AV99" s="184"/>
      <c r="AW99" s="181" t="e">
        <f t="shared" si="64"/>
        <v>#N/A</v>
      </c>
      <c r="AX99" s="598"/>
    </row>
    <row r="100" spans="2:50" ht="14.25" customHeight="1">
      <c r="B100" s="597"/>
      <c r="C100" s="179">
        <v>10</v>
      </c>
      <c r="D100" s="182"/>
      <c r="E100" s="179"/>
      <c r="F100" s="179"/>
      <c r="G100" s="184"/>
      <c r="H100" s="598"/>
      <c r="I100" s="185"/>
      <c r="J100" s="185"/>
      <c r="K100" s="186"/>
      <c r="L100" s="599"/>
      <c r="M100" s="185" t="e">
        <f>RANK(K100, K$91:$K$127)</f>
        <v>#N/A</v>
      </c>
      <c r="N100" s="597"/>
      <c r="O100" s="597"/>
      <c r="P100" s="187"/>
      <c r="Q100" s="187"/>
      <c r="R100" s="184"/>
      <c r="S100" s="181" t="e">
        <f t="shared" si="53"/>
        <v>#N/A</v>
      </c>
      <c r="T100" s="598"/>
      <c r="U100" s="187"/>
      <c r="V100" s="187"/>
      <c r="W100" s="184"/>
      <c r="X100" s="181" t="e">
        <f t="shared" si="54"/>
        <v>#N/A</v>
      </c>
      <c r="Y100" s="598"/>
      <c r="Z100" s="187"/>
      <c r="AA100" s="187"/>
      <c r="AB100" s="184"/>
      <c r="AC100" s="181" t="e">
        <f t="shared" si="56"/>
        <v>#N/A</v>
      </c>
      <c r="AD100" s="598"/>
      <c r="AE100" s="187"/>
      <c r="AF100" s="187"/>
      <c r="AG100" s="184"/>
      <c r="AH100" s="181" t="e">
        <f t="shared" si="58"/>
        <v>#N/A</v>
      </c>
      <c r="AI100" s="598"/>
      <c r="AJ100" s="187"/>
      <c r="AK100" s="187"/>
      <c r="AL100" s="184"/>
      <c r="AM100" s="181" t="e">
        <f t="shared" si="60"/>
        <v>#N/A</v>
      </c>
      <c r="AN100" s="598"/>
      <c r="AO100" s="187"/>
      <c r="AP100" s="187"/>
      <c r="AQ100" s="184"/>
      <c r="AR100" s="181" t="e">
        <f t="shared" si="62"/>
        <v>#N/A</v>
      </c>
      <c r="AS100" s="598"/>
      <c r="AT100" s="187"/>
      <c r="AU100" s="187"/>
      <c r="AV100" s="184"/>
      <c r="AW100" s="181" t="e">
        <f t="shared" si="64"/>
        <v>#N/A</v>
      </c>
      <c r="AX100" s="598"/>
    </row>
    <row r="101" spans="2:50" ht="14.25" customHeight="1">
      <c r="B101" s="597"/>
      <c r="C101" s="179">
        <v>11</v>
      </c>
      <c r="D101" s="182"/>
      <c r="E101" s="179"/>
      <c r="F101" s="179"/>
      <c r="G101" s="184"/>
      <c r="H101" s="598"/>
      <c r="I101" s="185"/>
      <c r="J101" s="185"/>
      <c r="K101" s="186"/>
      <c r="L101" s="599"/>
      <c r="M101" s="185" t="e">
        <f>RANK(K101, K$91:$K$127)</f>
        <v>#N/A</v>
      </c>
      <c r="N101" s="597"/>
      <c r="O101" s="597"/>
      <c r="P101" s="187"/>
      <c r="Q101" s="187"/>
      <c r="R101" s="184"/>
      <c r="S101" s="181" t="e">
        <f t="shared" si="53"/>
        <v>#N/A</v>
      </c>
      <c r="T101" s="598"/>
      <c r="U101" s="187"/>
      <c r="V101" s="187"/>
      <c r="W101" s="184"/>
      <c r="X101" s="181" t="e">
        <f t="shared" si="54"/>
        <v>#N/A</v>
      </c>
      <c r="Y101" s="598"/>
      <c r="Z101" s="187"/>
      <c r="AA101" s="187"/>
      <c r="AB101" s="184"/>
      <c r="AC101" s="181" t="e">
        <f t="shared" si="56"/>
        <v>#N/A</v>
      </c>
      <c r="AD101" s="598"/>
      <c r="AE101" s="187"/>
      <c r="AF101" s="187"/>
      <c r="AG101" s="184"/>
      <c r="AH101" s="181" t="e">
        <f t="shared" si="58"/>
        <v>#N/A</v>
      </c>
      <c r="AI101" s="598"/>
      <c r="AJ101" s="187"/>
      <c r="AK101" s="187"/>
      <c r="AL101" s="184"/>
      <c r="AM101" s="181" t="e">
        <f t="shared" si="60"/>
        <v>#N/A</v>
      </c>
      <c r="AN101" s="598"/>
      <c r="AO101" s="187"/>
      <c r="AP101" s="187"/>
      <c r="AQ101" s="184"/>
      <c r="AR101" s="181" t="e">
        <f t="shared" si="62"/>
        <v>#N/A</v>
      </c>
      <c r="AS101" s="598"/>
      <c r="AT101" s="187"/>
      <c r="AU101" s="187"/>
      <c r="AV101" s="184"/>
      <c r="AW101" s="181" t="e">
        <f t="shared" si="64"/>
        <v>#N/A</v>
      </c>
      <c r="AX101" s="598"/>
    </row>
    <row r="102" spans="2:50" ht="14.25" customHeight="1">
      <c r="B102" s="597"/>
      <c r="C102" s="179">
        <v>12</v>
      </c>
      <c r="D102" s="182"/>
      <c r="E102" s="179"/>
      <c r="F102" s="179"/>
      <c r="G102" s="184"/>
      <c r="H102" s="598"/>
      <c r="I102" s="185"/>
      <c r="J102" s="185"/>
      <c r="K102" s="186"/>
      <c r="L102" s="599"/>
      <c r="M102" s="185" t="e">
        <f>RANK(K102, K$91:$K$127)</f>
        <v>#N/A</v>
      </c>
      <c r="N102" s="597"/>
      <c r="O102" s="597"/>
      <c r="P102" s="187"/>
      <c r="Q102" s="187"/>
      <c r="R102" s="184"/>
      <c r="S102" s="181" t="e">
        <f t="shared" si="53"/>
        <v>#N/A</v>
      </c>
      <c r="T102" s="598"/>
      <c r="U102" s="187"/>
      <c r="V102" s="187"/>
      <c r="W102" s="184"/>
      <c r="X102" s="181" t="e">
        <f t="shared" si="54"/>
        <v>#N/A</v>
      </c>
      <c r="Y102" s="598"/>
      <c r="Z102" s="187"/>
      <c r="AA102" s="187"/>
      <c r="AB102" s="184"/>
      <c r="AC102" s="181" t="e">
        <f t="shared" si="56"/>
        <v>#N/A</v>
      </c>
      <c r="AD102" s="598"/>
      <c r="AE102" s="187"/>
      <c r="AF102" s="187"/>
      <c r="AG102" s="184"/>
      <c r="AH102" s="181" t="e">
        <f t="shared" si="58"/>
        <v>#N/A</v>
      </c>
      <c r="AI102" s="598"/>
      <c r="AJ102" s="187"/>
      <c r="AK102" s="187"/>
      <c r="AL102" s="184"/>
      <c r="AM102" s="181" t="e">
        <f t="shared" si="60"/>
        <v>#N/A</v>
      </c>
      <c r="AN102" s="598"/>
      <c r="AO102" s="187"/>
      <c r="AP102" s="187"/>
      <c r="AQ102" s="184"/>
      <c r="AR102" s="181" t="e">
        <f t="shared" si="62"/>
        <v>#N/A</v>
      </c>
      <c r="AS102" s="598"/>
      <c r="AT102" s="187"/>
      <c r="AU102" s="187"/>
      <c r="AV102" s="184"/>
      <c r="AW102" s="181" t="e">
        <f t="shared" si="64"/>
        <v>#N/A</v>
      </c>
      <c r="AX102" s="598"/>
    </row>
    <row r="103" spans="2:50" ht="14.25" customHeight="1">
      <c r="B103" s="597"/>
      <c r="C103" s="179">
        <v>13</v>
      </c>
      <c r="D103" s="182"/>
      <c r="E103" s="179"/>
      <c r="F103" s="179"/>
      <c r="G103" s="184"/>
      <c r="H103" s="598"/>
      <c r="I103" s="185"/>
      <c r="J103" s="185"/>
      <c r="K103" s="186"/>
      <c r="L103" s="599"/>
      <c r="M103" s="185" t="e">
        <f>RANK(K103, K$91:$K$127)</f>
        <v>#N/A</v>
      </c>
      <c r="N103" s="597"/>
      <c r="O103" s="597"/>
      <c r="P103" s="187"/>
      <c r="Q103" s="187"/>
      <c r="R103" s="184"/>
      <c r="S103" s="181" t="e">
        <f t="shared" si="53"/>
        <v>#N/A</v>
      </c>
      <c r="T103" s="598"/>
      <c r="U103" s="187"/>
      <c r="V103" s="187"/>
      <c r="W103" s="184"/>
      <c r="X103" s="181"/>
      <c r="Y103" s="598"/>
      <c r="Z103" s="187"/>
      <c r="AA103" s="187"/>
      <c r="AB103" s="184"/>
      <c r="AC103" s="181"/>
      <c r="AD103" s="598"/>
      <c r="AE103" s="187"/>
      <c r="AF103" s="187"/>
      <c r="AG103" s="184"/>
      <c r="AH103" s="181"/>
      <c r="AI103" s="598"/>
      <c r="AJ103" s="187"/>
      <c r="AK103" s="187"/>
      <c r="AL103" s="184"/>
      <c r="AM103" s="181"/>
      <c r="AN103" s="598"/>
      <c r="AO103" s="187"/>
      <c r="AP103" s="187"/>
      <c r="AQ103" s="184"/>
      <c r="AR103" s="181"/>
      <c r="AS103" s="598"/>
      <c r="AT103" s="187"/>
      <c r="AU103" s="187"/>
      <c r="AV103" s="184"/>
      <c r="AW103" s="181"/>
      <c r="AX103" s="598"/>
    </row>
    <row r="104" spans="2:50" ht="14.25" customHeight="1">
      <c r="B104" s="597"/>
      <c r="C104" s="179">
        <v>14</v>
      </c>
      <c r="D104" s="182"/>
      <c r="E104" s="179"/>
      <c r="F104" s="179"/>
      <c r="G104" s="184"/>
      <c r="H104" s="598"/>
      <c r="I104" s="185"/>
      <c r="J104" s="185"/>
      <c r="K104" s="186"/>
      <c r="L104" s="599"/>
      <c r="M104" s="185" t="e">
        <f>RANK(K104, K$91:$K$127)</f>
        <v>#N/A</v>
      </c>
      <c r="N104" s="597"/>
      <c r="O104" s="597"/>
      <c r="P104" s="187"/>
      <c r="Q104" s="187"/>
      <c r="R104" s="184"/>
      <c r="S104" s="181" t="e">
        <f t="shared" si="53"/>
        <v>#N/A</v>
      </c>
      <c r="T104" s="598"/>
      <c r="U104" s="187"/>
      <c r="V104" s="187"/>
      <c r="W104" s="184"/>
      <c r="X104" s="181" t="e">
        <f t="shared" si="54"/>
        <v>#N/A</v>
      </c>
      <c r="Y104" s="598"/>
      <c r="Z104" s="187"/>
      <c r="AA104" s="187"/>
      <c r="AB104" s="184"/>
      <c r="AC104" s="181" t="e">
        <f t="shared" si="56"/>
        <v>#N/A</v>
      </c>
      <c r="AD104" s="598"/>
      <c r="AE104" s="187"/>
      <c r="AF104" s="187"/>
      <c r="AG104" s="184"/>
      <c r="AH104" s="181" t="e">
        <f t="shared" si="58"/>
        <v>#N/A</v>
      </c>
      <c r="AI104" s="598"/>
      <c r="AJ104" s="187"/>
      <c r="AK104" s="187"/>
      <c r="AL104" s="184"/>
      <c r="AM104" s="181" t="e">
        <f t="shared" si="60"/>
        <v>#N/A</v>
      </c>
      <c r="AN104" s="598"/>
      <c r="AO104" s="187"/>
      <c r="AP104" s="187"/>
      <c r="AQ104" s="184"/>
      <c r="AR104" s="181" t="e">
        <f t="shared" si="62"/>
        <v>#N/A</v>
      </c>
      <c r="AS104" s="598"/>
      <c r="AT104" s="187"/>
      <c r="AU104" s="187"/>
      <c r="AV104" s="184"/>
      <c r="AW104" s="181" t="e">
        <f t="shared" si="64"/>
        <v>#N/A</v>
      </c>
      <c r="AX104" s="598"/>
    </row>
    <row r="105" spans="2:50" ht="14.25" customHeight="1">
      <c r="B105" s="597"/>
      <c r="C105" s="179">
        <v>15</v>
      </c>
      <c r="D105" s="182"/>
      <c r="E105" s="179"/>
      <c r="F105" s="179"/>
      <c r="G105" s="184"/>
      <c r="H105" s="598"/>
      <c r="I105" s="185"/>
      <c r="J105" s="185"/>
      <c r="K105" s="186"/>
      <c r="L105" s="599"/>
      <c r="M105" s="185" t="e">
        <f>RANK(K105, K$91:$K$127)</f>
        <v>#N/A</v>
      </c>
      <c r="N105" s="597"/>
      <c r="O105" s="597"/>
      <c r="P105" s="187"/>
      <c r="Q105" s="187"/>
      <c r="R105" s="184"/>
      <c r="S105" s="181" t="e">
        <f t="shared" si="53"/>
        <v>#N/A</v>
      </c>
      <c r="T105" s="598"/>
      <c r="U105" s="187"/>
      <c r="V105" s="187"/>
      <c r="W105" s="184"/>
      <c r="X105" s="181" t="e">
        <f t="shared" si="54"/>
        <v>#N/A</v>
      </c>
      <c r="Y105" s="598"/>
      <c r="Z105" s="187"/>
      <c r="AA105" s="187"/>
      <c r="AB105" s="184"/>
      <c r="AC105" s="181" t="e">
        <f t="shared" si="56"/>
        <v>#N/A</v>
      </c>
      <c r="AD105" s="598"/>
      <c r="AE105" s="187"/>
      <c r="AF105" s="187"/>
      <c r="AG105" s="184"/>
      <c r="AH105" s="181" t="e">
        <f t="shared" si="58"/>
        <v>#N/A</v>
      </c>
      <c r="AI105" s="598"/>
      <c r="AJ105" s="187"/>
      <c r="AK105" s="187"/>
      <c r="AL105" s="184"/>
      <c r="AM105" s="181" t="e">
        <f t="shared" si="60"/>
        <v>#N/A</v>
      </c>
      <c r="AN105" s="598"/>
      <c r="AO105" s="187"/>
      <c r="AP105" s="187"/>
      <c r="AQ105" s="184"/>
      <c r="AR105" s="181" t="e">
        <f t="shared" si="62"/>
        <v>#N/A</v>
      </c>
      <c r="AS105" s="598"/>
      <c r="AT105" s="187"/>
      <c r="AU105" s="187"/>
      <c r="AV105" s="184"/>
      <c r="AW105" s="181" t="e">
        <f t="shared" si="64"/>
        <v>#N/A</v>
      </c>
      <c r="AX105" s="598"/>
    </row>
    <row r="106" spans="2:50">
      <c r="M106" s="185" t="e">
        <f>RANK(K106, K$91:$K$127)</f>
        <v>#N/A</v>
      </c>
      <c r="S106" s="181" t="e">
        <f t="shared" si="53"/>
        <v>#N/A</v>
      </c>
      <c r="X106" s="181" t="e">
        <f t="shared" si="54"/>
        <v>#N/A</v>
      </c>
      <c r="AC106" s="181" t="e">
        <f t="shared" si="56"/>
        <v>#N/A</v>
      </c>
      <c r="AH106" s="181" t="e">
        <f t="shared" si="58"/>
        <v>#N/A</v>
      </c>
      <c r="AM106" s="181" t="e">
        <f t="shared" si="60"/>
        <v>#N/A</v>
      </c>
      <c r="AR106" s="181" t="e">
        <f t="shared" si="62"/>
        <v>#N/A</v>
      </c>
      <c r="AW106" s="181" t="e">
        <f t="shared" si="64"/>
        <v>#N/A</v>
      </c>
    </row>
    <row r="107" spans="2:50">
      <c r="M107" s="185" t="e">
        <f>RANK(K107, K$91:$K$127)</f>
        <v>#N/A</v>
      </c>
      <c r="S107" s="181" t="e">
        <f t="shared" si="53"/>
        <v>#N/A</v>
      </c>
      <c r="X107" s="181" t="e">
        <f t="shared" si="54"/>
        <v>#N/A</v>
      </c>
      <c r="AC107" s="181" t="e">
        <f t="shared" si="56"/>
        <v>#N/A</v>
      </c>
      <c r="AH107" s="181" t="e">
        <f t="shared" si="58"/>
        <v>#N/A</v>
      </c>
      <c r="AM107" s="181" t="e">
        <f t="shared" si="60"/>
        <v>#N/A</v>
      </c>
      <c r="AR107" s="181" t="e">
        <f t="shared" si="62"/>
        <v>#N/A</v>
      </c>
      <c r="AW107" s="181" t="e">
        <f t="shared" si="64"/>
        <v>#N/A</v>
      </c>
    </row>
    <row r="108" spans="2:50">
      <c r="M108" s="185" t="e">
        <f>RANK(K108, K$91:$K$127)</f>
        <v>#N/A</v>
      </c>
      <c r="S108" s="181" t="e">
        <f t="shared" si="53"/>
        <v>#N/A</v>
      </c>
      <c r="X108" s="181" t="e">
        <f t="shared" si="54"/>
        <v>#N/A</v>
      </c>
      <c r="AC108" s="181" t="e">
        <f t="shared" si="56"/>
        <v>#N/A</v>
      </c>
      <c r="AH108" s="181" t="e">
        <f t="shared" si="58"/>
        <v>#N/A</v>
      </c>
      <c r="AM108" s="181" t="e">
        <f t="shared" si="60"/>
        <v>#N/A</v>
      </c>
      <c r="AR108" s="181" t="e">
        <f t="shared" si="62"/>
        <v>#N/A</v>
      </c>
      <c r="AW108" s="181" t="e">
        <f t="shared" si="64"/>
        <v>#N/A</v>
      </c>
    </row>
    <row r="109" spans="2:50">
      <c r="M109" s="185" t="e">
        <f>RANK(K109, K$91:$K$127)</f>
        <v>#N/A</v>
      </c>
      <c r="S109" s="181" t="e">
        <f t="shared" si="53"/>
        <v>#N/A</v>
      </c>
      <c r="X109" s="181" t="e">
        <f t="shared" si="54"/>
        <v>#N/A</v>
      </c>
      <c r="AC109" s="181" t="e">
        <f t="shared" si="56"/>
        <v>#N/A</v>
      </c>
      <c r="AH109" s="181" t="e">
        <f t="shared" si="58"/>
        <v>#N/A</v>
      </c>
      <c r="AM109" s="181" t="e">
        <f t="shared" si="60"/>
        <v>#N/A</v>
      </c>
      <c r="AR109" s="181" t="e">
        <f t="shared" si="62"/>
        <v>#N/A</v>
      </c>
      <c r="AW109" s="181" t="e">
        <f t="shared" si="64"/>
        <v>#N/A</v>
      </c>
    </row>
    <row r="110" spans="2:50">
      <c r="M110" s="185" t="e">
        <f>RANK(K110, K$91:$K$127)</f>
        <v>#N/A</v>
      </c>
      <c r="S110" s="181" t="e">
        <f t="shared" si="53"/>
        <v>#N/A</v>
      </c>
      <c r="X110" s="181" t="e">
        <f t="shared" si="54"/>
        <v>#N/A</v>
      </c>
      <c r="AC110" s="181" t="e">
        <f t="shared" si="56"/>
        <v>#N/A</v>
      </c>
      <c r="AH110" s="181" t="e">
        <f t="shared" si="58"/>
        <v>#N/A</v>
      </c>
      <c r="AM110" s="181" t="e">
        <f t="shared" si="60"/>
        <v>#N/A</v>
      </c>
      <c r="AR110" s="181" t="e">
        <f t="shared" si="62"/>
        <v>#N/A</v>
      </c>
      <c r="AW110" s="181" t="e">
        <f t="shared" si="64"/>
        <v>#N/A</v>
      </c>
    </row>
    <row r="111" spans="2:50">
      <c r="M111" s="185" t="e">
        <f>RANK(K111, K$91:$K$127)</f>
        <v>#N/A</v>
      </c>
      <c r="S111" s="181" t="e">
        <f t="shared" si="53"/>
        <v>#N/A</v>
      </c>
      <c r="X111" s="181" t="e">
        <f t="shared" si="54"/>
        <v>#N/A</v>
      </c>
      <c r="AC111" s="181" t="e">
        <f t="shared" si="56"/>
        <v>#N/A</v>
      </c>
      <c r="AH111" s="181" t="e">
        <f t="shared" si="58"/>
        <v>#N/A</v>
      </c>
      <c r="AM111" s="181" t="e">
        <f t="shared" si="60"/>
        <v>#N/A</v>
      </c>
      <c r="AR111" s="181" t="e">
        <f t="shared" si="62"/>
        <v>#N/A</v>
      </c>
      <c r="AW111" s="181" t="e">
        <f t="shared" si="64"/>
        <v>#N/A</v>
      </c>
    </row>
    <row r="112" spans="2:50">
      <c r="M112" s="185" t="e">
        <f>RANK(K112, K$91:$K$127)</f>
        <v>#N/A</v>
      </c>
      <c r="S112" s="181" t="e">
        <f t="shared" si="53"/>
        <v>#N/A</v>
      </c>
      <c r="X112" s="181" t="e">
        <f t="shared" si="54"/>
        <v>#N/A</v>
      </c>
      <c r="AC112" s="181" t="e">
        <f t="shared" si="56"/>
        <v>#N/A</v>
      </c>
      <c r="AH112" s="181" t="e">
        <f t="shared" si="58"/>
        <v>#N/A</v>
      </c>
      <c r="AM112" s="181" t="e">
        <f t="shared" si="60"/>
        <v>#N/A</v>
      </c>
      <c r="AR112" s="181" t="e">
        <f t="shared" si="62"/>
        <v>#N/A</v>
      </c>
      <c r="AW112" s="181" t="e">
        <f t="shared" si="64"/>
        <v>#N/A</v>
      </c>
    </row>
    <row r="113" spans="13:49">
      <c r="M113" s="185" t="e">
        <f>RANK(K113, K$91:$K$127)</f>
        <v>#N/A</v>
      </c>
      <c r="S113" s="181" t="e">
        <f t="shared" si="53"/>
        <v>#N/A</v>
      </c>
      <c r="X113" s="181" t="e">
        <f t="shared" si="54"/>
        <v>#N/A</v>
      </c>
      <c r="AC113" s="181" t="e">
        <f t="shared" si="56"/>
        <v>#N/A</v>
      </c>
      <c r="AH113" s="181" t="e">
        <f t="shared" si="58"/>
        <v>#N/A</v>
      </c>
      <c r="AM113" s="181" t="e">
        <f t="shared" si="60"/>
        <v>#N/A</v>
      </c>
      <c r="AR113" s="181" t="e">
        <f t="shared" si="62"/>
        <v>#N/A</v>
      </c>
      <c r="AW113" s="181" t="e">
        <f t="shared" si="64"/>
        <v>#N/A</v>
      </c>
    </row>
    <row r="114" spans="13:49">
      <c r="M114" s="185" t="e">
        <f>RANK(K114, K$91:$K$127)</f>
        <v>#N/A</v>
      </c>
      <c r="S114" s="181" t="e">
        <f t="shared" si="53"/>
        <v>#N/A</v>
      </c>
      <c r="X114" s="181" t="e">
        <f t="shared" si="54"/>
        <v>#N/A</v>
      </c>
      <c r="AC114" s="181" t="e">
        <f t="shared" si="56"/>
        <v>#N/A</v>
      </c>
      <c r="AH114" s="181" t="e">
        <f t="shared" si="58"/>
        <v>#N/A</v>
      </c>
      <c r="AM114" s="181" t="e">
        <f t="shared" si="60"/>
        <v>#N/A</v>
      </c>
      <c r="AR114" s="181" t="e">
        <f t="shared" si="62"/>
        <v>#N/A</v>
      </c>
      <c r="AW114" s="181" t="e">
        <f t="shared" si="64"/>
        <v>#N/A</v>
      </c>
    </row>
    <row r="115" spans="13:49">
      <c r="M115" s="185" t="e">
        <f>RANK(K115, K$91:$K$127)</f>
        <v>#N/A</v>
      </c>
      <c r="S115" s="181" t="e">
        <f t="shared" si="53"/>
        <v>#N/A</v>
      </c>
      <c r="X115" s="181" t="e">
        <f t="shared" si="54"/>
        <v>#N/A</v>
      </c>
      <c r="AC115" s="181" t="e">
        <f t="shared" si="56"/>
        <v>#N/A</v>
      </c>
      <c r="AH115" s="181" t="e">
        <f t="shared" si="58"/>
        <v>#N/A</v>
      </c>
      <c r="AM115" s="181" t="e">
        <f t="shared" si="60"/>
        <v>#N/A</v>
      </c>
      <c r="AR115" s="181" t="e">
        <f t="shared" si="62"/>
        <v>#N/A</v>
      </c>
      <c r="AW115" s="181" t="e">
        <f t="shared" si="64"/>
        <v>#N/A</v>
      </c>
    </row>
    <row r="116" spans="13:49">
      <c r="M116" s="185" t="e">
        <f>RANK(K116, K$91:$K$127)</f>
        <v>#N/A</v>
      </c>
      <c r="S116" s="181" t="e">
        <f t="shared" si="53"/>
        <v>#N/A</v>
      </c>
      <c r="X116" s="181" t="e">
        <f t="shared" si="54"/>
        <v>#N/A</v>
      </c>
      <c r="AC116" s="181" t="e">
        <f t="shared" si="56"/>
        <v>#N/A</v>
      </c>
      <c r="AH116" s="181" t="e">
        <f t="shared" si="58"/>
        <v>#N/A</v>
      </c>
      <c r="AM116" s="181" t="e">
        <f t="shared" si="60"/>
        <v>#N/A</v>
      </c>
      <c r="AR116" s="181" t="e">
        <f t="shared" si="62"/>
        <v>#N/A</v>
      </c>
      <c r="AW116" s="181" t="e">
        <f t="shared" si="64"/>
        <v>#N/A</v>
      </c>
    </row>
    <row r="117" spans="13:49">
      <c r="M117" s="185" t="e">
        <f>RANK(K117, K$91:$K$127)</f>
        <v>#N/A</v>
      </c>
      <c r="S117" s="181" t="e">
        <f t="shared" si="53"/>
        <v>#N/A</v>
      </c>
      <c r="X117" s="181" t="e">
        <f t="shared" si="54"/>
        <v>#N/A</v>
      </c>
      <c r="AC117" s="181" t="e">
        <f t="shared" si="56"/>
        <v>#N/A</v>
      </c>
      <c r="AH117" s="181" t="e">
        <f t="shared" si="58"/>
        <v>#N/A</v>
      </c>
      <c r="AM117" s="181" t="e">
        <f t="shared" si="60"/>
        <v>#N/A</v>
      </c>
      <c r="AR117" s="181" t="e">
        <f t="shared" si="62"/>
        <v>#N/A</v>
      </c>
      <c r="AW117" s="181" t="e">
        <f t="shared" si="64"/>
        <v>#N/A</v>
      </c>
    </row>
    <row r="118" spans="13:49">
      <c r="M118" s="185" t="e">
        <f>RANK(K118, K$91:$K$127)</f>
        <v>#N/A</v>
      </c>
      <c r="S118" s="181" t="e">
        <f t="shared" si="53"/>
        <v>#N/A</v>
      </c>
      <c r="X118" s="181" t="e">
        <f t="shared" si="54"/>
        <v>#N/A</v>
      </c>
      <c r="AC118" s="181" t="e">
        <f t="shared" si="56"/>
        <v>#N/A</v>
      </c>
      <c r="AH118" s="181" t="e">
        <f t="shared" si="58"/>
        <v>#N/A</v>
      </c>
      <c r="AM118" s="181" t="e">
        <f t="shared" si="60"/>
        <v>#N/A</v>
      </c>
      <c r="AR118" s="181" t="e">
        <f t="shared" si="62"/>
        <v>#N/A</v>
      </c>
      <c r="AW118" s="181" t="e">
        <f t="shared" si="64"/>
        <v>#N/A</v>
      </c>
    </row>
    <row r="119" spans="13:49">
      <c r="M119" s="185" t="e">
        <f>RANK(K119, K$91:$K$127)</f>
        <v>#N/A</v>
      </c>
      <c r="S119" s="181" t="e">
        <f t="shared" si="53"/>
        <v>#N/A</v>
      </c>
      <c r="X119" s="181" t="e">
        <f t="shared" si="54"/>
        <v>#N/A</v>
      </c>
      <c r="AC119" s="181" t="e">
        <f t="shared" si="56"/>
        <v>#N/A</v>
      </c>
      <c r="AH119" s="181" t="e">
        <f t="shared" si="58"/>
        <v>#N/A</v>
      </c>
      <c r="AM119" s="181" t="e">
        <f t="shared" si="60"/>
        <v>#N/A</v>
      </c>
      <c r="AR119" s="181" t="e">
        <f t="shared" si="62"/>
        <v>#N/A</v>
      </c>
      <c r="AW119" s="181" t="e">
        <f t="shared" si="64"/>
        <v>#N/A</v>
      </c>
    </row>
    <row r="120" spans="13:49">
      <c r="M120" s="185" t="e">
        <f>RANK(K120, K$91:$K$127)</f>
        <v>#N/A</v>
      </c>
      <c r="S120" s="181" t="e">
        <f t="shared" si="53"/>
        <v>#N/A</v>
      </c>
      <c r="X120" s="181" t="e">
        <f t="shared" si="54"/>
        <v>#N/A</v>
      </c>
      <c r="AC120" s="181" t="e">
        <f t="shared" si="56"/>
        <v>#N/A</v>
      </c>
      <c r="AH120" s="181" t="e">
        <f t="shared" si="58"/>
        <v>#N/A</v>
      </c>
      <c r="AM120" s="181" t="e">
        <f t="shared" si="60"/>
        <v>#N/A</v>
      </c>
      <c r="AR120" s="181" t="e">
        <f t="shared" si="62"/>
        <v>#N/A</v>
      </c>
      <c r="AW120" s="181" t="e">
        <f t="shared" si="64"/>
        <v>#N/A</v>
      </c>
    </row>
    <row r="121" spans="13:49">
      <c r="M121" s="185" t="e">
        <f>RANK(K121, K$91:$K$127)</f>
        <v>#N/A</v>
      </c>
      <c r="S121" s="181" t="e">
        <f t="shared" si="53"/>
        <v>#N/A</v>
      </c>
      <c r="X121" s="181" t="e">
        <f t="shared" si="54"/>
        <v>#N/A</v>
      </c>
      <c r="AC121" s="181" t="e">
        <f t="shared" si="56"/>
        <v>#N/A</v>
      </c>
      <c r="AH121" s="181" t="e">
        <f t="shared" si="58"/>
        <v>#N/A</v>
      </c>
      <c r="AM121" s="181" t="e">
        <f t="shared" si="60"/>
        <v>#N/A</v>
      </c>
      <c r="AR121" s="181" t="e">
        <f t="shared" si="62"/>
        <v>#N/A</v>
      </c>
      <c r="AW121" s="181" t="e">
        <f t="shared" si="64"/>
        <v>#N/A</v>
      </c>
    </row>
    <row r="122" spans="13:49">
      <c r="M122" s="185" t="e">
        <f>RANK(K122, K$91:$K$127)</f>
        <v>#N/A</v>
      </c>
      <c r="S122" s="181" t="e">
        <f t="shared" si="53"/>
        <v>#N/A</v>
      </c>
      <c r="X122" s="181" t="e">
        <f t="shared" si="54"/>
        <v>#N/A</v>
      </c>
      <c r="AC122" s="181" t="e">
        <f t="shared" si="56"/>
        <v>#N/A</v>
      </c>
      <c r="AH122" s="181" t="e">
        <f t="shared" si="58"/>
        <v>#N/A</v>
      </c>
      <c r="AM122" s="181" t="e">
        <f t="shared" si="60"/>
        <v>#N/A</v>
      </c>
      <c r="AR122" s="181" t="e">
        <f t="shared" si="62"/>
        <v>#N/A</v>
      </c>
      <c r="AW122" s="181" t="e">
        <f t="shared" si="64"/>
        <v>#N/A</v>
      </c>
    </row>
    <row r="123" spans="13:49">
      <c r="M123" s="185" t="e">
        <f>RANK(K123, K$91:$K$127)</f>
        <v>#N/A</v>
      </c>
      <c r="S123" s="181" t="e">
        <f t="shared" si="53"/>
        <v>#N/A</v>
      </c>
      <c r="X123" s="181" t="e">
        <f t="shared" si="54"/>
        <v>#N/A</v>
      </c>
      <c r="AC123" s="181" t="e">
        <f t="shared" si="56"/>
        <v>#N/A</v>
      </c>
      <c r="AH123" s="181" t="e">
        <f t="shared" si="58"/>
        <v>#N/A</v>
      </c>
      <c r="AM123" s="181" t="e">
        <f t="shared" si="60"/>
        <v>#N/A</v>
      </c>
      <c r="AR123" s="181" t="e">
        <f t="shared" si="62"/>
        <v>#N/A</v>
      </c>
      <c r="AW123" s="181" t="e">
        <f t="shared" si="64"/>
        <v>#N/A</v>
      </c>
    </row>
    <row r="124" spans="13:49">
      <c r="M124" s="185" t="e">
        <f>RANK(K124, K$91:$K$127)</f>
        <v>#N/A</v>
      </c>
      <c r="S124" s="181" t="e">
        <f t="shared" si="53"/>
        <v>#N/A</v>
      </c>
      <c r="X124" s="181" t="e">
        <f t="shared" si="54"/>
        <v>#N/A</v>
      </c>
      <c r="AC124" s="181" t="e">
        <f t="shared" si="56"/>
        <v>#N/A</v>
      </c>
      <c r="AH124" s="181" t="e">
        <f t="shared" si="58"/>
        <v>#N/A</v>
      </c>
      <c r="AM124" s="181" t="e">
        <f t="shared" si="60"/>
        <v>#N/A</v>
      </c>
      <c r="AR124" s="181" t="e">
        <f t="shared" si="62"/>
        <v>#N/A</v>
      </c>
      <c r="AW124" s="181" t="e">
        <f t="shared" si="64"/>
        <v>#N/A</v>
      </c>
    </row>
    <row r="125" spans="13:49">
      <c r="M125" s="185" t="e">
        <f>RANK(K125, K$91:$K$127)</f>
        <v>#N/A</v>
      </c>
      <c r="S125" s="181" t="e">
        <f t="shared" si="53"/>
        <v>#N/A</v>
      </c>
      <c r="X125" s="181" t="e">
        <f t="shared" si="54"/>
        <v>#N/A</v>
      </c>
      <c r="AC125" s="181" t="e">
        <f t="shared" si="56"/>
        <v>#N/A</v>
      </c>
      <c r="AH125" s="181" t="e">
        <f t="shared" si="58"/>
        <v>#N/A</v>
      </c>
      <c r="AM125" s="181" t="e">
        <f t="shared" si="60"/>
        <v>#N/A</v>
      </c>
      <c r="AR125" s="181" t="e">
        <f t="shared" si="62"/>
        <v>#N/A</v>
      </c>
      <c r="AW125" s="181" t="e">
        <f t="shared" si="64"/>
        <v>#N/A</v>
      </c>
    </row>
    <row r="126" spans="13:49">
      <c r="M126" s="185" t="e">
        <f>RANK(K126, K$91:$K$127)</f>
        <v>#N/A</v>
      </c>
      <c r="S126" s="181" t="e">
        <f t="shared" si="53"/>
        <v>#N/A</v>
      </c>
      <c r="X126" s="181" t="e">
        <f t="shared" si="54"/>
        <v>#N/A</v>
      </c>
      <c r="AC126" s="181" t="e">
        <f t="shared" si="56"/>
        <v>#N/A</v>
      </c>
      <c r="AH126" s="181" t="e">
        <f t="shared" si="58"/>
        <v>#N/A</v>
      </c>
      <c r="AM126" s="181" t="e">
        <f t="shared" si="60"/>
        <v>#N/A</v>
      </c>
      <c r="AR126" s="181" t="e">
        <f t="shared" si="62"/>
        <v>#N/A</v>
      </c>
      <c r="AW126" s="181" t="e">
        <f t="shared" si="64"/>
        <v>#N/A</v>
      </c>
    </row>
  </sheetData>
  <mergeCells count="235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AJ86:AN86"/>
    <mergeCell ref="AO86:AS8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86:AX86"/>
    <mergeCell ref="P87:T87"/>
    <mergeCell ref="U87:Y87"/>
    <mergeCell ref="Z87:AD87"/>
    <mergeCell ref="AE87:AI87"/>
    <mergeCell ref="AJ87:AN87"/>
    <mergeCell ref="AO87:AS87"/>
    <mergeCell ref="AT87:AX87"/>
    <mergeCell ref="B88:B90"/>
    <mergeCell ref="C88:D90"/>
    <mergeCell ref="E88:G88"/>
    <mergeCell ref="H88:H90"/>
    <mergeCell ref="I88:K88"/>
    <mergeCell ref="L88:L90"/>
    <mergeCell ref="M88:M90"/>
    <mergeCell ref="N88:N105"/>
    <mergeCell ref="O88:O105"/>
    <mergeCell ref="P88:S88"/>
    <mergeCell ref="T88:T90"/>
    <mergeCell ref="U88:X88"/>
    <mergeCell ref="Y88:Y90"/>
    <mergeCell ref="Z88:AC88"/>
    <mergeCell ref="AD88:AD90"/>
    <mergeCell ref="AE88:AH88"/>
    <mergeCell ref="AN91:AN105"/>
    <mergeCell ref="AS91:AS105"/>
    <mergeCell ref="AI88:AI90"/>
    <mergeCell ref="AJ88:AM88"/>
    <mergeCell ref="AN88:AN90"/>
    <mergeCell ref="AO88:AR88"/>
    <mergeCell ref="AS88:AS90"/>
    <mergeCell ref="AT88:AW88"/>
    <mergeCell ref="AX88:AX90"/>
    <mergeCell ref="AJ89:AM89"/>
    <mergeCell ref="AO89:AR89"/>
    <mergeCell ref="AT89:AW89"/>
    <mergeCell ref="I44:K44"/>
    <mergeCell ref="L44:L46"/>
    <mergeCell ref="B91:B105"/>
    <mergeCell ref="H91:H105"/>
    <mergeCell ref="L91:L105"/>
    <mergeCell ref="T91:T105"/>
    <mergeCell ref="Y91:Y105"/>
    <mergeCell ref="AD91:AD105"/>
    <mergeCell ref="AI91:AI105"/>
    <mergeCell ref="E89:G89"/>
    <mergeCell ref="I89:K89"/>
    <mergeCell ref="P89:S89"/>
    <mergeCell ref="U89:X89"/>
    <mergeCell ref="Z89:AC89"/>
    <mergeCell ref="AE89:AH89"/>
    <mergeCell ref="N86:N87"/>
    <mergeCell ref="O86:O87"/>
    <mergeCell ref="P86:T86"/>
    <mergeCell ref="U86:Y86"/>
    <mergeCell ref="Z86:AD86"/>
    <mergeCell ref="AE86:AI86"/>
    <mergeCell ref="Z44:AC44"/>
    <mergeCell ref="AD44:AD46"/>
    <mergeCell ref="AX91:AX105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FFFFCC"/>
  </sheetPr>
  <dimension ref="A1:AX126"/>
  <sheetViews>
    <sheetView zoomScaleNormal="100" workbookViewId="0">
      <pane xSplit="13" ySplit="1" topLeftCell="N29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47" sqref="AW47:AW51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1">
      <c r="A1" s="74"/>
      <c r="B1" s="458" t="s">
        <v>744</v>
      </c>
      <c r="C1" s="174">
        <f>AVERAGE(L7,L27,L47)</f>
        <v>117.50959695748536</v>
      </c>
    </row>
    <row r="2" spans="1:50" ht="14.25" customHeight="1">
      <c r="B2" s="625" t="s">
        <v>709</v>
      </c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2"/>
      <c r="N2" s="629" t="s">
        <v>363</v>
      </c>
      <c r="O2" s="615" t="s">
        <v>105</v>
      </c>
      <c r="P2" s="617">
        <v>46203</v>
      </c>
      <c r="Q2" s="618"/>
      <c r="R2" s="618"/>
      <c r="S2" s="618"/>
      <c r="T2" s="618"/>
      <c r="U2" s="619">
        <v>46204</v>
      </c>
      <c r="V2" s="620"/>
      <c r="W2" s="620"/>
      <c r="X2" s="620"/>
      <c r="Y2" s="620"/>
      <c r="Z2" s="617">
        <v>46205</v>
      </c>
      <c r="AA2" s="618"/>
      <c r="AB2" s="618"/>
      <c r="AC2" s="618"/>
      <c r="AD2" s="618"/>
      <c r="AE2" s="619">
        <v>46206</v>
      </c>
      <c r="AF2" s="620"/>
      <c r="AG2" s="620"/>
      <c r="AH2" s="620"/>
      <c r="AI2" s="620"/>
      <c r="AJ2" s="602">
        <v>46207</v>
      </c>
      <c r="AK2" s="603"/>
      <c r="AL2" s="603"/>
      <c r="AM2" s="603"/>
      <c r="AN2" s="604"/>
      <c r="AO2" s="619">
        <v>46208</v>
      </c>
      <c r="AP2" s="620"/>
      <c r="AQ2" s="620"/>
      <c r="AR2" s="620"/>
      <c r="AS2" s="620"/>
      <c r="AT2" s="602">
        <v>46209</v>
      </c>
      <c r="AU2" s="603"/>
      <c r="AV2" s="603"/>
      <c r="AW2" s="603"/>
      <c r="AX2" s="604"/>
    </row>
    <row r="3" spans="1:50" ht="14.25" customHeight="1"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4"/>
      <c r="N3" s="630"/>
      <c r="O3" s="616"/>
      <c r="P3" s="605">
        <v>46196</v>
      </c>
      <c r="Q3" s="605"/>
      <c r="R3" s="605"/>
      <c r="S3" s="605"/>
      <c r="T3" s="605"/>
      <c r="U3" s="606">
        <v>46197</v>
      </c>
      <c r="V3" s="606"/>
      <c r="W3" s="606"/>
      <c r="X3" s="606"/>
      <c r="Y3" s="606"/>
      <c r="Z3" s="605">
        <v>46198</v>
      </c>
      <c r="AA3" s="605"/>
      <c r="AB3" s="605"/>
      <c r="AC3" s="605"/>
      <c r="AD3" s="605"/>
      <c r="AE3" s="606">
        <v>46199</v>
      </c>
      <c r="AF3" s="606"/>
      <c r="AG3" s="606"/>
      <c r="AH3" s="606"/>
      <c r="AI3" s="606"/>
      <c r="AJ3" s="607">
        <v>46200</v>
      </c>
      <c r="AK3" s="608"/>
      <c r="AL3" s="608"/>
      <c r="AM3" s="608"/>
      <c r="AN3" s="609"/>
      <c r="AO3" s="606">
        <v>46201</v>
      </c>
      <c r="AP3" s="606"/>
      <c r="AQ3" s="606"/>
      <c r="AR3" s="606"/>
      <c r="AS3" s="606"/>
      <c r="AT3" s="607">
        <v>46202</v>
      </c>
      <c r="AU3" s="608"/>
      <c r="AV3" s="608"/>
      <c r="AW3" s="608"/>
      <c r="AX3" s="609"/>
    </row>
    <row r="4" spans="1:50" ht="14.25" customHeight="1">
      <c r="B4" s="597" t="s">
        <v>162</v>
      </c>
      <c r="C4" s="597" t="s">
        <v>157</v>
      </c>
      <c r="D4" s="597"/>
      <c r="E4" s="597" t="s">
        <v>158</v>
      </c>
      <c r="F4" s="597"/>
      <c r="G4" s="597"/>
      <c r="H4" s="597" t="s">
        <v>163</v>
      </c>
      <c r="I4" s="601" t="s">
        <v>364</v>
      </c>
      <c r="J4" s="601"/>
      <c r="K4" s="601"/>
      <c r="L4" s="601" t="s">
        <v>163</v>
      </c>
      <c r="M4" s="601" t="s">
        <v>165</v>
      </c>
      <c r="N4" s="597"/>
      <c r="O4" s="597" t="s">
        <v>164</v>
      </c>
      <c r="P4" s="597" t="s">
        <v>160</v>
      </c>
      <c r="Q4" s="597"/>
      <c r="R4" s="597"/>
      <c r="S4" s="597"/>
      <c r="T4" s="597" t="s">
        <v>163</v>
      </c>
      <c r="U4" s="597" t="s">
        <v>160</v>
      </c>
      <c r="V4" s="597"/>
      <c r="W4" s="597"/>
      <c r="X4" s="597"/>
      <c r="Y4" s="597" t="s">
        <v>163</v>
      </c>
      <c r="Z4" s="597" t="s">
        <v>160</v>
      </c>
      <c r="AA4" s="597"/>
      <c r="AB4" s="597"/>
      <c r="AC4" s="597"/>
      <c r="AD4" s="597" t="s">
        <v>163</v>
      </c>
      <c r="AE4" s="597" t="s">
        <v>160</v>
      </c>
      <c r="AF4" s="597"/>
      <c r="AG4" s="597"/>
      <c r="AH4" s="597"/>
      <c r="AI4" s="597" t="s">
        <v>163</v>
      </c>
      <c r="AJ4" s="597" t="s">
        <v>160</v>
      </c>
      <c r="AK4" s="597"/>
      <c r="AL4" s="597"/>
      <c r="AM4" s="597"/>
      <c r="AN4" s="597" t="s">
        <v>163</v>
      </c>
      <c r="AO4" s="597" t="s">
        <v>160</v>
      </c>
      <c r="AP4" s="597"/>
      <c r="AQ4" s="597"/>
      <c r="AR4" s="597"/>
      <c r="AS4" s="597" t="s">
        <v>163</v>
      </c>
      <c r="AT4" s="597" t="s">
        <v>160</v>
      </c>
      <c r="AU4" s="597"/>
      <c r="AV4" s="597"/>
      <c r="AW4" s="597"/>
      <c r="AX4" s="597" t="s">
        <v>163</v>
      </c>
    </row>
    <row r="5" spans="1:50" ht="14.25" customHeight="1">
      <c r="B5" s="597"/>
      <c r="C5" s="597"/>
      <c r="D5" s="597"/>
      <c r="E5" s="597" t="s">
        <v>365</v>
      </c>
      <c r="F5" s="597"/>
      <c r="G5" s="597"/>
      <c r="H5" s="597"/>
      <c r="I5" s="601" t="s">
        <v>365</v>
      </c>
      <c r="J5" s="601"/>
      <c r="K5" s="601"/>
      <c r="L5" s="601"/>
      <c r="M5" s="601"/>
      <c r="N5" s="597"/>
      <c r="O5" s="597"/>
      <c r="P5" s="597" t="s">
        <v>366</v>
      </c>
      <c r="Q5" s="597"/>
      <c r="R5" s="597"/>
      <c r="S5" s="597"/>
      <c r="T5" s="597"/>
      <c r="U5" s="597" t="s">
        <v>366</v>
      </c>
      <c r="V5" s="597"/>
      <c r="W5" s="597"/>
      <c r="X5" s="597"/>
      <c r="Y5" s="597"/>
      <c r="Z5" s="597" t="s">
        <v>366</v>
      </c>
      <c r="AA5" s="597"/>
      <c r="AB5" s="597"/>
      <c r="AC5" s="597"/>
      <c r="AD5" s="597"/>
      <c r="AE5" s="597" t="s">
        <v>366</v>
      </c>
      <c r="AF5" s="597"/>
      <c r="AG5" s="597"/>
      <c r="AH5" s="597"/>
      <c r="AI5" s="597"/>
      <c r="AJ5" s="597" t="s">
        <v>366</v>
      </c>
      <c r="AK5" s="597"/>
      <c r="AL5" s="597"/>
      <c r="AM5" s="597"/>
      <c r="AN5" s="597"/>
      <c r="AO5" s="597" t="s">
        <v>366</v>
      </c>
      <c r="AP5" s="597"/>
      <c r="AQ5" s="597"/>
      <c r="AR5" s="597"/>
      <c r="AS5" s="597"/>
      <c r="AT5" s="597" t="s">
        <v>366</v>
      </c>
      <c r="AU5" s="597"/>
      <c r="AV5" s="597"/>
      <c r="AW5" s="597"/>
      <c r="AX5" s="597"/>
    </row>
    <row r="6" spans="1:50" ht="14.25" customHeight="1">
      <c r="B6" s="597"/>
      <c r="C6" s="597"/>
      <c r="D6" s="597"/>
      <c r="E6" s="179" t="s">
        <v>159</v>
      </c>
      <c r="F6" s="179" t="s">
        <v>367</v>
      </c>
      <c r="G6" s="179" t="s">
        <v>161</v>
      </c>
      <c r="H6" s="597"/>
      <c r="I6" s="180" t="s">
        <v>159</v>
      </c>
      <c r="J6" s="180" t="s">
        <v>367</v>
      </c>
      <c r="K6" s="180" t="s">
        <v>161</v>
      </c>
      <c r="L6" s="601"/>
      <c r="M6" s="601"/>
      <c r="N6" s="597"/>
      <c r="O6" s="597"/>
      <c r="P6" s="179" t="s">
        <v>159</v>
      </c>
      <c r="Q6" s="179" t="s">
        <v>367</v>
      </c>
      <c r="R6" s="179" t="s">
        <v>161</v>
      </c>
      <c r="S6" s="181" t="s">
        <v>165</v>
      </c>
      <c r="T6" s="597"/>
      <c r="U6" s="179" t="s">
        <v>159</v>
      </c>
      <c r="V6" s="179" t="s">
        <v>367</v>
      </c>
      <c r="W6" s="179" t="s">
        <v>161</v>
      </c>
      <c r="X6" s="181" t="s">
        <v>165</v>
      </c>
      <c r="Y6" s="597"/>
      <c r="Z6" s="179" t="s">
        <v>159</v>
      </c>
      <c r="AA6" s="179" t="s">
        <v>367</v>
      </c>
      <c r="AB6" s="179" t="s">
        <v>161</v>
      </c>
      <c r="AC6" s="181" t="s">
        <v>165</v>
      </c>
      <c r="AD6" s="597"/>
      <c r="AE6" s="179" t="s">
        <v>159</v>
      </c>
      <c r="AF6" s="179" t="s">
        <v>367</v>
      </c>
      <c r="AG6" s="179" t="s">
        <v>161</v>
      </c>
      <c r="AH6" s="181" t="s">
        <v>165</v>
      </c>
      <c r="AI6" s="597"/>
      <c r="AJ6" s="179" t="s">
        <v>159</v>
      </c>
      <c r="AK6" s="179" t="s">
        <v>367</v>
      </c>
      <c r="AL6" s="179" t="s">
        <v>161</v>
      </c>
      <c r="AM6" s="181" t="s">
        <v>165</v>
      </c>
      <c r="AN6" s="597"/>
      <c r="AO6" s="179" t="s">
        <v>159</v>
      </c>
      <c r="AP6" s="179" t="s">
        <v>367</v>
      </c>
      <c r="AQ6" s="179" t="s">
        <v>161</v>
      </c>
      <c r="AR6" s="181" t="s">
        <v>165</v>
      </c>
      <c r="AS6" s="597"/>
      <c r="AT6" s="179" t="s">
        <v>159</v>
      </c>
      <c r="AU6" s="179" t="s">
        <v>367</v>
      </c>
      <c r="AV6" s="179" t="s">
        <v>161</v>
      </c>
      <c r="AW6" s="181" t="s">
        <v>165</v>
      </c>
      <c r="AX6" s="597"/>
    </row>
    <row r="7" spans="1:50" ht="14.25" customHeight="1">
      <c r="B7" s="597" t="s">
        <v>143</v>
      </c>
      <c r="C7" s="179">
        <v>1</v>
      </c>
      <c r="D7" s="182" t="s">
        <v>650</v>
      </c>
      <c r="E7" s="183">
        <v>19</v>
      </c>
      <c r="F7" s="179">
        <v>2000</v>
      </c>
      <c r="G7" s="184">
        <f>IFERROR(F7/E7,"")</f>
        <v>105.26315789473684</v>
      </c>
      <c r="H7" s="598">
        <f>AVERAGE(G7:G21)</f>
        <v>130.42326094957676</v>
      </c>
      <c r="I7" s="185">
        <f>AVERAGE(P7,U7,Z7,AE7,AJ7,AO7,AT7)</f>
        <v>19</v>
      </c>
      <c r="J7" s="185">
        <f>AVERAGE(Q7,V7,AA7,AF7,AK7,AP7,AU7)</f>
        <v>1787.7152450743363</v>
      </c>
      <c r="K7" s="186">
        <f>AVERAGE(R7,W7,AB7,AG7,AL7,AQ7,AV7)</f>
        <v>94.090276056543999</v>
      </c>
      <c r="L7" s="599">
        <f>IFERROR(AVERAGE(K7:K21),"-")</f>
        <v>117.49028574609706</v>
      </c>
      <c r="M7" s="185">
        <f>RANK(K7, K$7:$K$21)</f>
        <v>3</v>
      </c>
      <c r="N7" s="597"/>
      <c r="O7" s="597"/>
      <c r="P7" s="187">
        <v>19</v>
      </c>
      <c r="Q7" s="187">
        <v>1785.9152450743359</v>
      </c>
      <c r="R7" s="184">
        <f>IFERROR(Q7/P7,"")</f>
        <v>93.995539214438736</v>
      </c>
      <c r="S7" s="181">
        <f>RANK(R7, R$7:R$21)</f>
        <v>3</v>
      </c>
      <c r="T7" s="598">
        <f>AVERAGE(R7:R21)</f>
        <v>117.4780652527559</v>
      </c>
      <c r="U7" s="187">
        <v>19</v>
      </c>
      <c r="V7" s="187">
        <v>1786.7152450743363</v>
      </c>
      <c r="W7" s="184">
        <f t="shared" ref="W7:W11" si="0">IFERROR(V7/U7,"")</f>
        <v>94.037644477596643</v>
      </c>
      <c r="X7" s="181">
        <f>RANK(W7, W$7:W$21)</f>
        <v>3</v>
      </c>
      <c r="Y7" s="598">
        <f>AVERAGE(W7:W21)</f>
        <v>117.49980463327117</v>
      </c>
      <c r="Z7" s="187">
        <v>19</v>
      </c>
      <c r="AA7" s="187">
        <v>1787.5152450743362</v>
      </c>
      <c r="AB7" s="184">
        <f>IFERROR(AA7/Z7,"")</f>
        <v>94.079749740754536</v>
      </c>
      <c r="AC7" s="181">
        <f>RANK(AB7, AB$7:AB$21)</f>
        <v>3</v>
      </c>
      <c r="AD7" s="598">
        <f>AVERAGE(AB7:AB21)</f>
        <v>117.49191799359505</v>
      </c>
      <c r="AE7" s="187">
        <v>19</v>
      </c>
      <c r="AF7" s="187">
        <v>1787.5152450743362</v>
      </c>
      <c r="AG7" s="184">
        <f>IFERROR(AF7/AE7,"")</f>
        <v>94.079749740754536</v>
      </c>
      <c r="AH7" s="181">
        <f>RANK(AG7, AG$7:AG$21)</f>
        <v>3</v>
      </c>
      <c r="AI7" s="598">
        <f>AVERAGE(AG7:AG21)</f>
        <v>117.47910680478387</v>
      </c>
      <c r="AJ7" s="187">
        <v>19</v>
      </c>
      <c r="AK7" s="187">
        <v>1787.9152450743361</v>
      </c>
      <c r="AL7" s="184">
        <f>IFERROR(AK7/AJ7,"")</f>
        <v>94.100802372333476</v>
      </c>
      <c r="AM7" s="181">
        <f>RANK(AL7, AL$7:AL$21)</f>
        <v>3</v>
      </c>
      <c r="AN7" s="598">
        <f>AVERAGE(AL7:AL21)</f>
        <v>117.49620141669598</v>
      </c>
      <c r="AO7" s="187">
        <v>19</v>
      </c>
      <c r="AP7" s="187">
        <v>1788.9152450743361</v>
      </c>
      <c r="AQ7" s="184">
        <f>IFERROR(AP7/AO7,"")</f>
        <v>94.153433951280846</v>
      </c>
      <c r="AR7" s="181">
        <f>RANK(AQ7, AQ$7:AQ$21)</f>
        <v>3</v>
      </c>
      <c r="AS7" s="598">
        <f>AVERAGE(AQ7:AQ21)</f>
        <v>117.49033612409384</v>
      </c>
      <c r="AT7" s="187">
        <v>19</v>
      </c>
      <c r="AU7" s="187">
        <v>1789.5152450743362</v>
      </c>
      <c r="AV7" s="184">
        <f>IFERROR(AU7/AT7,"")</f>
        <v>94.185012898649276</v>
      </c>
      <c r="AW7" s="181">
        <f>RANK(AV7, AV$7:AV$21)</f>
        <v>3</v>
      </c>
      <c r="AX7" s="598">
        <f>AVERAGE(AV7:AV21)</f>
        <v>117.49656799748365</v>
      </c>
    </row>
    <row r="8" spans="1:50" ht="14.25" customHeight="1">
      <c r="B8" s="597"/>
      <c r="C8" s="179">
        <v>2</v>
      </c>
      <c r="D8" s="182" t="s">
        <v>354</v>
      </c>
      <c r="E8" s="179">
        <v>13</v>
      </c>
      <c r="F8" s="179">
        <v>1200</v>
      </c>
      <c r="G8" s="184">
        <f t="shared" ref="G8:G11" si="1">IFERROR(F8/E8,"")</f>
        <v>92.307692307692307</v>
      </c>
      <c r="H8" s="598"/>
      <c r="I8" s="185">
        <f>AVERAGE(P8,U8,Z8,AE8,AJ8,AO8,AT8)</f>
        <v>13</v>
      </c>
      <c r="J8" s="185">
        <f t="shared" ref="J8:K11" si="2">AVERAGE(Q8,V8,AA8,AF8,AK8,AP8,AU8)</f>
        <v>1082.5362039531706</v>
      </c>
      <c r="K8" s="186">
        <f t="shared" si="2"/>
        <v>83.272015688705451</v>
      </c>
      <c r="L8" s="599"/>
      <c r="M8" s="185">
        <f>RANK(K8, K$7:$K$21)</f>
        <v>4</v>
      </c>
      <c r="N8" s="597"/>
      <c r="O8" s="597"/>
      <c r="P8" s="187">
        <v>13</v>
      </c>
      <c r="Q8" s="187">
        <v>1083.1704896674564</v>
      </c>
      <c r="R8" s="184">
        <f t="shared" ref="R8:R11" si="3">IFERROR(Q8/P8,"")</f>
        <v>83.320806897496652</v>
      </c>
      <c r="S8" s="181">
        <f t="shared" ref="S8:S11" si="4">RANK(R8, R$7:R$21)</f>
        <v>4</v>
      </c>
      <c r="T8" s="598"/>
      <c r="U8" s="187">
        <v>13</v>
      </c>
      <c r="V8" s="187">
        <v>1082.6904896674564</v>
      </c>
      <c r="W8" s="184">
        <f t="shared" si="0"/>
        <v>83.283883820573564</v>
      </c>
      <c r="X8" s="181">
        <f t="shared" ref="X8:X11" si="5">RANK(W8, W$7:W$21)</f>
        <v>4</v>
      </c>
      <c r="Y8" s="598"/>
      <c r="Z8" s="187">
        <v>13</v>
      </c>
      <c r="AA8" s="187">
        <v>1082.9304896674562</v>
      </c>
      <c r="AB8" s="184">
        <f t="shared" ref="AB8:AB11" si="6">IFERROR(AA8/Z8,"")</f>
        <v>83.302345359035087</v>
      </c>
      <c r="AC8" s="181">
        <f t="shared" ref="AC8:AC11" si="7">RANK(AB8, AB$7:AB$21)</f>
        <v>4</v>
      </c>
      <c r="AD8" s="598"/>
      <c r="AE8" s="187">
        <v>13</v>
      </c>
      <c r="AF8" s="187">
        <v>1082.5704896674563</v>
      </c>
      <c r="AG8" s="184">
        <f t="shared" ref="AG8:AG11" si="8">IFERROR(AF8/AE8,"")</f>
        <v>83.274653051342796</v>
      </c>
      <c r="AH8" s="181">
        <f t="shared" ref="AH8:AH11" si="9">RANK(AG8, AG$7:AG$21)</f>
        <v>4</v>
      </c>
      <c r="AI8" s="598"/>
      <c r="AJ8" s="187">
        <v>13</v>
      </c>
      <c r="AK8" s="187">
        <v>1082.3304896674565</v>
      </c>
      <c r="AL8" s="184">
        <f t="shared" ref="AL8:AL11" si="10">IFERROR(AK8/AJ8,"")</f>
        <v>83.256191512881273</v>
      </c>
      <c r="AM8" s="181">
        <f t="shared" ref="AM8:AM11" si="11">RANK(AL8, AL$7:AL$21)</f>
        <v>4</v>
      </c>
      <c r="AN8" s="598"/>
      <c r="AO8" s="187">
        <v>13</v>
      </c>
      <c r="AP8" s="187">
        <v>1082.2104896674566</v>
      </c>
      <c r="AQ8" s="184">
        <f t="shared" ref="AQ8:AQ11" si="12">IFERROR(AP8/AO8,"")</f>
        <v>83.246960743650504</v>
      </c>
      <c r="AR8" s="181">
        <f t="shared" ref="AR8:AR11" si="13">RANK(AQ8, AQ$7:AQ$21)</f>
        <v>4</v>
      </c>
      <c r="AS8" s="598"/>
      <c r="AT8" s="187">
        <v>13</v>
      </c>
      <c r="AU8" s="187">
        <v>1081.8504896674567</v>
      </c>
      <c r="AV8" s="184">
        <f t="shared" ref="AV8:AV11" si="14">IFERROR(AU8/AT8,"")</f>
        <v>83.219268435958213</v>
      </c>
      <c r="AW8" s="181">
        <f t="shared" ref="AW8:AW11" si="15">RANK(AV8, AV$7:AV$21)</f>
        <v>4</v>
      </c>
      <c r="AX8" s="598"/>
    </row>
    <row r="9" spans="1:50" ht="14.25" customHeight="1">
      <c r="B9" s="597"/>
      <c r="C9" s="179">
        <v>3</v>
      </c>
      <c r="D9" s="182" t="s">
        <v>615</v>
      </c>
      <c r="E9" s="179">
        <v>11</v>
      </c>
      <c r="F9" s="179">
        <v>2000</v>
      </c>
      <c r="G9" s="184">
        <f t="shared" si="1"/>
        <v>181.81818181818181</v>
      </c>
      <c r="H9" s="598"/>
      <c r="I9" s="185">
        <f>AVERAGE(P9,U9,Z9,AE9,AJ9,AO9,AT9)</f>
        <v>11</v>
      </c>
      <c r="J9" s="185">
        <f t="shared" si="2"/>
        <v>1804.6932335150127</v>
      </c>
      <c r="K9" s="186">
        <f t="shared" si="2"/>
        <v>164.0630212286375</v>
      </c>
      <c r="L9" s="599"/>
      <c r="M9" s="185">
        <f>RANK(K9, K$7:$K$21)</f>
        <v>2</v>
      </c>
      <c r="N9" s="597"/>
      <c r="O9" s="597"/>
      <c r="P9" s="187">
        <v>11</v>
      </c>
      <c r="Q9" s="187">
        <v>1805.6739328160659</v>
      </c>
      <c r="R9" s="184">
        <f t="shared" si="3"/>
        <v>164.15217571055143</v>
      </c>
      <c r="S9" s="181">
        <f t="shared" si="4"/>
        <v>1</v>
      </c>
      <c r="T9" s="598"/>
      <c r="U9" s="187">
        <v>11</v>
      </c>
      <c r="V9" s="187">
        <v>1805.273932816066</v>
      </c>
      <c r="W9" s="184">
        <f t="shared" si="0"/>
        <v>164.11581207418783</v>
      </c>
      <c r="X9" s="181">
        <f t="shared" si="5"/>
        <v>2</v>
      </c>
      <c r="Y9" s="598"/>
      <c r="Z9" s="187">
        <v>11</v>
      </c>
      <c r="AA9" s="187">
        <v>1804.4739328160661</v>
      </c>
      <c r="AB9" s="184">
        <f t="shared" si="6"/>
        <v>164.04308480146054</v>
      </c>
      <c r="AC9" s="181">
        <f t="shared" si="7"/>
        <v>2</v>
      </c>
      <c r="AD9" s="598"/>
      <c r="AE9" s="187">
        <v>11</v>
      </c>
      <c r="AF9" s="187">
        <v>1803.6739328160663</v>
      </c>
      <c r="AG9" s="184">
        <f t="shared" si="8"/>
        <v>163.9703575287333</v>
      </c>
      <c r="AH9" s="181">
        <f t="shared" si="9"/>
        <v>2</v>
      </c>
      <c r="AI9" s="598"/>
      <c r="AJ9" s="187">
        <v>11</v>
      </c>
      <c r="AK9" s="187">
        <v>1805.1856344469406</v>
      </c>
      <c r="AL9" s="184">
        <f t="shared" si="10"/>
        <v>164.10778494972189</v>
      </c>
      <c r="AM9" s="181">
        <f t="shared" si="11"/>
        <v>2</v>
      </c>
      <c r="AN9" s="598"/>
      <c r="AO9" s="187">
        <v>11</v>
      </c>
      <c r="AP9" s="187">
        <v>1804.1856344469411</v>
      </c>
      <c r="AQ9" s="184">
        <f t="shared" si="12"/>
        <v>164.01687585881282</v>
      </c>
      <c r="AR9" s="181">
        <f t="shared" si="13"/>
        <v>2</v>
      </c>
      <c r="AS9" s="598"/>
      <c r="AT9" s="187">
        <v>11</v>
      </c>
      <c r="AU9" s="187">
        <v>1804.3856344469414</v>
      </c>
      <c r="AV9" s="184">
        <f t="shared" si="14"/>
        <v>164.03505767699468</v>
      </c>
      <c r="AW9" s="181">
        <f t="shared" si="15"/>
        <v>2</v>
      </c>
      <c r="AX9" s="598"/>
    </row>
    <row r="10" spans="1:50" ht="14.25" customHeight="1">
      <c r="B10" s="597"/>
      <c r="C10" s="179">
        <v>4</v>
      </c>
      <c r="D10" s="182" t="s">
        <v>616</v>
      </c>
      <c r="E10" s="179">
        <v>22</v>
      </c>
      <c r="F10" s="179">
        <v>2000</v>
      </c>
      <c r="G10" s="184">
        <f t="shared" si="1"/>
        <v>90.909090909090907</v>
      </c>
      <c r="H10" s="598"/>
      <c r="I10" s="185">
        <f t="shared" ref="I10:I11" si="16">AVERAGE(P10,U10,Z10,AE10,AJ10,AO10,AT10)</f>
        <v>22</v>
      </c>
      <c r="J10" s="185">
        <f t="shared" si="2"/>
        <v>1800.2072198559144</v>
      </c>
      <c r="K10" s="186">
        <f t="shared" si="2"/>
        <v>81.827600902541576</v>
      </c>
      <c r="L10" s="599"/>
      <c r="M10" s="185">
        <f>RANK(K10, K$7:$K$21)</f>
        <v>5</v>
      </c>
      <c r="N10" s="597"/>
      <c r="O10" s="597"/>
      <c r="P10" s="187">
        <v>22</v>
      </c>
      <c r="Q10" s="187">
        <v>1800.2072198559138</v>
      </c>
      <c r="R10" s="184">
        <f t="shared" si="3"/>
        <v>81.827600902541533</v>
      </c>
      <c r="S10" s="181">
        <f t="shared" si="4"/>
        <v>5</v>
      </c>
      <c r="T10" s="598"/>
      <c r="U10" s="187">
        <v>22</v>
      </c>
      <c r="V10" s="187">
        <v>1800.8072198559137</v>
      </c>
      <c r="W10" s="184">
        <f t="shared" si="0"/>
        <v>81.854873629814264</v>
      </c>
      <c r="X10" s="181">
        <f t="shared" si="5"/>
        <v>5</v>
      </c>
      <c r="Y10" s="598"/>
      <c r="Z10" s="187">
        <v>22</v>
      </c>
      <c r="AA10" s="187">
        <v>1801.0072198559142</v>
      </c>
      <c r="AB10" s="184">
        <f t="shared" si="6"/>
        <v>81.863964538905194</v>
      </c>
      <c r="AC10" s="181">
        <f t="shared" si="7"/>
        <v>5</v>
      </c>
      <c r="AD10" s="598"/>
      <c r="AE10" s="187">
        <v>22</v>
      </c>
      <c r="AF10" s="187">
        <v>1800.2072198559144</v>
      </c>
      <c r="AG10" s="184">
        <f t="shared" si="8"/>
        <v>81.827600902541562</v>
      </c>
      <c r="AH10" s="181">
        <f t="shared" si="9"/>
        <v>5</v>
      </c>
      <c r="AI10" s="598"/>
      <c r="AJ10" s="187">
        <v>22</v>
      </c>
      <c r="AK10" s="187">
        <v>1799.8072198559146</v>
      </c>
      <c r="AL10" s="184">
        <f t="shared" si="10"/>
        <v>81.80941908435976</v>
      </c>
      <c r="AM10" s="181">
        <f t="shared" si="11"/>
        <v>5</v>
      </c>
      <c r="AN10" s="598"/>
      <c r="AO10" s="187">
        <v>22</v>
      </c>
      <c r="AP10" s="187">
        <v>1799.807219855915</v>
      </c>
      <c r="AQ10" s="184">
        <f t="shared" si="12"/>
        <v>81.809419084359774</v>
      </c>
      <c r="AR10" s="181">
        <f t="shared" si="13"/>
        <v>5</v>
      </c>
      <c r="AS10" s="598"/>
      <c r="AT10" s="187">
        <v>22</v>
      </c>
      <c r="AU10" s="187">
        <v>1799.6072198559154</v>
      </c>
      <c r="AV10" s="184">
        <f t="shared" si="14"/>
        <v>81.800328175268888</v>
      </c>
      <c r="AW10" s="181">
        <f t="shared" si="15"/>
        <v>5</v>
      </c>
      <c r="AX10" s="598"/>
    </row>
    <row r="11" spans="1:50" ht="14.25" customHeight="1">
      <c r="B11" s="597"/>
      <c r="C11" s="179">
        <v>5</v>
      </c>
      <c r="D11" s="182" t="s">
        <v>617</v>
      </c>
      <c r="E11" s="179">
        <v>11</v>
      </c>
      <c r="F11" s="179">
        <v>2000</v>
      </c>
      <c r="G11" s="184">
        <f t="shared" si="1"/>
        <v>181.81818181818181</v>
      </c>
      <c r="H11" s="598"/>
      <c r="I11" s="185">
        <f t="shared" si="16"/>
        <v>11</v>
      </c>
      <c r="J11" s="185">
        <f t="shared" si="2"/>
        <v>1806.1836633946248</v>
      </c>
      <c r="K11" s="186">
        <f t="shared" si="2"/>
        <v>164.19851485405681</v>
      </c>
      <c r="L11" s="599"/>
      <c r="M11" s="185">
        <f>RANK(K11, K$7:$K$21)</f>
        <v>1</v>
      </c>
      <c r="N11" s="597"/>
      <c r="O11" s="597"/>
      <c r="P11" s="187">
        <v>11</v>
      </c>
      <c r="Q11" s="187">
        <v>1805.0362389262627</v>
      </c>
      <c r="R11" s="184">
        <f t="shared" si="3"/>
        <v>164.09420353875115</v>
      </c>
      <c r="S11" s="181">
        <f t="shared" si="4"/>
        <v>2</v>
      </c>
      <c r="T11" s="598"/>
      <c r="U11" s="187">
        <v>11</v>
      </c>
      <c r="V11" s="187">
        <v>1806.2749008060186</v>
      </c>
      <c r="W11" s="184">
        <f t="shared" si="0"/>
        <v>164.20680916418351</v>
      </c>
      <c r="X11" s="181">
        <f t="shared" si="5"/>
        <v>1</v>
      </c>
      <c r="Y11" s="598"/>
      <c r="Z11" s="187">
        <v>11</v>
      </c>
      <c r="AA11" s="187">
        <v>1805.8749008060186</v>
      </c>
      <c r="AB11" s="184">
        <f t="shared" si="6"/>
        <v>164.17044552781988</v>
      </c>
      <c r="AC11" s="181">
        <f t="shared" si="7"/>
        <v>1</v>
      </c>
      <c r="AD11" s="598"/>
      <c r="AE11" s="187">
        <v>11</v>
      </c>
      <c r="AF11" s="187">
        <v>1806.6749008060185</v>
      </c>
      <c r="AG11" s="184">
        <f t="shared" si="8"/>
        <v>164.24317280054714</v>
      </c>
      <c r="AH11" s="181">
        <f t="shared" si="9"/>
        <v>1</v>
      </c>
      <c r="AI11" s="598"/>
      <c r="AJ11" s="187">
        <v>11</v>
      </c>
      <c r="AK11" s="187">
        <v>1806.2749008060186</v>
      </c>
      <c r="AL11" s="184">
        <f t="shared" si="10"/>
        <v>164.20680916418351</v>
      </c>
      <c r="AM11" s="181">
        <f t="shared" si="11"/>
        <v>1</v>
      </c>
      <c r="AN11" s="598"/>
      <c r="AO11" s="187">
        <v>11</v>
      </c>
      <c r="AP11" s="187">
        <v>1806.4749008060185</v>
      </c>
      <c r="AQ11" s="184">
        <f t="shared" si="12"/>
        <v>164.22499098236531</v>
      </c>
      <c r="AR11" s="181">
        <f t="shared" si="13"/>
        <v>1</v>
      </c>
      <c r="AS11" s="598"/>
      <c r="AT11" s="187">
        <v>11</v>
      </c>
      <c r="AU11" s="187">
        <v>1806.6749008060187</v>
      </c>
      <c r="AV11" s="184">
        <f t="shared" si="14"/>
        <v>164.24317280054717</v>
      </c>
      <c r="AW11" s="181">
        <f t="shared" si="15"/>
        <v>1</v>
      </c>
      <c r="AX11" s="598"/>
    </row>
    <row r="12" spans="1:50" ht="14.25" customHeight="1">
      <c r="B12" s="597"/>
      <c r="C12" s="179">
        <v>6</v>
      </c>
      <c r="D12" s="182"/>
      <c r="E12" s="179"/>
      <c r="F12" s="179"/>
      <c r="G12" s="184"/>
      <c r="H12" s="598"/>
      <c r="I12" s="185"/>
      <c r="J12" s="185"/>
      <c r="K12" s="186"/>
      <c r="L12" s="599"/>
      <c r="M12" s="185"/>
      <c r="N12" s="597"/>
      <c r="O12" s="597"/>
      <c r="P12" s="187"/>
      <c r="Q12" s="187"/>
      <c r="R12" s="184"/>
      <c r="S12" s="181"/>
      <c r="T12" s="598"/>
      <c r="U12" s="187"/>
      <c r="V12" s="187"/>
      <c r="W12" s="184"/>
      <c r="X12" s="181"/>
      <c r="Y12" s="598"/>
      <c r="Z12" s="187"/>
      <c r="AA12" s="187"/>
      <c r="AB12" s="184"/>
      <c r="AC12" s="181"/>
      <c r="AD12" s="598"/>
      <c r="AE12" s="187"/>
      <c r="AF12" s="187"/>
      <c r="AG12" s="184"/>
      <c r="AH12" s="181"/>
      <c r="AI12" s="598"/>
      <c r="AJ12" s="187"/>
      <c r="AK12" s="187"/>
      <c r="AL12" s="184"/>
      <c r="AM12" s="181"/>
      <c r="AN12" s="598"/>
      <c r="AO12" s="187"/>
      <c r="AP12" s="187"/>
      <c r="AQ12" s="184"/>
      <c r="AR12" s="181"/>
      <c r="AS12" s="598"/>
      <c r="AT12" s="187"/>
      <c r="AU12" s="187"/>
      <c r="AV12" s="184"/>
      <c r="AW12" s="181"/>
      <c r="AX12" s="598"/>
    </row>
    <row r="13" spans="1:50" ht="14.25" customHeight="1">
      <c r="B13" s="597"/>
      <c r="C13" s="179">
        <v>7</v>
      </c>
      <c r="D13" s="182"/>
      <c r="E13" s="179"/>
      <c r="F13" s="179"/>
      <c r="G13" s="184"/>
      <c r="H13" s="598"/>
      <c r="I13" s="185"/>
      <c r="J13" s="185"/>
      <c r="K13" s="186"/>
      <c r="L13" s="599"/>
      <c r="M13" s="185"/>
      <c r="N13" s="597"/>
      <c r="O13" s="597"/>
      <c r="P13" s="187"/>
      <c r="Q13" s="187"/>
      <c r="R13" s="184"/>
      <c r="S13" s="181"/>
      <c r="T13" s="598"/>
      <c r="U13" s="187"/>
      <c r="V13" s="187"/>
      <c r="W13" s="184"/>
      <c r="X13" s="181"/>
      <c r="Y13" s="598"/>
      <c r="Z13" s="187"/>
      <c r="AA13" s="187"/>
      <c r="AB13" s="184"/>
      <c r="AC13" s="181"/>
      <c r="AD13" s="598"/>
      <c r="AE13" s="187"/>
      <c r="AF13" s="187"/>
      <c r="AG13" s="184"/>
      <c r="AH13" s="181"/>
      <c r="AI13" s="598"/>
      <c r="AJ13" s="187"/>
      <c r="AK13" s="187"/>
      <c r="AL13" s="184"/>
      <c r="AM13" s="181"/>
      <c r="AN13" s="598"/>
      <c r="AO13" s="187"/>
      <c r="AP13" s="187"/>
      <c r="AQ13" s="184"/>
      <c r="AR13" s="181"/>
      <c r="AS13" s="598"/>
      <c r="AT13" s="187"/>
      <c r="AU13" s="187"/>
      <c r="AV13" s="184"/>
      <c r="AW13" s="181"/>
      <c r="AX13" s="598"/>
    </row>
    <row r="14" spans="1:50" ht="14.25" customHeight="1">
      <c r="B14" s="597"/>
      <c r="C14" s="179">
        <v>8</v>
      </c>
      <c r="D14" s="182"/>
      <c r="E14" s="179"/>
      <c r="F14" s="179"/>
      <c r="G14" s="184"/>
      <c r="H14" s="598"/>
      <c r="I14" s="185"/>
      <c r="J14" s="185"/>
      <c r="K14" s="186"/>
      <c r="L14" s="599"/>
      <c r="M14" s="185"/>
      <c r="N14" s="597"/>
      <c r="O14" s="597"/>
      <c r="P14" s="187"/>
      <c r="Q14" s="187"/>
      <c r="R14" s="184"/>
      <c r="S14" s="181"/>
      <c r="T14" s="598"/>
      <c r="U14" s="187"/>
      <c r="V14" s="187"/>
      <c r="W14" s="184"/>
      <c r="X14" s="181"/>
      <c r="Y14" s="598"/>
      <c r="Z14" s="187"/>
      <c r="AA14" s="187"/>
      <c r="AB14" s="184"/>
      <c r="AC14" s="181"/>
      <c r="AD14" s="598"/>
      <c r="AE14" s="187"/>
      <c r="AF14" s="187"/>
      <c r="AG14" s="184"/>
      <c r="AH14" s="181"/>
      <c r="AI14" s="598"/>
      <c r="AJ14" s="187"/>
      <c r="AK14" s="187"/>
      <c r="AL14" s="184"/>
      <c r="AM14" s="181"/>
      <c r="AN14" s="598"/>
      <c r="AO14" s="187"/>
      <c r="AP14" s="187"/>
      <c r="AQ14" s="184"/>
      <c r="AR14" s="181"/>
      <c r="AS14" s="598"/>
      <c r="AT14" s="187"/>
      <c r="AU14" s="187"/>
      <c r="AV14" s="184"/>
      <c r="AW14" s="181"/>
      <c r="AX14" s="598"/>
    </row>
    <row r="15" spans="1:50" ht="14.25" customHeight="1">
      <c r="B15" s="597"/>
      <c r="C15" s="179">
        <v>9</v>
      </c>
      <c r="D15" s="182"/>
      <c r="E15" s="179"/>
      <c r="F15" s="179"/>
      <c r="G15" s="184"/>
      <c r="H15" s="598"/>
      <c r="I15" s="185"/>
      <c r="J15" s="185"/>
      <c r="K15" s="186"/>
      <c r="L15" s="599"/>
      <c r="M15" s="185"/>
      <c r="N15" s="597"/>
      <c r="O15" s="597"/>
      <c r="P15" s="187"/>
      <c r="Q15" s="187"/>
      <c r="R15" s="184"/>
      <c r="S15" s="181"/>
      <c r="T15" s="598"/>
      <c r="U15" s="187"/>
      <c r="V15" s="187"/>
      <c r="W15" s="184"/>
      <c r="X15" s="181"/>
      <c r="Y15" s="598"/>
      <c r="Z15" s="187"/>
      <c r="AA15" s="187"/>
      <c r="AB15" s="184"/>
      <c r="AC15" s="181"/>
      <c r="AD15" s="598"/>
      <c r="AE15" s="187"/>
      <c r="AF15" s="187"/>
      <c r="AG15" s="184"/>
      <c r="AH15" s="181"/>
      <c r="AI15" s="598"/>
      <c r="AJ15" s="187"/>
      <c r="AK15" s="187"/>
      <c r="AL15" s="184"/>
      <c r="AM15" s="181"/>
      <c r="AN15" s="598"/>
      <c r="AO15" s="187"/>
      <c r="AP15" s="187"/>
      <c r="AQ15" s="184"/>
      <c r="AR15" s="181"/>
      <c r="AS15" s="598"/>
      <c r="AT15" s="187"/>
      <c r="AU15" s="187"/>
      <c r="AV15" s="184"/>
      <c r="AW15" s="181"/>
      <c r="AX15" s="598"/>
    </row>
    <row r="16" spans="1:50" ht="14.25" customHeight="1">
      <c r="B16" s="597"/>
      <c r="C16" s="179">
        <v>10</v>
      </c>
      <c r="D16" s="182"/>
      <c r="E16" s="179"/>
      <c r="F16" s="179"/>
      <c r="G16" s="184"/>
      <c r="H16" s="598"/>
      <c r="I16" s="185"/>
      <c r="J16" s="185"/>
      <c r="K16" s="186"/>
      <c r="L16" s="599"/>
      <c r="M16" s="185"/>
      <c r="N16" s="597"/>
      <c r="O16" s="597"/>
      <c r="P16" s="187"/>
      <c r="Q16" s="187"/>
      <c r="R16" s="184"/>
      <c r="S16" s="181"/>
      <c r="T16" s="598"/>
      <c r="U16" s="187"/>
      <c r="V16" s="187"/>
      <c r="W16" s="184"/>
      <c r="X16" s="181"/>
      <c r="Y16" s="598"/>
      <c r="Z16" s="187"/>
      <c r="AA16" s="187"/>
      <c r="AB16" s="184"/>
      <c r="AC16" s="181"/>
      <c r="AD16" s="598"/>
      <c r="AE16" s="187"/>
      <c r="AF16" s="187"/>
      <c r="AG16" s="184"/>
      <c r="AH16" s="181"/>
      <c r="AI16" s="598"/>
      <c r="AJ16" s="187"/>
      <c r="AK16" s="187"/>
      <c r="AL16" s="184"/>
      <c r="AM16" s="181"/>
      <c r="AN16" s="598"/>
      <c r="AO16" s="187"/>
      <c r="AP16" s="187"/>
      <c r="AQ16" s="184"/>
      <c r="AR16" s="181"/>
      <c r="AS16" s="598"/>
      <c r="AT16" s="187"/>
      <c r="AU16" s="187"/>
      <c r="AV16" s="184"/>
      <c r="AW16" s="181"/>
      <c r="AX16" s="598"/>
    </row>
    <row r="17" spans="2:50" ht="14.25" customHeight="1">
      <c r="B17" s="597"/>
      <c r="C17" s="179">
        <v>11</v>
      </c>
      <c r="D17" s="182"/>
      <c r="E17" s="179"/>
      <c r="F17" s="179"/>
      <c r="G17" s="184"/>
      <c r="H17" s="598"/>
      <c r="I17" s="185"/>
      <c r="J17" s="185"/>
      <c r="K17" s="186"/>
      <c r="L17" s="599"/>
      <c r="M17" s="185"/>
      <c r="N17" s="597"/>
      <c r="O17" s="597"/>
      <c r="P17" s="187"/>
      <c r="Q17" s="187"/>
      <c r="R17" s="184"/>
      <c r="S17" s="181"/>
      <c r="T17" s="598"/>
      <c r="U17" s="187"/>
      <c r="V17" s="187"/>
      <c r="W17" s="184"/>
      <c r="X17" s="181"/>
      <c r="Y17" s="598"/>
      <c r="Z17" s="187"/>
      <c r="AA17" s="187"/>
      <c r="AB17" s="184"/>
      <c r="AC17" s="181"/>
      <c r="AD17" s="598"/>
      <c r="AE17" s="187"/>
      <c r="AF17" s="187"/>
      <c r="AG17" s="184"/>
      <c r="AH17" s="181"/>
      <c r="AI17" s="598"/>
      <c r="AJ17" s="187"/>
      <c r="AK17" s="187"/>
      <c r="AL17" s="184"/>
      <c r="AM17" s="181"/>
      <c r="AN17" s="598"/>
      <c r="AO17" s="187"/>
      <c r="AP17" s="187"/>
      <c r="AQ17" s="184"/>
      <c r="AR17" s="181"/>
      <c r="AS17" s="598"/>
      <c r="AT17" s="187"/>
      <c r="AU17" s="187"/>
      <c r="AV17" s="184"/>
      <c r="AW17" s="181"/>
      <c r="AX17" s="598"/>
    </row>
    <row r="18" spans="2:50" ht="14.25" customHeight="1">
      <c r="B18" s="597"/>
      <c r="C18" s="179">
        <v>12</v>
      </c>
      <c r="D18" s="182"/>
      <c r="E18" s="179"/>
      <c r="F18" s="179"/>
      <c r="G18" s="184"/>
      <c r="H18" s="598"/>
      <c r="I18" s="185"/>
      <c r="J18" s="185"/>
      <c r="K18" s="186"/>
      <c r="L18" s="599"/>
      <c r="M18" s="185"/>
      <c r="N18" s="597"/>
      <c r="O18" s="597"/>
      <c r="P18" s="187"/>
      <c r="Q18" s="187"/>
      <c r="R18" s="184"/>
      <c r="S18" s="181"/>
      <c r="T18" s="598"/>
      <c r="U18" s="187"/>
      <c r="V18" s="187"/>
      <c r="W18" s="184"/>
      <c r="X18" s="181"/>
      <c r="Y18" s="598"/>
      <c r="Z18" s="187"/>
      <c r="AA18" s="187"/>
      <c r="AB18" s="184"/>
      <c r="AC18" s="181"/>
      <c r="AD18" s="598"/>
      <c r="AE18" s="187"/>
      <c r="AF18" s="187"/>
      <c r="AG18" s="184"/>
      <c r="AH18" s="181"/>
      <c r="AI18" s="598"/>
      <c r="AJ18" s="187"/>
      <c r="AK18" s="187"/>
      <c r="AL18" s="184"/>
      <c r="AM18" s="181"/>
      <c r="AN18" s="598"/>
      <c r="AO18" s="187"/>
      <c r="AP18" s="187"/>
      <c r="AQ18" s="184"/>
      <c r="AR18" s="181"/>
      <c r="AS18" s="598"/>
      <c r="AT18" s="187"/>
      <c r="AU18" s="187"/>
      <c r="AV18" s="184"/>
      <c r="AW18" s="181"/>
      <c r="AX18" s="598"/>
    </row>
    <row r="19" spans="2:50" ht="14.25" customHeight="1">
      <c r="B19" s="597"/>
      <c r="C19" s="179">
        <v>13</v>
      </c>
      <c r="D19" s="182"/>
      <c r="E19" s="179"/>
      <c r="F19" s="179"/>
      <c r="G19" s="184"/>
      <c r="H19" s="598"/>
      <c r="I19" s="185"/>
      <c r="J19" s="185"/>
      <c r="K19" s="186"/>
      <c r="L19" s="599"/>
      <c r="M19" s="185"/>
      <c r="N19" s="597"/>
      <c r="O19" s="597"/>
      <c r="P19" s="187"/>
      <c r="Q19" s="187"/>
      <c r="R19" s="184"/>
      <c r="S19" s="181"/>
      <c r="T19" s="598"/>
      <c r="U19" s="187"/>
      <c r="V19" s="187"/>
      <c r="W19" s="184"/>
      <c r="X19" s="181"/>
      <c r="Y19" s="598"/>
      <c r="Z19" s="187"/>
      <c r="AA19" s="187"/>
      <c r="AB19" s="184"/>
      <c r="AC19" s="181"/>
      <c r="AD19" s="598"/>
      <c r="AE19" s="187"/>
      <c r="AF19" s="187"/>
      <c r="AG19" s="184"/>
      <c r="AH19" s="181"/>
      <c r="AI19" s="598"/>
      <c r="AJ19" s="187"/>
      <c r="AK19" s="187"/>
      <c r="AL19" s="184"/>
      <c r="AM19" s="181"/>
      <c r="AN19" s="598"/>
      <c r="AO19" s="187"/>
      <c r="AP19" s="187"/>
      <c r="AQ19" s="184"/>
      <c r="AR19" s="181"/>
      <c r="AS19" s="598"/>
      <c r="AT19" s="187"/>
      <c r="AU19" s="187"/>
      <c r="AV19" s="184"/>
      <c r="AW19" s="181"/>
      <c r="AX19" s="598"/>
    </row>
    <row r="20" spans="2:50" ht="14.25" customHeight="1">
      <c r="B20" s="597"/>
      <c r="C20" s="179">
        <v>14</v>
      </c>
      <c r="D20" s="182"/>
      <c r="E20" s="179"/>
      <c r="F20" s="179"/>
      <c r="G20" s="184"/>
      <c r="H20" s="598"/>
      <c r="I20" s="185"/>
      <c r="J20" s="185"/>
      <c r="K20" s="186"/>
      <c r="L20" s="599"/>
      <c r="M20" s="185"/>
      <c r="N20" s="597"/>
      <c r="O20" s="597"/>
      <c r="P20" s="187"/>
      <c r="Q20" s="187"/>
      <c r="R20" s="184"/>
      <c r="S20" s="181"/>
      <c r="T20" s="598"/>
      <c r="U20" s="187"/>
      <c r="V20" s="187"/>
      <c r="W20" s="184"/>
      <c r="X20" s="181"/>
      <c r="Y20" s="598"/>
      <c r="Z20" s="187"/>
      <c r="AA20" s="187"/>
      <c r="AB20" s="184"/>
      <c r="AC20" s="181"/>
      <c r="AD20" s="598"/>
      <c r="AE20" s="187"/>
      <c r="AF20" s="187"/>
      <c r="AG20" s="184"/>
      <c r="AH20" s="181"/>
      <c r="AI20" s="598"/>
      <c r="AJ20" s="187"/>
      <c r="AK20" s="187"/>
      <c r="AL20" s="184"/>
      <c r="AM20" s="181"/>
      <c r="AN20" s="598"/>
      <c r="AO20" s="187"/>
      <c r="AP20" s="187"/>
      <c r="AQ20" s="184"/>
      <c r="AR20" s="181"/>
      <c r="AS20" s="598"/>
      <c r="AT20" s="187"/>
      <c r="AU20" s="187"/>
      <c r="AV20" s="184"/>
      <c r="AW20" s="181"/>
      <c r="AX20" s="598"/>
    </row>
    <row r="21" spans="2:50" ht="14.25" customHeight="1">
      <c r="B21" s="597"/>
      <c r="C21" s="179">
        <v>15</v>
      </c>
      <c r="D21" s="182"/>
      <c r="E21" s="179"/>
      <c r="F21" s="179"/>
      <c r="G21" s="184"/>
      <c r="H21" s="598"/>
      <c r="I21" s="185"/>
      <c r="J21" s="185"/>
      <c r="K21" s="186"/>
      <c r="L21" s="599"/>
      <c r="M21" s="185"/>
      <c r="N21" s="597"/>
      <c r="O21" s="597"/>
      <c r="P21" s="187"/>
      <c r="Q21" s="187"/>
      <c r="R21" s="184"/>
      <c r="S21" s="181"/>
      <c r="T21" s="598"/>
      <c r="U21" s="187"/>
      <c r="V21" s="187"/>
      <c r="W21" s="184"/>
      <c r="X21" s="181"/>
      <c r="Y21" s="598"/>
      <c r="Z21" s="187"/>
      <c r="AA21" s="187"/>
      <c r="AB21" s="184"/>
      <c r="AC21" s="181"/>
      <c r="AD21" s="598"/>
      <c r="AE21" s="187"/>
      <c r="AF21" s="187"/>
      <c r="AG21" s="184"/>
      <c r="AH21" s="181"/>
      <c r="AI21" s="598"/>
      <c r="AJ21" s="187"/>
      <c r="AK21" s="187"/>
      <c r="AL21" s="184"/>
      <c r="AM21" s="181"/>
      <c r="AN21" s="598"/>
      <c r="AO21" s="187"/>
      <c r="AP21" s="187"/>
      <c r="AQ21" s="184"/>
      <c r="AR21" s="181"/>
      <c r="AS21" s="598"/>
      <c r="AT21" s="187"/>
      <c r="AU21" s="187"/>
      <c r="AV21" s="184"/>
      <c r="AW21" s="181"/>
      <c r="AX21" s="598"/>
    </row>
    <row r="22" spans="2:50" ht="14.25" customHeight="1">
      <c r="B22" s="625" t="s">
        <v>773</v>
      </c>
      <c r="C22" s="631"/>
      <c r="D22" s="631"/>
      <c r="E22" s="631"/>
      <c r="F22" s="631"/>
      <c r="G22" s="631"/>
      <c r="H22" s="631"/>
      <c r="I22" s="631"/>
      <c r="J22" s="631"/>
      <c r="K22" s="631"/>
      <c r="L22" s="631"/>
      <c r="M22" s="632"/>
      <c r="N22" s="629" t="s">
        <v>363</v>
      </c>
      <c r="O22" s="629" t="s">
        <v>105</v>
      </c>
      <c r="P22" s="617">
        <v>46210</v>
      </c>
      <c r="Q22" s="618"/>
      <c r="R22" s="618"/>
      <c r="S22" s="618"/>
      <c r="T22" s="618"/>
      <c r="U22" s="619">
        <v>46211</v>
      </c>
      <c r="V22" s="620"/>
      <c r="W22" s="620"/>
      <c r="X22" s="620"/>
      <c r="Y22" s="620"/>
      <c r="Z22" s="617">
        <v>46212</v>
      </c>
      <c r="AA22" s="618"/>
      <c r="AB22" s="618"/>
      <c r="AC22" s="618"/>
      <c r="AD22" s="618"/>
      <c r="AE22" s="619">
        <v>46213</v>
      </c>
      <c r="AF22" s="620"/>
      <c r="AG22" s="620"/>
      <c r="AH22" s="620"/>
      <c r="AI22" s="620"/>
      <c r="AJ22" s="602">
        <v>46214</v>
      </c>
      <c r="AK22" s="603"/>
      <c r="AL22" s="603"/>
      <c r="AM22" s="603"/>
      <c r="AN22" s="604"/>
      <c r="AO22" s="619">
        <v>46215</v>
      </c>
      <c r="AP22" s="620"/>
      <c r="AQ22" s="620"/>
      <c r="AR22" s="620"/>
      <c r="AS22" s="620"/>
      <c r="AT22" s="602">
        <v>46216</v>
      </c>
      <c r="AU22" s="603"/>
      <c r="AV22" s="603"/>
      <c r="AW22" s="603"/>
      <c r="AX22" s="604"/>
    </row>
    <row r="23" spans="2:50" ht="14.25" customHeight="1"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4"/>
      <c r="N23" s="630"/>
      <c r="O23" s="630"/>
      <c r="P23" s="605">
        <v>46196</v>
      </c>
      <c r="Q23" s="605"/>
      <c r="R23" s="605"/>
      <c r="S23" s="605"/>
      <c r="T23" s="605"/>
      <c r="U23" s="606">
        <v>46197</v>
      </c>
      <c r="V23" s="606"/>
      <c r="W23" s="606"/>
      <c r="X23" s="606"/>
      <c r="Y23" s="606"/>
      <c r="Z23" s="605">
        <v>46198</v>
      </c>
      <c r="AA23" s="605"/>
      <c r="AB23" s="605"/>
      <c r="AC23" s="605"/>
      <c r="AD23" s="605"/>
      <c r="AE23" s="606">
        <v>46199</v>
      </c>
      <c r="AF23" s="606"/>
      <c r="AG23" s="606"/>
      <c r="AH23" s="606"/>
      <c r="AI23" s="606"/>
      <c r="AJ23" s="607">
        <v>46200</v>
      </c>
      <c r="AK23" s="608"/>
      <c r="AL23" s="608"/>
      <c r="AM23" s="608"/>
      <c r="AN23" s="609"/>
      <c r="AO23" s="606">
        <v>46201</v>
      </c>
      <c r="AP23" s="606"/>
      <c r="AQ23" s="606"/>
      <c r="AR23" s="606"/>
      <c r="AS23" s="606"/>
      <c r="AT23" s="607">
        <v>46202</v>
      </c>
      <c r="AU23" s="608"/>
      <c r="AV23" s="608"/>
      <c r="AW23" s="608"/>
      <c r="AX23" s="609"/>
    </row>
    <row r="24" spans="2:50" ht="14.25" customHeight="1">
      <c r="B24" s="597" t="s">
        <v>162</v>
      </c>
      <c r="C24" s="597" t="s">
        <v>157</v>
      </c>
      <c r="D24" s="597"/>
      <c r="E24" s="597" t="s">
        <v>158</v>
      </c>
      <c r="F24" s="597"/>
      <c r="G24" s="597"/>
      <c r="H24" s="597" t="s">
        <v>163</v>
      </c>
      <c r="I24" s="601" t="s">
        <v>364</v>
      </c>
      <c r="J24" s="601"/>
      <c r="K24" s="601"/>
      <c r="L24" s="601" t="s">
        <v>163</v>
      </c>
      <c r="M24" s="601" t="s">
        <v>165</v>
      </c>
      <c r="N24" s="597"/>
      <c r="O24" s="597" t="s">
        <v>164</v>
      </c>
      <c r="P24" s="597" t="s">
        <v>160</v>
      </c>
      <c r="Q24" s="597"/>
      <c r="R24" s="597"/>
      <c r="S24" s="597"/>
      <c r="T24" s="597" t="s">
        <v>163</v>
      </c>
      <c r="U24" s="597" t="s">
        <v>160</v>
      </c>
      <c r="V24" s="597"/>
      <c r="W24" s="597"/>
      <c r="X24" s="597"/>
      <c r="Y24" s="597" t="s">
        <v>163</v>
      </c>
      <c r="Z24" s="597" t="s">
        <v>160</v>
      </c>
      <c r="AA24" s="597"/>
      <c r="AB24" s="597"/>
      <c r="AC24" s="597"/>
      <c r="AD24" s="597" t="s">
        <v>163</v>
      </c>
      <c r="AE24" s="597" t="s">
        <v>160</v>
      </c>
      <c r="AF24" s="597"/>
      <c r="AG24" s="597"/>
      <c r="AH24" s="597"/>
      <c r="AI24" s="597" t="s">
        <v>163</v>
      </c>
      <c r="AJ24" s="597" t="s">
        <v>160</v>
      </c>
      <c r="AK24" s="597"/>
      <c r="AL24" s="597"/>
      <c r="AM24" s="597"/>
      <c r="AN24" s="597" t="s">
        <v>163</v>
      </c>
      <c r="AO24" s="597" t="s">
        <v>160</v>
      </c>
      <c r="AP24" s="597"/>
      <c r="AQ24" s="597"/>
      <c r="AR24" s="597"/>
      <c r="AS24" s="597" t="s">
        <v>163</v>
      </c>
      <c r="AT24" s="597" t="s">
        <v>160</v>
      </c>
      <c r="AU24" s="597"/>
      <c r="AV24" s="597"/>
      <c r="AW24" s="597"/>
      <c r="AX24" s="597" t="s">
        <v>163</v>
      </c>
    </row>
    <row r="25" spans="2:50" ht="14.25" customHeight="1">
      <c r="B25" s="597"/>
      <c r="C25" s="597"/>
      <c r="D25" s="597"/>
      <c r="E25" s="597" t="s">
        <v>365</v>
      </c>
      <c r="F25" s="597"/>
      <c r="G25" s="597"/>
      <c r="H25" s="597"/>
      <c r="I25" s="601" t="s">
        <v>365</v>
      </c>
      <c r="J25" s="601"/>
      <c r="K25" s="601"/>
      <c r="L25" s="601"/>
      <c r="M25" s="601"/>
      <c r="N25" s="597"/>
      <c r="O25" s="597"/>
      <c r="P25" s="597" t="s">
        <v>366</v>
      </c>
      <c r="Q25" s="597"/>
      <c r="R25" s="597"/>
      <c r="S25" s="597"/>
      <c r="T25" s="597"/>
      <c r="U25" s="597" t="s">
        <v>366</v>
      </c>
      <c r="V25" s="597"/>
      <c r="W25" s="597"/>
      <c r="X25" s="597"/>
      <c r="Y25" s="597"/>
      <c r="Z25" s="597" t="s">
        <v>366</v>
      </c>
      <c r="AA25" s="597"/>
      <c r="AB25" s="597"/>
      <c r="AC25" s="597"/>
      <c r="AD25" s="597"/>
      <c r="AE25" s="597" t="s">
        <v>366</v>
      </c>
      <c r="AF25" s="597"/>
      <c r="AG25" s="597"/>
      <c r="AH25" s="597"/>
      <c r="AI25" s="597"/>
      <c r="AJ25" s="597" t="s">
        <v>366</v>
      </c>
      <c r="AK25" s="597"/>
      <c r="AL25" s="597"/>
      <c r="AM25" s="597"/>
      <c r="AN25" s="597"/>
      <c r="AO25" s="597" t="s">
        <v>366</v>
      </c>
      <c r="AP25" s="597"/>
      <c r="AQ25" s="597"/>
      <c r="AR25" s="597"/>
      <c r="AS25" s="597"/>
      <c r="AT25" s="597" t="s">
        <v>366</v>
      </c>
      <c r="AU25" s="597"/>
      <c r="AV25" s="597"/>
      <c r="AW25" s="597"/>
      <c r="AX25" s="597"/>
    </row>
    <row r="26" spans="2:50" ht="14.25" customHeight="1">
      <c r="B26" s="597"/>
      <c r="C26" s="597"/>
      <c r="D26" s="597"/>
      <c r="E26" s="179" t="s">
        <v>159</v>
      </c>
      <c r="F26" s="179" t="s">
        <v>367</v>
      </c>
      <c r="G26" s="179" t="s">
        <v>161</v>
      </c>
      <c r="H26" s="597"/>
      <c r="I26" s="180" t="s">
        <v>159</v>
      </c>
      <c r="J26" s="180" t="s">
        <v>367</v>
      </c>
      <c r="K26" s="180" t="s">
        <v>161</v>
      </c>
      <c r="L26" s="601"/>
      <c r="M26" s="601"/>
      <c r="N26" s="597"/>
      <c r="O26" s="597"/>
      <c r="P26" s="179" t="s">
        <v>159</v>
      </c>
      <c r="Q26" s="179" t="s">
        <v>367</v>
      </c>
      <c r="R26" s="179" t="s">
        <v>161</v>
      </c>
      <c r="S26" s="181" t="s">
        <v>165</v>
      </c>
      <c r="T26" s="597"/>
      <c r="U26" s="179" t="s">
        <v>159</v>
      </c>
      <c r="V26" s="179" t="s">
        <v>367</v>
      </c>
      <c r="W26" s="179" t="s">
        <v>161</v>
      </c>
      <c r="X26" s="181" t="s">
        <v>165</v>
      </c>
      <c r="Y26" s="597"/>
      <c r="Z26" s="179" t="s">
        <v>159</v>
      </c>
      <c r="AA26" s="179" t="s">
        <v>367</v>
      </c>
      <c r="AB26" s="179" t="s">
        <v>161</v>
      </c>
      <c r="AC26" s="181" t="s">
        <v>165</v>
      </c>
      <c r="AD26" s="597"/>
      <c r="AE26" s="179" t="s">
        <v>159</v>
      </c>
      <c r="AF26" s="179" t="s">
        <v>367</v>
      </c>
      <c r="AG26" s="179" t="s">
        <v>161</v>
      </c>
      <c r="AH26" s="181" t="s">
        <v>165</v>
      </c>
      <c r="AI26" s="597"/>
      <c r="AJ26" s="179" t="s">
        <v>159</v>
      </c>
      <c r="AK26" s="179" t="s">
        <v>367</v>
      </c>
      <c r="AL26" s="179" t="s">
        <v>161</v>
      </c>
      <c r="AM26" s="181" t="s">
        <v>165</v>
      </c>
      <c r="AN26" s="597"/>
      <c r="AO26" s="179" t="s">
        <v>159</v>
      </c>
      <c r="AP26" s="179" t="s">
        <v>367</v>
      </c>
      <c r="AQ26" s="179" t="s">
        <v>161</v>
      </c>
      <c r="AR26" s="181" t="s">
        <v>165</v>
      </c>
      <c r="AS26" s="597"/>
      <c r="AT26" s="179" t="s">
        <v>159</v>
      </c>
      <c r="AU26" s="179" t="s">
        <v>367</v>
      </c>
      <c r="AV26" s="179" t="s">
        <v>161</v>
      </c>
      <c r="AW26" s="181" t="s">
        <v>165</v>
      </c>
      <c r="AX26" s="597"/>
    </row>
    <row r="27" spans="2:50" ht="14.25" customHeight="1">
      <c r="B27" s="597" t="s">
        <v>143</v>
      </c>
      <c r="C27" s="179">
        <v>1</v>
      </c>
      <c r="D27" s="182" t="s">
        <v>650</v>
      </c>
      <c r="E27" s="183">
        <v>19</v>
      </c>
      <c r="F27" s="179">
        <v>2000</v>
      </c>
      <c r="G27" s="184">
        <f t="shared" ref="G27:G31" si="17">IFERROR(F27/E27,"")</f>
        <v>105.26315789473684</v>
      </c>
      <c r="H27" s="598">
        <f>AVERAGE(G27:G41)</f>
        <v>130.42326094957676</v>
      </c>
      <c r="I27" s="185">
        <f>AVERAGE(P27,U27,Z27,AE27,AJ27,AO27,AT27)</f>
        <v>19</v>
      </c>
      <c r="J27" s="185">
        <f>AVERAGE(Q27,V27,AA27,AF27,AK27,AP27,AU27)</f>
        <v>1790.0171092346918</v>
      </c>
      <c r="K27" s="186">
        <f>AVERAGE(R27,W27,AB27,AG27,AL27,AQ27,AV27)</f>
        <v>94.21142680182588</v>
      </c>
      <c r="L27" s="599">
        <f>IFERROR(AVERAGE(K27:K41),"-")</f>
        <v>117.52142077681158</v>
      </c>
      <c r="M27" s="185">
        <f>RANK(K27, K$27:$K$41)</f>
        <v>3</v>
      </c>
      <c r="N27" s="597"/>
      <c r="O27" s="597"/>
      <c r="P27" s="187">
        <v>19</v>
      </c>
      <c r="Q27" s="187">
        <v>1790.3152450743362</v>
      </c>
      <c r="R27" s="184">
        <f>IFERROR(Q27/P27,"")</f>
        <v>94.227118161807169</v>
      </c>
      <c r="S27" s="181">
        <f>RANK(R27, R$27:R$41)</f>
        <v>3</v>
      </c>
      <c r="T27" s="598">
        <f>AVERAGE(R27:R41)</f>
        <v>117.51407995920613</v>
      </c>
      <c r="U27" s="187">
        <v>19</v>
      </c>
      <c r="V27" s="187">
        <v>1790.9152450743361</v>
      </c>
      <c r="W27" s="184">
        <f t="shared" ref="W27:W31" si="18">IFERROR(V27/U27,"")</f>
        <v>94.258697109175586</v>
      </c>
      <c r="X27" s="181">
        <f>RANK(W27, W$27:W$41)</f>
        <v>3</v>
      </c>
      <c r="Y27" s="598">
        <f>AVERAGE(W27:W41)</f>
        <v>117.52596218224626</v>
      </c>
      <c r="Z27" s="187">
        <v>19</v>
      </c>
      <c r="AA27" s="187">
        <v>1790.5152450743365</v>
      </c>
      <c r="AB27" s="184">
        <f>IFERROR(AA27/Z27,"")</f>
        <v>94.23764447759666</v>
      </c>
      <c r="AC27" s="181">
        <f>RANK(AB27, AB$27:AB$41)</f>
        <v>3</v>
      </c>
      <c r="AD27" s="598">
        <f>AVERAGE(AB27:AB41)</f>
        <v>117.51268871886752</v>
      </c>
      <c r="AE27" s="187">
        <v>19</v>
      </c>
      <c r="AF27" s="187">
        <v>1789.9152450743368</v>
      </c>
      <c r="AG27" s="184">
        <f>IFERROR(AF27/AE27,"")</f>
        <v>94.206065530228258</v>
      </c>
      <c r="AH27" s="181">
        <f>RANK(AG27, AG$27:AG$41)</f>
        <v>3</v>
      </c>
      <c r="AI27" s="598">
        <f>AVERAGE(AG27:AG41)</f>
        <v>117.5246386636596</v>
      </c>
      <c r="AJ27" s="187">
        <v>19</v>
      </c>
      <c r="AK27" s="187">
        <v>1789.7152450743372</v>
      </c>
      <c r="AL27" s="184">
        <f>IFERROR(AK27/AJ27,"")</f>
        <v>94.195539214438796</v>
      </c>
      <c r="AM27" s="181">
        <f>RANK(AL27, AL$27:AL$41)</f>
        <v>3</v>
      </c>
      <c r="AN27" s="598">
        <f>AVERAGE(AL27:AL41)</f>
        <v>117.54483076341849</v>
      </c>
      <c r="AO27" s="187">
        <v>19</v>
      </c>
      <c r="AP27" s="187">
        <v>1789.3152450743371</v>
      </c>
      <c r="AQ27" s="184">
        <f>IFERROR(AP27/AO27,"")</f>
        <v>94.174486582859842</v>
      </c>
      <c r="AR27" s="181">
        <f>RANK(AQ27, AQ$27:AQ$41)</f>
        <v>3</v>
      </c>
      <c r="AS27" s="598">
        <f>AVERAGE(AQ27:AQ41)</f>
        <v>117.52599086647334</v>
      </c>
      <c r="AT27" s="187">
        <v>19</v>
      </c>
      <c r="AU27" s="187">
        <v>1789.4282941968229</v>
      </c>
      <c r="AV27" s="184">
        <f>IFERROR(AU27/AT27,"")</f>
        <v>94.18043653667489</v>
      </c>
      <c r="AW27" s="181">
        <f>RANK(AV27, AV$27:AV$41)</f>
        <v>3</v>
      </c>
      <c r="AX27" s="598">
        <f>AVERAGE(AV27:AV41)</f>
        <v>117.50175428380976</v>
      </c>
    </row>
    <row r="28" spans="2:50" ht="14.25" customHeight="1">
      <c r="B28" s="597"/>
      <c r="C28" s="179">
        <v>2</v>
      </c>
      <c r="D28" s="182" t="s">
        <v>354</v>
      </c>
      <c r="E28" s="179">
        <v>13</v>
      </c>
      <c r="F28" s="179">
        <v>1200</v>
      </c>
      <c r="G28" s="184">
        <f t="shared" si="17"/>
        <v>92.307692307692307</v>
      </c>
      <c r="H28" s="598"/>
      <c r="I28" s="185">
        <f t="shared" ref="I28:K31" si="19">AVERAGE(P28,U28,Z28,AE28,AJ28,AO28,AT28)</f>
        <v>13</v>
      </c>
      <c r="J28" s="185">
        <f t="shared" si="19"/>
        <v>1082.2619182388853</v>
      </c>
      <c r="K28" s="186">
        <f t="shared" si="19"/>
        <v>83.250916787606556</v>
      </c>
      <c r="L28" s="599"/>
      <c r="M28" s="185">
        <f>RANK(K28, K$27:$K$41)</f>
        <v>4</v>
      </c>
      <c r="N28" s="597"/>
      <c r="O28" s="597"/>
      <c r="P28" s="187">
        <v>13</v>
      </c>
      <c r="Q28" s="187">
        <v>1081.8504896674567</v>
      </c>
      <c r="R28" s="184">
        <f t="shared" ref="R28:R31" si="20">IFERROR(Q28/P28,"")</f>
        <v>83.219268435958213</v>
      </c>
      <c r="S28" s="181">
        <f t="shared" ref="S28:S31" si="21">RANK(R28, R$27:R$41)</f>
        <v>4</v>
      </c>
      <c r="T28" s="598"/>
      <c r="U28" s="187">
        <v>13</v>
      </c>
      <c r="V28" s="187">
        <v>1082.3304896674567</v>
      </c>
      <c r="W28" s="184">
        <f t="shared" si="18"/>
        <v>83.256191512881287</v>
      </c>
      <c r="X28" s="181">
        <f t="shared" ref="X28:X31" si="22">RANK(W28, W$27:W$41)</f>
        <v>4</v>
      </c>
      <c r="Y28" s="598"/>
      <c r="Z28" s="187">
        <v>13</v>
      </c>
      <c r="AA28" s="187">
        <v>1082.4504896674566</v>
      </c>
      <c r="AB28" s="184">
        <f t="shared" ref="AB28:AB31" si="23">IFERROR(AA28/Z28,"")</f>
        <v>83.265422282112041</v>
      </c>
      <c r="AC28" s="181">
        <f t="shared" ref="AC28:AC31" si="24">RANK(AB28, AB$27:AB$41)</f>
        <v>4</v>
      </c>
      <c r="AD28" s="598"/>
      <c r="AE28" s="187">
        <v>13</v>
      </c>
      <c r="AF28" s="187">
        <v>1082.8104896674565</v>
      </c>
      <c r="AG28" s="184">
        <f t="shared" ref="AG28:AG31" si="25">IFERROR(AF28/AE28,"")</f>
        <v>83.293114589804347</v>
      </c>
      <c r="AH28" s="181">
        <f t="shared" ref="AH28:AH31" si="26">RANK(AG28, AG$27:AG$41)</f>
        <v>4</v>
      </c>
      <c r="AI28" s="598"/>
      <c r="AJ28" s="187">
        <v>13</v>
      </c>
      <c r="AK28" s="187">
        <v>1082.3304896674567</v>
      </c>
      <c r="AL28" s="184">
        <f t="shared" ref="AL28:AL31" si="27">IFERROR(AK28/AJ28,"")</f>
        <v>83.256191512881287</v>
      </c>
      <c r="AM28" s="181">
        <f t="shared" ref="AM28:AM31" si="28">RANK(AL28, AL$27:AL$41)</f>
        <v>4</v>
      </c>
      <c r="AN28" s="598"/>
      <c r="AO28" s="187">
        <v>13</v>
      </c>
      <c r="AP28" s="187">
        <v>1081.9704896674568</v>
      </c>
      <c r="AQ28" s="184">
        <f t="shared" ref="AQ28:AQ31" si="29">IFERROR(AP28/AO28,"")</f>
        <v>83.228499205188982</v>
      </c>
      <c r="AR28" s="181">
        <f t="shared" ref="AR28:AR31" si="30">RANK(AQ28, AQ$27:AQ$41)</f>
        <v>4</v>
      </c>
      <c r="AS28" s="598"/>
      <c r="AT28" s="187">
        <v>13</v>
      </c>
      <c r="AU28" s="187">
        <v>1082.0904896674567</v>
      </c>
      <c r="AV28" s="184">
        <f t="shared" ref="AV28:AV31" si="31">IFERROR(AU28/AT28,"")</f>
        <v>83.23772997441975</v>
      </c>
      <c r="AW28" s="181">
        <f t="shared" ref="AW28:AW31" si="32">RANK(AV28, AV$27:AV$41)</f>
        <v>4</v>
      </c>
      <c r="AX28" s="598"/>
    </row>
    <row r="29" spans="2:50" ht="14.25" customHeight="1">
      <c r="B29" s="597"/>
      <c r="C29" s="179">
        <v>3</v>
      </c>
      <c r="D29" s="182" t="s">
        <v>615</v>
      </c>
      <c r="E29" s="179">
        <v>11</v>
      </c>
      <c r="F29" s="179">
        <v>2000</v>
      </c>
      <c r="G29" s="184">
        <f t="shared" si="17"/>
        <v>181.81818181818181</v>
      </c>
      <c r="H29" s="598"/>
      <c r="I29" s="185">
        <f t="shared" si="19"/>
        <v>11</v>
      </c>
      <c r="J29" s="185">
        <f t="shared" si="19"/>
        <v>1805.0567096497603</v>
      </c>
      <c r="K29" s="186">
        <f t="shared" si="19"/>
        <v>164.09606451361455</v>
      </c>
      <c r="L29" s="599"/>
      <c r="M29" s="185">
        <f>RANK(K29, K$27:$K$41)</f>
        <v>2</v>
      </c>
      <c r="N29" s="597"/>
      <c r="O29" s="597"/>
      <c r="P29" s="187">
        <v>11</v>
      </c>
      <c r="Q29" s="187">
        <v>1803.9856344469415</v>
      </c>
      <c r="R29" s="184">
        <f t="shared" si="20"/>
        <v>163.99869404063105</v>
      </c>
      <c r="S29" s="181">
        <f t="shared" si="21"/>
        <v>2</v>
      </c>
      <c r="T29" s="598"/>
      <c r="U29" s="187">
        <v>11</v>
      </c>
      <c r="V29" s="187">
        <v>1804.7856344469412</v>
      </c>
      <c r="W29" s="184">
        <f t="shared" si="18"/>
        <v>164.07142131335829</v>
      </c>
      <c r="X29" s="181">
        <f t="shared" si="22"/>
        <v>2</v>
      </c>
      <c r="Y29" s="598"/>
      <c r="Z29" s="187">
        <v>11</v>
      </c>
      <c r="AA29" s="187">
        <v>1804.785634446941</v>
      </c>
      <c r="AB29" s="184">
        <f t="shared" si="23"/>
        <v>164.07142131335829</v>
      </c>
      <c r="AC29" s="181">
        <f t="shared" si="24"/>
        <v>2</v>
      </c>
      <c r="AD29" s="598"/>
      <c r="AE29" s="187">
        <v>11</v>
      </c>
      <c r="AF29" s="187">
        <v>1805.1856344469411</v>
      </c>
      <c r="AG29" s="184">
        <f t="shared" si="25"/>
        <v>164.10778494972192</v>
      </c>
      <c r="AH29" s="181">
        <f t="shared" si="26"/>
        <v>2</v>
      </c>
      <c r="AI29" s="598"/>
      <c r="AJ29" s="187">
        <v>11</v>
      </c>
      <c r="AK29" s="187">
        <v>1806.0181432535185</v>
      </c>
      <c r="AL29" s="184">
        <f t="shared" si="27"/>
        <v>164.18346756850167</v>
      </c>
      <c r="AM29" s="181">
        <f t="shared" si="28"/>
        <v>2</v>
      </c>
      <c r="AN29" s="598"/>
      <c r="AO29" s="187">
        <v>11</v>
      </c>
      <c r="AP29" s="187">
        <v>1805.6181432535186</v>
      </c>
      <c r="AQ29" s="184">
        <f t="shared" si="29"/>
        <v>164.14710393213807</v>
      </c>
      <c r="AR29" s="181">
        <f t="shared" si="30"/>
        <v>2</v>
      </c>
      <c r="AS29" s="598"/>
      <c r="AT29" s="187">
        <v>11</v>
      </c>
      <c r="AU29" s="187">
        <v>1805.0181432535187</v>
      </c>
      <c r="AV29" s="184">
        <f t="shared" si="31"/>
        <v>164.0925584775926</v>
      </c>
      <c r="AW29" s="181">
        <f t="shared" si="32"/>
        <v>2</v>
      </c>
      <c r="AX29" s="598"/>
    </row>
    <row r="30" spans="2:50" ht="14.25" customHeight="1">
      <c r="B30" s="597"/>
      <c r="C30" s="179">
        <v>4</v>
      </c>
      <c r="D30" s="182" t="s">
        <v>616</v>
      </c>
      <c r="E30" s="179">
        <v>22</v>
      </c>
      <c r="F30" s="179">
        <v>2000</v>
      </c>
      <c r="G30" s="184">
        <f t="shared" si="17"/>
        <v>90.909090909090907</v>
      </c>
      <c r="H30" s="598"/>
      <c r="I30" s="185">
        <f t="shared" si="19"/>
        <v>22</v>
      </c>
      <c r="J30" s="185">
        <f t="shared" si="19"/>
        <v>1799.9500769987733</v>
      </c>
      <c r="K30" s="186">
        <f t="shared" si="19"/>
        <v>81.81591259085333</v>
      </c>
      <c r="L30" s="599"/>
      <c r="M30" s="185">
        <f>RANK(K30, K$27:$K$41)</f>
        <v>5</v>
      </c>
      <c r="N30" s="597"/>
      <c r="O30" s="597"/>
      <c r="P30" s="187">
        <v>22</v>
      </c>
      <c r="Q30" s="187">
        <v>1800.2072198559158</v>
      </c>
      <c r="R30" s="184">
        <f t="shared" si="20"/>
        <v>81.827600902541633</v>
      </c>
      <c r="S30" s="181">
        <f t="shared" si="21"/>
        <v>5</v>
      </c>
      <c r="T30" s="598"/>
      <c r="U30" s="187">
        <v>22</v>
      </c>
      <c r="V30" s="187">
        <v>1800.4072198559161</v>
      </c>
      <c r="W30" s="184">
        <f t="shared" si="18"/>
        <v>81.836691811632548</v>
      </c>
      <c r="X30" s="181">
        <f t="shared" si="22"/>
        <v>5</v>
      </c>
      <c r="Y30" s="598"/>
      <c r="Z30" s="187">
        <v>22</v>
      </c>
      <c r="AA30" s="187">
        <v>1799.6072198559161</v>
      </c>
      <c r="AB30" s="184">
        <f t="shared" si="23"/>
        <v>81.800328175268916</v>
      </c>
      <c r="AC30" s="181">
        <f t="shared" si="24"/>
        <v>5</v>
      </c>
      <c r="AD30" s="598"/>
      <c r="AE30" s="187">
        <v>22</v>
      </c>
      <c r="AF30" s="187">
        <v>1799.4072198559165</v>
      </c>
      <c r="AG30" s="184">
        <f t="shared" si="25"/>
        <v>81.79123726617803</v>
      </c>
      <c r="AH30" s="181">
        <f t="shared" si="26"/>
        <v>5</v>
      </c>
      <c r="AI30" s="598"/>
      <c r="AJ30" s="187">
        <v>22</v>
      </c>
      <c r="AK30" s="187">
        <v>1799.8072198559164</v>
      </c>
      <c r="AL30" s="184">
        <f t="shared" si="27"/>
        <v>81.809419084359831</v>
      </c>
      <c r="AM30" s="181">
        <f t="shared" si="28"/>
        <v>5</v>
      </c>
      <c r="AN30" s="598"/>
      <c r="AO30" s="187">
        <v>22</v>
      </c>
      <c r="AP30" s="187">
        <v>1800.4072198559161</v>
      </c>
      <c r="AQ30" s="184">
        <f t="shared" si="29"/>
        <v>81.836691811632548</v>
      </c>
      <c r="AR30" s="181">
        <f t="shared" si="30"/>
        <v>5</v>
      </c>
      <c r="AS30" s="598"/>
      <c r="AT30" s="187">
        <v>22</v>
      </c>
      <c r="AU30" s="187">
        <v>1799.8072198559159</v>
      </c>
      <c r="AV30" s="184">
        <f t="shared" si="31"/>
        <v>81.809419084359817</v>
      </c>
      <c r="AW30" s="181">
        <f t="shared" si="32"/>
        <v>5</v>
      </c>
      <c r="AX30" s="598"/>
    </row>
    <row r="31" spans="2:50" ht="14.25" customHeight="1">
      <c r="B31" s="597"/>
      <c r="C31" s="179">
        <v>5</v>
      </c>
      <c r="D31" s="182" t="s">
        <v>617</v>
      </c>
      <c r="E31" s="179">
        <v>11</v>
      </c>
      <c r="F31" s="179">
        <v>2000</v>
      </c>
      <c r="G31" s="184">
        <f t="shared" si="17"/>
        <v>181.81818181818181</v>
      </c>
      <c r="H31" s="598"/>
      <c r="I31" s="185">
        <f t="shared" si="19"/>
        <v>11</v>
      </c>
      <c r="J31" s="185">
        <f t="shared" si="19"/>
        <v>1806.5606150917336</v>
      </c>
      <c r="K31" s="186">
        <f t="shared" si="19"/>
        <v>164.23278319015759</v>
      </c>
      <c r="L31" s="599"/>
      <c r="M31" s="185">
        <f>RANK(K31, K$27:$K$41)</f>
        <v>1</v>
      </c>
      <c r="N31" s="597"/>
      <c r="O31" s="597"/>
      <c r="P31" s="187">
        <v>11</v>
      </c>
      <c r="Q31" s="187">
        <v>1807.2749008060186</v>
      </c>
      <c r="R31" s="184">
        <f t="shared" si="20"/>
        <v>164.2977182550926</v>
      </c>
      <c r="S31" s="181">
        <f t="shared" si="21"/>
        <v>1</v>
      </c>
      <c r="T31" s="598"/>
      <c r="U31" s="187">
        <v>11</v>
      </c>
      <c r="V31" s="187">
        <v>1806.2749008060193</v>
      </c>
      <c r="W31" s="184">
        <f t="shared" si="18"/>
        <v>164.20680916418357</v>
      </c>
      <c r="X31" s="181">
        <f t="shared" si="22"/>
        <v>1</v>
      </c>
      <c r="Y31" s="598"/>
      <c r="Z31" s="187">
        <v>11</v>
      </c>
      <c r="AA31" s="187">
        <v>1806.0749008060193</v>
      </c>
      <c r="AB31" s="184">
        <f t="shared" si="23"/>
        <v>164.18862734600177</v>
      </c>
      <c r="AC31" s="181">
        <f t="shared" si="24"/>
        <v>1</v>
      </c>
      <c r="AD31" s="598"/>
      <c r="AE31" s="187">
        <v>11</v>
      </c>
      <c r="AF31" s="187">
        <v>1806.4749008060194</v>
      </c>
      <c r="AG31" s="184">
        <f t="shared" si="25"/>
        <v>164.2249909823654</v>
      </c>
      <c r="AH31" s="181">
        <f t="shared" si="26"/>
        <v>1</v>
      </c>
      <c r="AI31" s="598"/>
      <c r="AJ31" s="187">
        <v>11</v>
      </c>
      <c r="AK31" s="187">
        <v>1807.0749008060195</v>
      </c>
      <c r="AL31" s="184">
        <f t="shared" si="27"/>
        <v>164.27953643691086</v>
      </c>
      <c r="AM31" s="181">
        <f t="shared" si="28"/>
        <v>1</v>
      </c>
      <c r="AN31" s="598"/>
      <c r="AO31" s="187">
        <v>11</v>
      </c>
      <c r="AP31" s="187">
        <v>1806.6749008060192</v>
      </c>
      <c r="AQ31" s="184">
        <f t="shared" si="29"/>
        <v>164.2431728005472</v>
      </c>
      <c r="AR31" s="181">
        <f t="shared" si="30"/>
        <v>1</v>
      </c>
      <c r="AS31" s="598"/>
      <c r="AT31" s="187">
        <v>11</v>
      </c>
      <c r="AU31" s="187">
        <v>1806.0749008060195</v>
      </c>
      <c r="AV31" s="184">
        <f t="shared" si="31"/>
        <v>164.18862734600177</v>
      </c>
      <c r="AW31" s="181">
        <f t="shared" si="32"/>
        <v>1</v>
      </c>
      <c r="AX31" s="598"/>
    </row>
    <row r="32" spans="2:50" ht="14.25" customHeight="1">
      <c r="B32" s="597"/>
      <c r="C32" s="179">
        <v>6</v>
      </c>
      <c r="D32" s="182"/>
      <c r="E32" s="179"/>
      <c r="F32" s="179"/>
      <c r="G32" s="184"/>
      <c r="H32" s="598"/>
      <c r="I32" s="185"/>
      <c r="J32" s="185"/>
      <c r="K32" s="186"/>
      <c r="L32" s="599"/>
      <c r="M32" s="185"/>
      <c r="N32" s="597"/>
      <c r="O32" s="597"/>
      <c r="P32" s="187"/>
      <c r="Q32" s="187"/>
      <c r="R32" s="184"/>
      <c r="S32" s="181"/>
      <c r="T32" s="598"/>
      <c r="U32" s="187"/>
      <c r="V32" s="187"/>
      <c r="W32" s="184"/>
      <c r="X32" s="181"/>
      <c r="Y32" s="598"/>
      <c r="Z32" s="187"/>
      <c r="AA32" s="187"/>
      <c r="AB32" s="184"/>
      <c r="AC32" s="181"/>
      <c r="AD32" s="598"/>
      <c r="AE32" s="187"/>
      <c r="AF32" s="187"/>
      <c r="AG32" s="184"/>
      <c r="AH32" s="181"/>
      <c r="AI32" s="598"/>
      <c r="AJ32" s="187"/>
      <c r="AK32" s="187"/>
      <c r="AL32" s="184"/>
      <c r="AM32" s="181"/>
      <c r="AN32" s="598"/>
      <c r="AO32" s="187"/>
      <c r="AP32" s="187"/>
      <c r="AQ32" s="184"/>
      <c r="AR32" s="181"/>
      <c r="AS32" s="598"/>
      <c r="AT32" s="187"/>
      <c r="AU32" s="187"/>
      <c r="AV32" s="184"/>
      <c r="AW32" s="181"/>
      <c r="AX32" s="598"/>
    </row>
    <row r="33" spans="2:50" ht="14.25" customHeight="1">
      <c r="B33" s="597"/>
      <c r="C33" s="179">
        <v>7</v>
      </c>
      <c r="D33" s="182"/>
      <c r="E33" s="179"/>
      <c r="F33" s="179"/>
      <c r="G33" s="184"/>
      <c r="H33" s="598"/>
      <c r="I33" s="185"/>
      <c r="J33" s="185"/>
      <c r="K33" s="186"/>
      <c r="L33" s="599"/>
      <c r="M33" s="185"/>
      <c r="N33" s="597"/>
      <c r="O33" s="597"/>
      <c r="P33" s="187"/>
      <c r="Q33" s="187"/>
      <c r="R33" s="184"/>
      <c r="S33" s="181"/>
      <c r="T33" s="598"/>
      <c r="U33" s="187"/>
      <c r="V33" s="187"/>
      <c r="W33" s="184"/>
      <c r="X33" s="181"/>
      <c r="Y33" s="598"/>
      <c r="Z33" s="187"/>
      <c r="AA33" s="187"/>
      <c r="AB33" s="184"/>
      <c r="AC33" s="181"/>
      <c r="AD33" s="598"/>
      <c r="AE33" s="187"/>
      <c r="AF33" s="187"/>
      <c r="AG33" s="184"/>
      <c r="AH33" s="181"/>
      <c r="AI33" s="598"/>
      <c r="AJ33" s="187"/>
      <c r="AK33" s="187"/>
      <c r="AL33" s="184"/>
      <c r="AM33" s="181"/>
      <c r="AN33" s="598"/>
      <c r="AO33" s="187"/>
      <c r="AP33" s="187"/>
      <c r="AQ33" s="184"/>
      <c r="AR33" s="181"/>
      <c r="AS33" s="598"/>
      <c r="AT33" s="187"/>
      <c r="AU33" s="187"/>
      <c r="AV33" s="184"/>
      <c r="AW33" s="181"/>
      <c r="AX33" s="598"/>
    </row>
    <row r="34" spans="2:50" ht="14.25" customHeight="1">
      <c r="B34" s="597"/>
      <c r="C34" s="179">
        <v>8</v>
      </c>
      <c r="D34" s="182"/>
      <c r="E34" s="179"/>
      <c r="F34" s="179"/>
      <c r="G34" s="184"/>
      <c r="H34" s="598"/>
      <c r="I34" s="185"/>
      <c r="J34" s="185"/>
      <c r="K34" s="186"/>
      <c r="L34" s="599"/>
      <c r="M34" s="185"/>
      <c r="N34" s="597"/>
      <c r="O34" s="597"/>
      <c r="P34" s="187"/>
      <c r="Q34" s="187"/>
      <c r="R34" s="184"/>
      <c r="S34" s="181"/>
      <c r="T34" s="598"/>
      <c r="U34" s="187"/>
      <c r="V34" s="187"/>
      <c r="W34" s="184"/>
      <c r="X34" s="181"/>
      <c r="Y34" s="598"/>
      <c r="Z34" s="187"/>
      <c r="AA34" s="187"/>
      <c r="AB34" s="184"/>
      <c r="AC34" s="181"/>
      <c r="AD34" s="598"/>
      <c r="AE34" s="187"/>
      <c r="AF34" s="187"/>
      <c r="AG34" s="184"/>
      <c r="AH34" s="181"/>
      <c r="AI34" s="598"/>
      <c r="AJ34" s="187"/>
      <c r="AK34" s="187"/>
      <c r="AL34" s="184"/>
      <c r="AM34" s="181"/>
      <c r="AN34" s="598"/>
      <c r="AO34" s="187"/>
      <c r="AP34" s="187"/>
      <c r="AQ34" s="184"/>
      <c r="AR34" s="181"/>
      <c r="AS34" s="598"/>
      <c r="AT34" s="187"/>
      <c r="AU34" s="187"/>
      <c r="AV34" s="184"/>
      <c r="AW34" s="181"/>
      <c r="AX34" s="598"/>
    </row>
    <row r="35" spans="2:50" ht="14.25" customHeight="1">
      <c r="B35" s="597"/>
      <c r="C35" s="179">
        <v>9</v>
      </c>
      <c r="D35" s="182"/>
      <c r="E35" s="179"/>
      <c r="F35" s="179"/>
      <c r="G35" s="184"/>
      <c r="H35" s="598"/>
      <c r="I35" s="185"/>
      <c r="J35" s="185"/>
      <c r="K35" s="186"/>
      <c r="L35" s="599"/>
      <c r="M35" s="185"/>
      <c r="N35" s="597"/>
      <c r="O35" s="597"/>
      <c r="P35" s="187"/>
      <c r="Q35" s="187"/>
      <c r="R35" s="184"/>
      <c r="S35" s="181"/>
      <c r="T35" s="598"/>
      <c r="U35" s="187"/>
      <c r="V35" s="187"/>
      <c r="W35" s="184"/>
      <c r="X35" s="181"/>
      <c r="Y35" s="598"/>
      <c r="Z35" s="187"/>
      <c r="AA35" s="187"/>
      <c r="AB35" s="184"/>
      <c r="AC35" s="181"/>
      <c r="AD35" s="598"/>
      <c r="AE35" s="187"/>
      <c r="AF35" s="187"/>
      <c r="AG35" s="184"/>
      <c r="AH35" s="181"/>
      <c r="AI35" s="598"/>
      <c r="AJ35" s="187"/>
      <c r="AK35" s="187"/>
      <c r="AL35" s="184"/>
      <c r="AM35" s="181"/>
      <c r="AN35" s="598"/>
      <c r="AO35" s="187"/>
      <c r="AP35" s="187"/>
      <c r="AQ35" s="184"/>
      <c r="AR35" s="181"/>
      <c r="AS35" s="598"/>
      <c r="AT35" s="187"/>
      <c r="AU35" s="187"/>
      <c r="AV35" s="184"/>
      <c r="AW35" s="181"/>
      <c r="AX35" s="598"/>
    </row>
    <row r="36" spans="2:50" ht="14.25" customHeight="1">
      <c r="B36" s="597"/>
      <c r="C36" s="179">
        <v>10</v>
      </c>
      <c r="D36" s="182"/>
      <c r="E36" s="179"/>
      <c r="F36" s="179"/>
      <c r="G36" s="184"/>
      <c r="H36" s="598"/>
      <c r="I36" s="185"/>
      <c r="J36" s="185"/>
      <c r="K36" s="186"/>
      <c r="L36" s="599"/>
      <c r="M36" s="185"/>
      <c r="N36" s="597"/>
      <c r="O36" s="597"/>
      <c r="P36" s="187"/>
      <c r="Q36" s="187"/>
      <c r="R36" s="184"/>
      <c r="S36" s="181"/>
      <c r="T36" s="598"/>
      <c r="U36" s="187"/>
      <c r="V36" s="187"/>
      <c r="W36" s="184"/>
      <c r="X36" s="181"/>
      <c r="Y36" s="598"/>
      <c r="Z36" s="187"/>
      <c r="AA36" s="187"/>
      <c r="AB36" s="184"/>
      <c r="AC36" s="181"/>
      <c r="AD36" s="598"/>
      <c r="AE36" s="187"/>
      <c r="AF36" s="187"/>
      <c r="AG36" s="184"/>
      <c r="AH36" s="181"/>
      <c r="AI36" s="598"/>
      <c r="AJ36" s="187"/>
      <c r="AK36" s="187"/>
      <c r="AL36" s="184"/>
      <c r="AM36" s="181"/>
      <c r="AN36" s="598"/>
      <c r="AO36" s="187"/>
      <c r="AP36" s="187"/>
      <c r="AQ36" s="184"/>
      <c r="AR36" s="181"/>
      <c r="AS36" s="598"/>
      <c r="AT36" s="187"/>
      <c r="AU36" s="187"/>
      <c r="AV36" s="184"/>
      <c r="AW36" s="181"/>
      <c r="AX36" s="598"/>
    </row>
    <row r="37" spans="2:50" ht="14.25" customHeight="1">
      <c r="B37" s="597"/>
      <c r="C37" s="179">
        <v>11</v>
      </c>
      <c r="D37" s="182"/>
      <c r="E37" s="179"/>
      <c r="F37" s="179"/>
      <c r="G37" s="184"/>
      <c r="H37" s="598"/>
      <c r="I37" s="185"/>
      <c r="J37" s="185"/>
      <c r="K37" s="186"/>
      <c r="L37" s="599"/>
      <c r="M37" s="185"/>
      <c r="N37" s="597"/>
      <c r="O37" s="597"/>
      <c r="P37" s="187"/>
      <c r="Q37" s="187"/>
      <c r="R37" s="184"/>
      <c r="S37" s="181"/>
      <c r="T37" s="598"/>
      <c r="U37" s="187"/>
      <c r="V37" s="187"/>
      <c r="W37" s="184"/>
      <c r="X37" s="181"/>
      <c r="Y37" s="598"/>
      <c r="Z37" s="187"/>
      <c r="AA37" s="187"/>
      <c r="AB37" s="184"/>
      <c r="AC37" s="181"/>
      <c r="AD37" s="598"/>
      <c r="AE37" s="187"/>
      <c r="AF37" s="187"/>
      <c r="AG37" s="184"/>
      <c r="AH37" s="181"/>
      <c r="AI37" s="598"/>
      <c r="AJ37" s="187"/>
      <c r="AK37" s="187"/>
      <c r="AL37" s="184"/>
      <c r="AM37" s="181"/>
      <c r="AN37" s="598"/>
      <c r="AO37" s="187"/>
      <c r="AP37" s="187"/>
      <c r="AQ37" s="184"/>
      <c r="AR37" s="181"/>
      <c r="AS37" s="598"/>
      <c r="AT37" s="187"/>
      <c r="AU37" s="187"/>
      <c r="AV37" s="184"/>
      <c r="AW37" s="181"/>
      <c r="AX37" s="598"/>
    </row>
    <row r="38" spans="2:50" ht="14.25" customHeight="1">
      <c r="B38" s="597"/>
      <c r="C38" s="179">
        <v>12</v>
      </c>
      <c r="D38" s="182"/>
      <c r="E38" s="179"/>
      <c r="F38" s="179"/>
      <c r="G38" s="184"/>
      <c r="H38" s="598"/>
      <c r="I38" s="185"/>
      <c r="J38" s="185"/>
      <c r="K38" s="186"/>
      <c r="L38" s="599"/>
      <c r="M38" s="185"/>
      <c r="N38" s="597"/>
      <c r="O38" s="597"/>
      <c r="P38" s="187"/>
      <c r="Q38" s="187"/>
      <c r="R38" s="184"/>
      <c r="S38" s="181"/>
      <c r="T38" s="598"/>
      <c r="U38" s="187"/>
      <c r="V38" s="187"/>
      <c r="W38" s="184"/>
      <c r="X38" s="181"/>
      <c r="Y38" s="598"/>
      <c r="Z38" s="187"/>
      <c r="AA38" s="187"/>
      <c r="AB38" s="184"/>
      <c r="AC38" s="181"/>
      <c r="AD38" s="598"/>
      <c r="AE38" s="187"/>
      <c r="AF38" s="187"/>
      <c r="AG38" s="184"/>
      <c r="AH38" s="181"/>
      <c r="AI38" s="598"/>
      <c r="AJ38" s="187"/>
      <c r="AK38" s="187"/>
      <c r="AL38" s="184"/>
      <c r="AM38" s="181"/>
      <c r="AN38" s="598"/>
      <c r="AO38" s="187"/>
      <c r="AP38" s="187"/>
      <c r="AQ38" s="184"/>
      <c r="AR38" s="181"/>
      <c r="AS38" s="598"/>
      <c r="AT38" s="187"/>
      <c r="AU38" s="187"/>
      <c r="AV38" s="184"/>
      <c r="AW38" s="181"/>
      <c r="AX38" s="598"/>
    </row>
    <row r="39" spans="2:50" ht="14.25" customHeight="1">
      <c r="B39" s="597"/>
      <c r="C39" s="179">
        <v>13</v>
      </c>
      <c r="D39" s="182"/>
      <c r="E39" s="179"/>
      <c r="F39" s="179"/>
      <c r="G39" s="184"/>
      <c r="H39" s="598"/>
      <c r="I39" s="185"/>
      <c r="J39" s="185"/>
      <c r="K39" s="186"/>
      <c r="L39" s="599"/>
      <c r="M39" s="185"/>
      <c r="N39" s="597"/>
      <c r="O39" s="597"/>
      <c r="P39" s="187"/>
      <c r="Q39" s="187"/>
      <c r="R39" s="184"/>
      <c r="S39" s="181"/>
      <c r="T39" s="598"/>
      <c r="U39" s="187"/>
      <c r="V39" s="187"/>
      <c r="W39" s="184"/>
      <c r="X39" s="181"/>
      <c r="Y39" s="598"/>
      <c r="Z39" s="187"/>
      <c r="AA39" s="187"/>
      <c r="AB39" s="184"/>
      <c r="AC39" s="181"/>
      <c r="AD39" s="598"/>
      <c r="AE39" s="187"/>
      <c r="AF39" s="187"/>
      <c r="AG39" s="184"/>
      <c r="AH39" s="181"/>
      <c r="AI39" s="598"/>
      <c r="AJ39" s="187"/>
      <c r="AK39" s="187"/>
      <c r="AL39" s="184"/>
      <c r="AM39" s="181"/>
      <c r="AN39" s="598"/>
      <c r="AO39" s="187"/>
      <c r="AP39" s="187"/>
      <c r="AQ39" s="184"/>
      <c r="AR39" s="181"/>
      <c r="AS39" s="598"/>
      <c r="AT39" s="187"/>
      <c r="AU39" s="187"/>
      <c r="AV39" s="184"/>
      <c r="AW39" s="181"/>
      <c r="AX39" s="598"/>
    </row>
    <row r="40" spans="2:50" ht="14.25" customHeight="1">
      <c r="B40" s="597"/>
      <c r="C40" s="179">
        <v>14</v>
      </c>
      <c r="D40" s="182"/>
      <c r="E40" s="179"/>
      <c r="F40" s="179"/>
      <c r="G40" s="184"/>
      <c r="H40" s="598"/>
      <c r="I40" s="185"/>
      <c r="J40" s="185"/>
      <c r="K40" s="186"/>
      <c r="L40" s="599"/>
      <c r="M40" s="185"/>
      <c r="N40" s="597"/>
      <c r="O40" s="597"/>
      <c r="P40" s="187"/>
      <c r="Q40" s="187"/>
      <c r="R40" s="184"/>
      <c r="S40" s="181"/>
      <c r="T40" s="598"/>
      <c r="U40" s="187"/>
      <c r="V40" s="187"/>
      <c r="W40" s="184"/>
      <c r="X40" s="181"/>
      <c r="Y40" s="598"/>
      <c r="Z40" s="187"/>
      <c r="AA40" s="187"/>
      <c r="AB40" s="184"/>
      <c r="AC40" s="181"/>
      <c r="AD40" s="598"/>
      <c r="AE40" s="187"/>
      <c r="AF40" s="187"/>
      <c r="AG40" s="184"/>
      <c r="AH40" s="181"/>
      <c r="AI40" s="598"/>
      <c r="AJ40" s="187"/>
      <c r="AK40" s="187"/>
      <c r="AL40" s="184"/>
      <c r="AM40" s="181"/>
      <c r="AN40" s="598"/>
      <c r="AO40" s="187"/>
      <c r="AP40" s="187"/>
      <c r="AQ40" s="184"/>
      <c r="AR40" s="181"/>
      <c r="AS40" s="598"/>
      <c r="AT40" s="187"/>
      <c r="AU40" s="187"/>
      <c r="AV40" s="184"/>
      <c r="AW40" s="181"/>
      <c r="AX40" s="598"/>
    </row>
    <row r="41" spans="2:50" ht="14.25" customHeight="1">
      <c r="B41" s="597"/>
      <c r="C41" s="179">
        <v>15</v>
      </c>
      <c r="D41" s="182"/>
      <c r="E41" s="179"/>
      <c r="F41" s="179"/>
      <c r="G41" s="184"/>
      <c r="H41" s="598"/>
      <c r="I41" s="185"/>
      <c r="J41" s="185"/>
      <c r="K41" s="186"/>
      <c r="L41" s="599"/>
      <c r="M41" s="185"/>
      <c r="N41" s="597"/>
      <c r="O41" s="597"/>
      <c r="P41" s="187"/>
      <c r="Q41" s="187"/>
      <c r="R41" s="184"/>
      <c r="S41" s="181"/>
      <c r="T41" s="598"/>
      <c r="U41" s="187"/>
      <c r="V41" s="187"/>
      <c r="W41" s="184"/>
      <c r="X41" s="181"/>
      <c r="Y41" s="598"/>
      <c r="Z41" s="187"/>
      <c r="AA41" s="187"/>
      <c r="AB41" s="184"/>
      <c r="AC41" s="181"/>
      <c r="AD41" s="598"/>
      <c r="AE41" s="187"/>
      <c r="AF41" s="187"/>
      <c r="AG41" s="184"/>
      <c r="AH41" s="181"/>
      <c r="AI41" s="598"/>
      <c r="AJ41" s="187"/>
      <c r="AK41" s="187"/>
      <c r="AL41" s="184"/>
      <c r="AM41" s="181"/>
      <c r="AN41" s="598"/>
      <c r="AO41" s="187"/>
      <c r="AP41" s="187"/>
      <c r="AQ41" s="184"/>
      <c r="AR41" s="181"/>
      <c r="AS41" s="598"/>
      <c r="AT41" s="187"/>
      <c r="AU41" s="187"/>
      <c r="AV41" s="184"/>
      <c r="AW41" s="181"/>
      <c r="AX41" s="598"/>
    </row>
    <row r="42" spans="2:50" ht="14.25" customHeight="1">
      <c r="B42" s="625" t="s">
        <v>825</v>
      </c>
      <c r="C42" s="631"/>
      <c r="D42" s="631"/>
      <c r="E42" s="631"/>
      <c r="F42" s="631"/>
      <c r="G42" s="631"/>
      <c r="H42" s="631"/>
      <c r="I42" s="631"/>
      <c r="J42" s="631"/>
      <c r="K42" s="631"/>
      <c r="L42" s="631"/>
      <c r="M42" s="632"/>
      <c r="N42" s="629" t="s">
        <v>363</v>
      </c>
      <c r="O42" s="629" t="s">
        <v>105</v>
      </c>
      <c r="P42" s="617">
        <v>46217</v>
      </c>
      <c r="Q42" s="618"/>
      <c r="R42" s="618"/>
      <c r="S42" s="618"/>
      <c r="T42" s="618"/>
      <c r="U42" s="619">
        <v>46218</v>
      </c>
      <c r="V42" s="620"/>
      <c r="W42" s="620"/>
      <c r="X42" s="620"/>
      <c r="Y42" s="620"/>
      <c r="Z42" s="617">
        <v>46219</v>
      </c>
      <c r="AA42" s="618"/>
      <c r="AB42" s="618"/>
      <c r="AC42" s="618"/>
      <c r="AD42" s="618"/>
      <c r="AE42" s="619">
        <v>46220</v>
      </c>
      <c r="AF42" s="620"/>
      <c r="AG42" s="620"/>
      <c r="AH42" s="620"/>
      <c r="AI42" s="620"/>
      <c r="AJ42" s="602">
        <v>46221</v>
      </c>
      <c r="AK42" s="603"/>
      <c r="AL42" s="603"/>
      <c r="AM42" s="603"/>
      <c r="AN42" s="604"/>
      <c r="AO42" s="619">
        <v>46222</v>
      </c>
      <c r="AP42" s="620"/>
      <c r="AQ42" s="620"/>
      <c r="AR42" s="620"/>
      <c r="AS42" s="620"/>
      <c r="AT42" s="602">
        <v>46223</v>
      </c>
      <c r="AU42" s="603"/>
      <c r="AV42" s="603"/>
      <c r="AW42" s="603"/>
      <c r="AX42" s="604"/>
    </row>
    <row r="43" spans="2:50" ht="14.25" customHeight="1">
      <c r="B43" s="633"/>
      <c r="C43" s="633"/>
      <c r="D43" s="633"/>
      <c r="E43" s="633"/>
      <c r="F43" s="633"/>
      <c r="G43" s="633"/>
      <c r="H43" s="633"/>
      <c r="I43" s="633"/>
      <c r="J43" s="633"/>
      <c r="K43" s="633"/>
      <c r="L43" s="633"/>
      <c r="M43" s="634"/>
      <c r="N43" s="630"/>
      <c r="O43" s="630"/>
      <c r="P43" s="605">
        <v>46196</v>
      </c>
      <c r="Q43" s="605"/>
      <c r="R43" s="605"/>
      <c r="S43" s="605"/>
      <c r="T43" s="605"/>
      <c r="U43" s="606">
        <v>46197</v>
      </c>
      <c r="V43" s="606"/>
      <c r="W43" s="606"/>
      <c r="X43" s="606"/>
      <c r="Y43" s="606"/>
      <c r="Z43" s="605">
        <v>46198</v>
      </c>
      <c r="AA43" s="605"/>
      <c r="AB43" s="605"/>
      <c r="AC43" s="605"/>
      <c r="AD43" s="605"/>
      <c r="AE43" s="606">
        <v>46199</v>
      </c>
      <c r="AF43" s="606"/>
      <c r="AG43" s="606"/>
      <c r="AH43" s="606"/>
      <c r="AI43" s="606"/>
      <c r="AJ43" s="607">
        <v>46200</v>
      </c>
      <c r="AK43" s="608"/>
      <c r="AL43" s="608"/>
      <c r="AM43" s="608"/>
      <c r="AN43" s="609"/>
      <c r="AO43" s="606">
        <v>46201</v>
      </c>
      <c r="AP43" s="606"/>
      <c r="AQ43" s="606"/>
      <c r="AR43" s="606"/>
      <c r="AS43" s="606"/>
      <c r="AT43" s="607">
        <v>46202</v>
      </c>
      <c r="AU43" s="608"/>
      <c r="AV43" s="608"/>
      <c r="AW43" s="608"/>
      <c r="AX43" s="609"/>
    </row>
    <row r="44" spans="2:50" ht="14.25" customHeight="1">
      <c r="B44" s="597" t="s">
        <v>162</v>
      </c>
      <c r="C44" s="597" t="s">
        <v>157</v>
      </c>
      <c r="D44" s="597"/>
      <c r="E44" s="597" t="s">
        <v>158</v>
      </c>
      <c r="F44" s="597"/>
      <c r="G44" s="597"/>
      <c r="H44" s="597" t="s">
        <v>163</v>
      </c>
      <c r="I44" s="601" t="s">
        <v>364</v>
      </c>
      <c r="J44" s="601"/>
      <c r="K44" s="601"/>
      <c r="L44" s="601" t="s">
        <v>163</v>
      </c>
      <c r="M44" s="601" t="s">
        <v>165</v>
      </c>
      <c r="N44" s="597"/>
      <c r="O44" s="597" t="s">
        <v>164</v>
      </c>
      <c r="P44" s="597" t="s">
        <v>160</v>
      </c>
      <c r="Q44" s="597"/>
      <c r="R44" s="597"/>
      <c r="S44" s="597"/>
      <c r="T44" s="597" t="s">
        <v>163</v>
      </c>
      <c r="U44" s="597" t="s">
        <v>160</v>
      </c>
      <c r="V44" s="597"/>
      <c r="W44" s="597"/>
      <c r="X44" s="597"/>
      <c r="Y44" s="597" t="s">
        <v>163</v>
      </c>
      <c r="Z44" s="597" t="s">
        <v>160</v>
      </c>
      <c r="AA44" s="597"/>
      <c r="AB44" s="597"/>
      <c r="AC44" s="597"/>
      <c r="AD44" s="597" t="s">
        <v>163</v>
      </c>
      <c r="AE44" s="597" t="s">
        <v>160</v>
      </c>
      <c r="AF44" s="597"/>
      <c r="AG44" s="597"/>
      <c r="AH44" s="597"/>
      <c r="AI44" s="597" t="s">
        <v>163</v>
      </c>
      <c r="AJ44" s="597" t="s">
        <v>160</v>
      </c>
      <c r="AK44" s="597"/>
      <c r="AL44" s="597"/>
      <c r="AM44" s="597"/>
      <c r="AN44" s="597" t="s">
        <v>163</v>
      </c>
      <c r="AO44" s="597" t="s">
        <v>160</v>
      </c>
      <c r="AP44" s="597"/>
      <c r="AQ44" s="597"/>
      <c r="AR44" s="597"/>
      <c r="AS44" s="597" t="s">
        <v>163</v>
      </c>
      <c r="AT44" s="597" t="s">
        <v>160</v>
      </c>
      <c r="AU44" s="597"/>
      <c r="AV44" s="597"/>
      <c r="AW44" s="597"/>
      <c r="AX44" s="597" t="s">
        <v>163</v>
      </c>
    </row>
    <row r="45" spans="2:50" ht="14.25" customHeight="1">
      <c r="B45" s="597"/>
      <c r="C45" s="597"/>
      <c r="D45" s="597"/>
      <c r="E45" s="597" t="s">
        <v>365</v>
      </c>
      <c r="F45" s="597"/>
      <c r="G45" s="597"/>
      <c r="H45" s="597"/>
      <c r="I45" s="601" t="s">
        <v>365</v>
      </c>
      <c r="J45" s="601"/>
      <c r="K45" s="601"/>
      <c r="L45" s="601"/>
      <c r="M45" s="601"/>
      <c r="N45" s="597"/>
      <c r="O45" s="597"/>
      <c r="P45" s="597" t="s">
        <v>366</v>
      </c>
      <c r="Q45" s="597"/>
      <c r="R45" s="597"/>
      <c r="S45" s="597"/>
      <c r="T45" s="597"/>
      <c r="U45" s="597" t="s">
        <v>366</v>
      </c>
      <c r="V45" s="597"/>
      <c r="W45" s="597"/>
      <c r="X45" s="597"/>
      <c r="Y45" s="597"/>
      <c r="Z45" s="597" t="s">
        <v>366</v>
      </c>
      <c r="AA45" s="597"/>
      <c r="AB45" s="597"/>
      <c r="AC45" s="597"/>
      <c r="AD45" s="597"/>
      <c r="AE45" s="597" t="s">
        <v>366</v>
      </c>
      <c r="AF45" s="597"/>
      <c r="AG45" s="597"/>
      <c r="AH45" s="597"/>
      <c r="AI45" s="597"/>
      <c r="AJ45" s="597" t="s">
        <v>366</v>
      </c>
      <c r="AK45" s="597"/>
      <c r="AL45" s="597"/>
      <c r="AM45" s="597"/>
      <c r="AN45" s="597"/>
      <c r="AO45" s="597" t="s">
        <v>366</v>
      </c>
      <c r="AP45" s="597"/>
      <c r="AQ45" s="597"/>
      <c r="AR45" s="597"/>
      <c r="AS45" s="597"/>
      <c r="AT45" s="597" t="s">
        <v>366</v>
      </c>
      <c r="AU45" s="597"/>
      <c r="AV45" s="597"/>
      <c r="AW45" s="597"/>
      <c r="AX45" s="597"/>
    </row>
    <row r="46" spans="2:50" ht="14.25" customHeight="1">
      <c r="B46" s="597"/>
      <c r="C46" s="597"/>
      <c r="D46" s="597"/>
      <c r="E46" s="179" t="s">
        <v>159</v>
      </c>
      <c r="F46" s="179" t="s">
        <v>367</v>
      </c>
      <c r="G46" s="179" t="s">
        <v>161</v>
      </c>
      <c r="H46" s="597"/>
      <c r="I46" s="180" t="s">
        <v>159</v>
      </c>
      <c r="J46" s="180" t="s">
        <v>367</v>
      </c>
      <c r="K46" s="180" t="s">
        <v>161</v>
      </c>
      <c r="L46" s="601"/>
      <c r="M46" s="601"/>
      <c r="N46" s="597"/>
      <c r="O46" s="597"/>
      <c r="P46" s="179" t="s">
        <v>159</v>
      </c>
      <c r="Q46" s="179" t="s">
        <v>367</v>
      </c>
      <c r="R46" s="179" t="s">
        <v>161</v>
      </c>
      <c r="S46" s="181" t="s">
        <v>165</v>
      </c>
      <c r="T46" s="597"/>
      <c r="U46" s="179" t="s">
        <v>159</v>
      </c>
      <c r="V46" s="179" t="s">
        <v>367</v>
      </c>
      <c r="W46" s="179" t="s">
        <v>161</v>
      </c>
      <c r="X46" s="181" t="s">
        <v>165</v>
      </c>
      <c r="Y46" s="597"/>
      <c r="Z46" s="179" t="s">
        <v>159</v>
      </c>
      <c r="AA46" s="179" t="s">
        <v>367</v>
      </c>
      <c r="AB46" s="179" t="s">
        <v>161</v>
      </c>
      <c r="AC46" s="181" t="s">
        <v>165</v>
      </c>
      <c r="AD46" s="597"/>
      <c r="AE46" s="179" t="s">
        <v>159</v>
      </c>
      <c r="AF46" s="179" t="s">
        <v>367</v>
      </c>
      <c r="AG46" s="179" t="s">
        <v>161</v>
      </c>
      <c r="AH46" s="181" t="s">
        <v>165</v>
      </c>
      <c r="AI46" s="597"/>
      <c r="AJ46" s="179" t="s">
        <v>159</v>
      </c>
      <c r="AK46" s="179" t="s">
        <v>367</v>
      </c>
      <c r="AL46" s="179" t="s">
        <v>161</v>
      </c>
      <c r="AM46" s="181" t="s">
        <v>165</v>
      </c>
      <c r="AN46" s="597"/>
      <c r="AO46" s="179" t="s">
        <v>159</v>
      </c>
      <c r="AP46" s="179" t="s">
        <v>367</v>
      </c>
      <c r="AQ46" s="179" t="s">
        <v>161</v>
      </c>
      <c r="AR46" s="181" t="s">
        <v>165</v>
      </c>
      <c r="AS46" s="597"/>
      <c r="AT46" s="179" t="s">
        <v>159</v>
      </c>
      <c r="AU46" s="179" t="s">
        <v>367</v>
      </c>
      <c r="AV46" s="179" t="s">
        <v>161</v>
      </c>
      <c r="AW46" s="181" t="s">
        <v>165</v>
      </c>
      <c r="AX46" s="597"/>
    </row>
    <row r="47" spans="2:50" ht="14.25" customHeight="1">
      <c r="B47" s="597" t="s">
        <v>143</v>
      </c>
      <c r="C47" s="179">
        <v>1</v>
      </c>
      <c r="D47" s="182" t="s">
        <v>650</v>
      </c>
      <c r="E47" s="183">
        <v>19</v>
      </c>
      <c r="F47" s="179">
        <v>2000</v>
      </c>
      <c r="G47" s="184">
        <f t="shared" ref="G47:G51" si="33">IFERROR(F47/E47,"")</f>
        <v>105.26315789473684</v>
      </c>
      <c r="H47" s="598">
        <f>AVERAGE(G47:G61)</f>
        <v>130.42326094957676</v>
      </c>
      <c r="I47" s="185">
        <f>AVERAGE(P47,U47,Z47,AE47,AJ47,AO47,AT47)</f>
        <v>19</v>
      </c>
      <c r="J47" s="185">
        <f>AVERAGE(Q47,V47,AA47,AF47,AK47,AP47,AU47)</f>
        <v>1792.6515942538358</v>
      </c>
      <c r="K47" s="186">
        <f>AVERAGE(R47,W47,AB47,AG47,AL47,AQ47,AV47)</f>
        <v>94.350083908096622</v>
      </c>
      <c r="L47" s="599">
        <f>IFERROR(AVERAGE(K47:K61),"-")</f>
        <v>117.51708434954745</v>
      </c>
      <c r="M47" s="185">
        <f>RANK(K47, K$47:$K$61)</f>
        <v>3</v>
      </c>
      <c r="N47" s="597"/>
      <c r="O47" s="597"/>
      <c r="P47" s="187">
        <v>19</v>
      </c>
      <c r="Q47" s="187">
        <v>1790.4282941968229</v>
      </c>
      <c r="R47" s="184">
        <f>IFERROR(Q47/P47,"")</f>
        <v>94.23306811562226</v>
      </c>
      <c r="S47" s="181">
        <f>RANK(R47, R$47:R$61)</f>
        <v>3</v>
      </c>
      <c r="T47" s="598">
        <f>AVERAGE(R47:R61)</f>
        <v>117.47216871148737</v>
      </c>
      <c r="U47" s="187">
        <v>19</v>
      </c>
      <c r="V47" s="187">
        <v>1790.0282941968228</v>
      </c>
      <c r="W47" s="184">
        <f t="shared" ref="W47:W51" si="34">IFERROR(V47/U47,"")</f>
        <v>94.212015484043306</v>
      </c>
      <c r="X47" s="181">
        <f>RANK(W47, W$47:W$61)</f>
        <v>3</v>
      </c>
      <c r="Y47" s="598">
        <f>AVERAGE(W47:W61)</f>
        <v>117.48207279065278</v>
      </c>
      <c r="Z47" s="187">
        <v>19</v>
      </c>
      <c r="AA47" s="187">
        <v>1790.4282941968229</v>
      </c>
      <c r="AB47" s="184">
        <f>IFERROR(AA47/Z47,"")</f>
        <v>94.23306811562226</v>
      </c>
      <c r="AC47" s="181">
        <f>RANK(AB47, AB$47:AB$61)</f>
        <v>3</v>
      </c>
      <c r="AD47" s="598">
        <f>AVERAGE(AB47:AB61)</f>
        <v>117.50071688340213</v>
      </c>
      <c r="AE47" s="187">
        <v>19</v>
      </c>
      <c r="AF47" s="187">
        <v>1789.8282941968232</v>
      </c>
      <c r="AG47" s="184">
        <f>IFERROR(AF47/AE47,"")</f>
        <v>94.201489168253858</v>
      </c>
      <c r="AH47" s="181">
        <f>RANK(AG47, AG$47:AG$61)</f>
        <v>3</v>
      </c>
      <c r="AI47" s="598">
        <f>AVERAGE(AG47:AG61)</f>
        <v>117.49272277225013</v>
      </c>
      <c r="AJ47" s="187">
        <v>19</v>
      </c>
      <c r="AK47" s="187">
        <v>1795.4159943298528</v>
      </c>
      <c r="AL47" s="184">
        <f>IFERROR(AK47/AJ47,"")</f>
        <v>94.495578648939613</v>
      </c>
      <c r="AM47" s="181">
        <f>RANK(AL47, AL$47:AL$61)</f>
        <v>3</v>
      </c>
      <c r="AN47" s="598">
        <f>AVERAGE(AL47:AL61)</f>
        <v>117.52415605300266</v>
      </c>
      <c r="AO47" s="187">
        <v>19</v>
      </c>
      <c r="AP47" s="187">
        <v>1796.2159943298525</v>
      </c>
      <c r="AQ47" s="184">
        <f>IFERROR(AP47/AO47,"")</f>
        <v>94.537683912097506</v>
      </c>
      <c r="AR47" s="181">
        <f>RANK(AQ47, AQ$47:AQ$61)</f>
        <v>3</v>
      </c>
      <c r="AS47" s="598">
        <f>AVERAGE(AQ47:AQ61)</f>
        <v>117.54123743148776</v>
      </c>
      <c r="AT47" s="187">
        <v>19</v>
      </c>
      <c r="AU47" s="187">
        <v>1796.2159943298529</v>
      </c>
      <c r="AV47" s="184">
        <f>IFERROR(AU47/AT47,"")</f>
        <v>94.537683912097521</v>
      </c>
      <c r="AW47" s="181">
        <f>RANK(AV47, AV$47:AV$61)</f>
        <v>3</v>
      </c>
      <c r="AX47" s="598">
        <f>AVERAGE(AV47:AV61)</f>
        <v>117.60651580454926</v>
      </c>
    </row>
    <row r="48" spans="2:50" ht="14.25" customHeight="1">
      <c r="B48" s="597"/>
      <c r="C48" s="179">
        <v>2</v>
      </c>
      <c r="D48" s="182" t="s">
        <v>354</v>
      </c>
      <c r="E48" s="179">
        <v>13</v>
      </c>
      <c r="F48" s="179">
        <v>1200</v>
      </c>
      <c r="G48" s="184">
        <f t="shared" si="33"/>
        <v>92.307692307692307</v>
      </c>
      <c r="H48" s="598"/>
      <c r="I48" s="185">
        <f t="shared" ref="I48:K51" si="35">AVERAGE(P48,U48,Z48,AE48,AJ48,AO48,AT48)</f>
        <v>13</v>
      </c>
      <c r="J48" s="185">
        <f t="shared" si="35"/>
        <v>1081.5076325246</v>
      </c>
      <c r="K48" s="186">
        <f t="shared" si="35"/>
        <v>83.192894809584615</v>
      </c>
      <c r="L48" s="599"/>
      <c r="M48" s="185">
        <f>RANK(K48, K$47:$K$61)</f>
        <v>4</v>
      </c>
      <c r="N48" s="597"/>
      <c r="O48" s="597"/>
      <c r="P48" s="187">
        <v>13</v>
      </c>
      <c r="Q48" s="187">
        <v>1081.6104896674569</v>
      </c>
      <c r="R48" s="184">
        <f t="shared" ref="R48:R51" si="36">IFERROR(Q48/P48,"")</f>
        <v>83.20080689749669</v>
      </c>
      <c r="S48" s="181">
        <f t="shared" ref="S48:S51" si="37">RANK(R48, R$47:R$61)</f>
        <v>4</v>
      </c>
      <c r="T48" s="598"/>
      <c r="U48" s="187">
        <v>13</v>
      </c>
      <c r="V48" s="187">
        <v>1081.490489667457</v>
      </c>
      <c r="W48" s="184">
        <f t="shared" si="34"/>
        <v>83.191576128265922</v>
      </c>
      <c r="X48" s="181">
        <f t="shared" ref="X48:X51" si="38">RANK(W48, W$47:W$61)</f>
        <v>4</v>
      </c>
      <c r="Y48" s="598"/>
      <c r="Z48" s="187">
        <v>13</v>
      </c>
      <c r="AA48" s="187">
        <v>1081.0104896674573</v>
      </c>
      <c r="AB48" s="184">
        <f t="shared" ref="AB48:AB51" si="39">IFERROR(AA48/Z48,"")</f>
        <v>83.154653051342862</v>
      </c>
      <c r="AC48" s="181">
        <f t="shared" ref="AC48:AC51" si="40">RANK(AB48, AB$47:AB$61)</f>
        <v>4</v>
      </c>
      <c r="AD48" s="598"/>
      <c r="AE48" s="187">
        <v>13</v>
      </c>
      <c r="AF48" s="187">
        <v>1081.6104896674572</v>
      </c>
      <c r="AG48" s="184">
        <f t="shared" ref="AG48:AG51" si="41">IFERROR(AF48/AE48,"")</f>
        <v>83.200806897496705</v>
      </c>
      <c r="AH48" s="181">
        <f t="shared" ref="AH48:AH51" si="42">RANK(AG48, AG$47:AG$61)</f>
        <v>4</v>
      </c>
      <c r="AI48" s="598"/>
      <c r="AJ48" s="187">
        <v>13</v>
      </c>
      <c r="AK48" s="187">
        <v>1081.1304896674571</v>
      </c>
      <c r="AL48" s="184">
        <f t="shared" ref="AL48:AL51" si="43">IFERROR(AK48/AJ48,"")</f>
        <v>83.163883820573631</v>
      </c>
      <c r="AM48" s="181">
        <f t="shared" ref="AM48:AM51" si="44">RANK(AL48, AL$47:AL$61)</f>
        <v>4</v>
      </c>
      <c r="AN48" s="598"/>
      <c r="AO48" s="187">
        <v>13</v>
      </c>
      <c r="AP48" s="187">
        <v>1081.6104896674572</v>
      </c>
      <c r="AQ48" s="184">
        <f t="shared" ref="AQ48:AQ51" si="45">IFERROR(AP48/AO48,"")</f>
        <v>83.200806897496705</v>
      </c>
      <c r="AR48" s="181">
        <f t="shared" ref="AR48:AR51" si="46">RANK(AQ48, AQ$47:AQ$61)</f>
        <v>4</v>
      </c>
      <c r="AS48" s="598"/>
      <c r="AT48" s="187">
        <v>13</v>
      </c>
      <c r="AU48" s="187">
        <v>1082.0904896674572</v>
      </c>
      <c r="AV48" s="184">
        <f t="shared" ref="AV48:AV51" si="47">IFERROR(AU48/AT48,"")</f>
        <v>83.237729974419779</v>
      </c>
      <c r="AW48" s="181">
        <f t="shared" ref="AW48:AW51" si="48">RANK(AV48, AV$47:AV$61)</f>
        <v>4</v>
      </c>
      <c r="AX48" s="598"/>
    </row>
    <row r="49" spans="2:50" ht="14.25" customHeight="1">
      <c r="B49" s="597"/>
      <c r="C49" s="179">
        <v>3</v>
      </c>
      <c r="D49" s="182" t="s">
        <v>615</v>
      </c>
      <c r="E49" s="179">
        <v>11</v>
      </c>
      <c r="F49" s="179">
        <v>2000</v>
      </c>
      <c r="G49" s="184">
        <f t="shared" si="33"/>
        <v>181.81818181818181</v>
      </c>
      <c r="H49" s="598"/>
      <c r="I49" s="185">
        <f t="shared" si="35"/>
        <v>11</v>
      </c>
      <c r="J49" s="185">
        <f t="shared" si="35"/>
        <v>1804.4930696569204</v>
      </c>
      <c r="K49" s="186">
        <f t="shared" si="35"/>
        <v>164.04482451426546</v>
      </c>
      <c r="L49" s="599"/>
      <c r="M49" s="185">
        <f>RANK(K49, K$47:$K$61)</f>
        <v>2</v>
      </c>
      <c r="N49" s="597"/>
      <c r="O49" s="597"/>
      <c r="P49" s="187">
        <v>11</v>
      </c>
      <c r="Q49" s="187">
        <v>1804.2181432535194</v>
      </c>
      <c r="R49" s="184">
        <f t="shared" si="36"/>
        <v>164.0198312048654</v>
      </c>
      <c r="S49" s="181">
        <f t="shared" si="37"/>
        <v>2</v>
      </c>
      <c r="T49" s="598"/>
      <c r="U49" s="187">
        <v>11</v>
      </c>
      <c r="V49" s="187">
        <v>1803.6181432535197</v>
      </c>
      <c r="W49" s="184">
        <f t="shared" si="34"/>
        <v>163.96528575031996</v>
      </c>
      <c r="X49" s="181">
        <f t="shared" si="38"/>
        <v>2</v>
      </c>
      <c r="Y49" s="598"/>
      <c r="Z49" s="187">
        <v>11</v>
      </c>
      <c r="AA49" s="187">
        <v>1804.4181432535192</v>
      </c>
      <c r="AB49" s="184">
        <f t="shared" si="39"/>
        <v>164.0380130230472</v>
      </c>
      <c r="AC49" s="181">
        <f t="shared" si="40"/>
        <v>2</v>
      </c>
      <c r="AD49" s="598"/>
      <c r="AE49" s="187">
        <v>11</v>
      </c>
      <c r="AF49" s="187">
        <v>1805.0181432535194</v>
      </c>
      <c r="AG49" s="184">
        <f t="shared" si="41"/>
        <v>164.09255847759266</v>
      </c>
      <c r="AH49" s="181">
        <f t="shared" si="42"/>
        <v>2</v>
      </c>
      <c r="AI49" s="598"/>
      <c r="AJ49" s="187">
        <v>11</v>
      </c>
      <c r="AK49" s="187">
        <v>1804.0181432535196</v>
      </c>
      <c r="AL49" s="184">
        <f t="shared" si="43"/>
        <v>164.0016493866836</v>
      </c>
      <c r="AM49" s="181">
        <f t="shared" si="44"/>
        <v>2</v>
      </c>
      <c r="AN49" s="598"/>
      <c r="AO49" s="187">
        <v>11</v>
      </c>
      <c r="AP49" s="187">
        <v>1804.1883073293079</v>
      </c>
      <c r="AQ49" s="184">
        <f t="shared" si="45"/>
        <v>164.01711884811891</v>
      </c>
      <c r="AR49" s="181">
        <f t="shared" si="46"/>
        <v>2</v>
      </c>
      <c r="AS49" s="598"/>
      <c r="AT49" s="187">
        <v>11</v>
      </c>
      <c r="AU49" s="187">
        <v>1805.9724640015374</v>
      </c>
      <c r="AV49" s="184">
        <f t="shared" si="47"/>
        <v>164.17931490923067</v>
      </c>
      <c r="AW49" s="181">
        <f t="shared" si="48"/>
        <v>2</v>
      </c>
      <c r="AX49" s="598"/>
    </row>
    <row r="50" spans="2:50" ht="14.25" customHeight="1">
      <c r="B50" s="597"/>
      <c r="C50" s="179">
        <v>4</v>
      </c>
      <c r="D50" s="182" t="s">
        <v>616</v>
      </c>
      <c r="E50" s="179">
        <v>22</v>
      </c>
      <c r="F50" s="179">
        <v>2000</v>
      </c>
      <c r="G50" s="184">
        <f t="shared" si="33"/>
        <v>90.909090909090907</v>
      </c>
      <c r="H50" s="598"/>
      <c r="I50" s="185">
        <f t="shared" si="35"/>
        <v>22</v>
      </c>
      <c r="J50" s="185">
        <f t="shared" si="35"/>
        <v>1800.1406628782086</v>
      </c>
      <c r="K50" s="186">
        <f t="shared" si="35"/>
        <v>81.824575585373125</v>
      </c>
      <c r="L50" s="599"/>
      <c r="M50" s="185">
        <f>RANK(K50, K$47:$K$61)</f>
        <v>5</v>
      </c>
      <c r="N50" s="597"/>
      <c r="O50" s="597"/>
      <c r="P50" s="187">
        <v>22</v>
      </c>
      <c r="Q50" s="187">
        <v>1799.0072198559162</v>
      </c>
      <c r="R50" s="184">
        <f t="shared" si="36"/>
        <v>81.773055447996185</v>
      </c>
      <c r="S50" s="181">
        <f t="shared" si="37"/>
        <v>5</v>
      </c>
      <c r="T50" s="598"/>
      <c r="U50" s="187">
        <v>22</v>
      </c>
      <c r="V50" s="187">
        <v>1799.9629033819238</v>
      </c>
      <c r="W50" s="184">
        <f t="shared" si="34"/>
        <v>81.816495608269264</v>
      </c>
      <c r="X50" s="181">
        <f t="shared" si="38"/>
        <v>5</v>
      </c>
      <c r="Y50" s="598"/>
      <c r="Z50" s="187">
        <v>22</v>
      </c>
      <c r="AA50" s="187">
        <v>1800.3629033819238</v>
      </c>
      <c r="AB50" s="184">
        <f t="shared" si="39"/>
        <v>81.83467742645108</v>
      </c>
      <c r="AC50" s="181">
        <f t="shared" si="40"/>
        <v>5</v>
      </c>
      <c r="AD50" s="598"/>
      <c r="AE50" s="187">
        <v>22</v>
      </c>
      <c r="AF50" s="187">
        <v>1799.5629033819239</v>
      </c>
      <c r="AG50" s="184">
        <f t="shared" si="41"/>
        <v>81.798313790087448</v>
      </c>
      <c r="AH50" s="181">
        <f t="shared" si="42"/>
        <v>5</v>
      </c>
      <c r="AI50" s="598"/>
      <c r="AJ50" s="187">
        <v>22</v>
      </c>
      <c r="AK50" s="187">
        <v>1800.5629033819237</v>
      </c>
      <c r="AL50" s="184">
        <f t="shared" si="43"/>
        <v>81.843768335541981</v>
      </c>
      <c r="AM50" s="181">
        <f t="shared" si="44"/>
        <v>5</v>
      </c>
      <c r="AN50" s="598"/>
      <c r="AO50" s="187">
        <v>22</v>
      </c>
      <c r="AP50" s="187">
        <v>1800.3629033819238</v>
      </c>
      <c r="AQ50" s="184">
        <f t="shared" si="45"/>
        <v>81.83467742645108</v>
      </c>
      <c r="AR50" s="181">
        <f t="shared" si="46"/>
        <v>5</v>
      </c>
      <c r="AS50" s="598"/>
      <c r="AT50" s="187">
        <v>22</v>
      </c>
      <c r="AU50" s="187">
        <v>1801.1629033819238</v>
      </c>
      <c r="AV50" s="184">
        <f t="shared" si="47"/>
        <v>81.871041062814712</v>
      </c>
      <c r="AW50" s="181">
        <f t="shared" si="48"/>
        <v>5</v>
      </c>
      <c r="AX50" s="598"/>
    </row>
    <row r="51" spans="2:50" ht="14.25" customHeight="1">
      <c r="B51" s="597"/>
      <c r="C51" s="179">
        <v>5</v>
      </c>
      <c r="D51" s="182" t="s">
        <v>617</v>
      </c>
      <c r="E51" s="179">
        <v>11</v>
      </c>
      <c r="F51" s="179">
        <v>2000</v>
      </c>
      <c r="G51" s="184">
        <f t="shared" si="33"/>
        <v>181.81818181818181</v>
      </c>
      <c r="H51" s="598"/>
      <c r="I51" s="185">
        <f t="shared" si="35"/>
        <v>11</v>
      </c>
      <c r="J51" s="185">
        <f t="shared" si="35"/>
        <v>1805.9034722345914</v>
      </c>
      <c r="K51" s="186">
        <f t="shared" si="35"/>
        <v>164.17304293041738</v>
      </c>
      <c r="L51" s="599"/>
      <c r="M51" s="185">
        <f>RANK(K51, K$47:$K$61)</f>
        <v>1</v>
      </c>
      <c r="N51" s="597"/>
      <c r="O51" s="597"/>
      <c r="P51" s="187">
        <v>11</v>
      </c>
      <c r="Q51" s="187">
        <v>1805.4749008060198</v>
      </c>
      <c r="R51" s="184">
        <f t="shared" si="36"/>
        <v>164.13408189145636</v>
      </c>
      <c r="S51" s="181">
        <f t="shared" si="37"/>
        <v>1</v>
      </c>
      <c r="T51" s="598"/>
      <c r="U51" s="187">
        <v>11</v>
      </c>
      <c r="V51" s="187">
        <v>1806.4749008060198</v>
      </c>
      <c r="W51" s="184">
        <f t="shared" si="34"/>
        <v>164.22499098236543</v>
      </c>
      <c r="X51" s="181">
        <f t="shared" si="38"/>
        <v>1</v>
      </c>
      <c r="Y51" s="598"/>
      <c r="Z51" s="187">
        <v>11</v>
      </c>
      <c r="AA51" s="187">
        <v>1806.6749008060197</v>
      </c>
      <c r="AB51" s="184">
        <f t="shared" si="39"/>
        <v>164.24317280054723</v>
      </c>
      <c r="AC51" s="181">
        <f t="shared" si="40"/>
        <v>1</v>
      </c>
      <c r="AD51" s="598"/>
      <c r="AE51" s="187">
        <v>11</v>
      </c>
      <c r="AF51" s="187">
        <v>1805.8749008060199</v>
      </c>
      <c r="AG51" s="184">
        <f t="shared" si="41"/>
        <v>164.17044552781999</v>
      </c>
      <c r="AH51" s="181">
        <f t="shared" si="42"/>
        <v>1</v>
      </c>
      <c r="AI51" s="598"/>
      <c r="AJ51" s="187">
        <v>11</v>
      </c>
      <c r="AK51" s="187">
        <v>1805.2749008060198</v>
      </c>
      <c r="AL51" s="184">
        <f t="shared" si="43"/>
        <v>164.11590007327453</v>
      </c>
      <c r="AM51" s="181">
        <f t="shared" si="44"/>
        <v>1</v>
      </c>
      <c r="AN51" s="598"/>
      <c r="AO51" s="187">
        <v>11</v>
      </c>
      <c r="AP51" s="187">
        <v>1805.27490080602</v>
      </c>
      <c r="AQ51" s="184">
        <f t="shared" si="45"/>
        <v>164.11590007327456</v>
      </c>
      <c r="AR51" s="181">
        <f t="shared" si="46"/>
        <v>1</v>
      </c>
      <c r="AS51" s="598"/>
      <c r="AT51" s="187">
        <v>11</v>
      </c>
      <c r="AU51" s="187">
        <v>1806.27490080602</v>
      </c>
      <c r="AV51" s="184">
        <f t="shared" si="47"/>
        <v>164.20680916418362</v>
      </c>
      <c r="AW51" s="181">
        <f t="shared" si="48"/>
        <v>1</v>
      </c>
      <c r="AX51" s="598"/>
    </row>
    <row r="52" spans="2:50" ht="14.25" customHeight="1">
      <c r="B52" s="597"/>
      <c r="C52" s="179">
        <v>6</v>
      </c>
      <c r="D52" s="182"/>
      <c r="E52" s="179"/>
      <c r="F52" s="179"/>
      <c r="G52" s="184"/>
      <c r="H52" s="598"/>
      <c r="I52" s="185"/>
      <c r="J52" s="185"/>
      <c r="K52" s="186"/>
      <c r="L52" s="599"/>
      <c r="M52" s="185"/>
      <c r="N52" s="597"/>
      <c r="O52" s="597"/>
      <c r="P52" s="187"/>
      <c r="Q52" s="187"/>
      <c r="R52" s="184"/>
      <c r="S52" s="181"/>
      <c r="T52" s="598"/>
      <c r="U52" s="187"/>
      <c r="V52" s="187"/>
      <c r="W52" s="184"/>
      <c r="X52" s="181"/>
      <c r="Y52" s="598"/>
      <c r="Z52" s="187"/>
      <c r="AA52" s="187"/>
      <c r="AB52" s="184"/>
      <c r="AC52" s="181"/>
      <c r="AD52" s="598"/>
      <c r="AE52" s="187"/>
      <c r="AF52" s="187"/>
      <c r="AG52" s="184"/>
      <c r="AH52" s="181"/>
      <c r="AI52" s="598"/>
      <c r="AJ52" s="187"/>
      <c r="AK52" s="187"/>
      <c r="AL52" s="184"/>
      <c r="AM52" s="181"/>
      <c r="AN52" s="598"/>
      <c r="AO52" s="187"/>
      <c r="AP52" s="187"/>
      <c r="AQ52" s="184"/>
      <c r="AR52" s="181"/>
      <c r="AS52" s="598"/>
      <c r="AT52" s="187"/>
      <c r="AU52" s="187"/>
      <c r="AV52" s="184"/>
      <c r="AW52" s="181"/>
      <c r="AX52" s="598"/>
    </row>
    <row r="53" spans="2:50" ht="14.25" customHeight="1">
      <c r="B53" s="597"/>
      <c r="C53" s="179">
        <v>7</v>
      </c>
      <c r="D53" s="182"/>
      <c r="E53" s="179"/>
      <c r="F53" s="179"/>
      <c r="G53" s="184"/>
      <c r="H53" s="598"/>
      <c r="I53" s="185"/>
      <c r="J53" s="185"/>
      <c r="K53" s="186"/>
      <c r="L53" s="599"/>
      <c r="M53" s="185"/>
      <c r="N53" s="597"/>
      <c r="O53" s="597"/>
      <c r="P53" s="187"/>
      <c r="Q53" s="187"/>
      <c r="R53" s="184"/>
      <c r="S53" s="181"/>
      <c r="T53" s="598"/>
      <c r="U53" s="187"/>
      <c r="V53" s="187"/>
      <c r="W53" s="184"/>
      <c r="X53" s="181"/>
      <c r="Y53" s="598"/>
      <c r="Z53" s="187"/>
      <c r="AA53" s="187"/>
      <c r="AB53" s="184"/>
      <c r="AC53" s="181"/>
      <c r="AD53" s="598"/>
      <c r="AE53" s="187"/>
      <c r="AF53" s="187"/>
      <c r="AG53" s="184"/>
      <c r="AH53" s="181"/>
      <c r="AI53" s="598"/>
      <c r="AJ53" s="187"/>
      <c r="AK53" s="187"/>
      <c r="AL53" s="184"/>
      <c r="AM53" s="181"/>
      <c r="AN53" s="598"/>
      <c r="AO53" s="187"/>
      <c r="AP53" s="187"/>
      <c r="AQ53" s="184"/>
      <c r="AR53" s="181"/>
      <c r="AS53" s="598"/>
      <c r="AT53" s="187"/>
      <c r="AU53" s="187"/>
      <c r="AV53" s="184"/>
      <c r="AW53" s="181"/>
      <c r="AX53" s="598"/>
    </row>
    <row r="54" spans="2:50" ht="14.25" customHeight="1">
      <c r="B54" s="597"/>
      <c r="C54" s="179">
        <v>8</v>
      </c>
      <c r="D54" s="182"/>
      <c r="E54" s="179"/>
      <c r="F54" s="179"/>
      <c r="G54" s="184"/>
      <c r="H54" s="598"/>
      <c r="I54" s="185"/>
      <c r="J54" s="185"/>
      <c r="K54" s="186"/>
      <c r="L54" s="599"/>
      <c r="M54" s="185"/>
      <c r="N54" s="597"/>
      <c r="O54" s="597"/>
      <c r="P54" s="187"/>
      <c r="Q54" s="187"/>
      <c r="R54" s="184"/>
      <c r="S54" s="181"/>
      <c r="T54" s="598"/>
      <c r="U54" s="187"/>
      <c r="V54" s="187"/>
      <c r="W54" s="184"/>
      <c r="X54" s="181"/>
      <c r="Y54" s="598"/>
      <c r="Z54" s="187"/>
      <c r="AA54" s="187"/>
      <c r="AB54" s="184"/>
      <c r="AC54" s="181"/>
      <c r="AD54" s="598"/>
      <c r="AE54" s="187"/>
      <c r="AF54" s="187"/>
      <c r="AG54" s="184"/>
      <c r="AH54" s="181"/>
      <c r="AI54" s="598"/>
      <c r="AJ54" s="187"/>
      <c r="AK54" s="187"/>
      <c r="AL54" s="184"/>
      <c r="AM54" s="181"/>
      <c r="AN54" s="598"/>
      <c r="AO54" s="187"/>
      <c r="AP54" s="187"/>
      <c r="AQ54" s="184"/>
      <c r="AR54" s="181"/>
      <c r="AS54" s="598"/>
      <c r="AT54" s="187"/>
      <c r="AU54" s="187"/>
      <c r="AV54" s="184"/>
      <c r="AW54" s="181"/>
      <c r="AX54" s="598"/>
    </row>
    <row r="55" spans="2:50" ht="14.25" customHeight="1">
      <c r="B55" s="597"/>
      <c r="C55" s="179">
        <v>9</v>
      </c>
      <c r="D55" s="182"/>
      <c r="E55" s="179"/>
      <c r="F55" s="179"/>
      <c r="G55" s="184"/>
      <c r="H55" s="598"/>
      <c r="I55" s="185"/>
      <c r="J55" s="185"/>
      <c r="K55" s="186"/>
      <c r="L55" s="599"/>
      <c r="M55" s="185"/>
      <c r="N55" s="597"/>
      <c r="O55" s="597"/>
      <c r="P55" s="187"/>
      <c r="Q55" s="187"/>
      <c r="R55" s="184"/>
      <c r="S55" s="181"/>
      <c r="T55" s="598"/>
      <c r="U55" s="187"/>
      <c r="V55" s="187"/>
      <c r="W55" s="184"/>
      <c r="X55" s="181"/>
      <c r="Y55" s="598"/>
      <c r="Z55" s="187"/>
      <c r="AA55" s="187"/>
      <c r="AB55" s="184"/>
      <c r="AC55" s="181"/>
      <c r="AD55" s="598"/>
      <c r="AE55" s="187"/>
      <c r="AF55" s="187"/>
      <c r="AG55" s="184"/>
      <c r="AH55" s="181"/>
      <c r="AI55" s="598"/>
      <c r="AJ55" s="187"/>
      <c r="AK55" s="187"/>
      <c r="AL55" s="184"/>
      <c r="AM55" s="181"/>
      <c r="AN55" s="598"/>
      <c r="AO55" s="187"/>
      <c r="AP55" s="187"/>
      <c r="AQ55" s="184"/>
      <c r="AR55" s="181"/>
      <c r="AS55" s="598"/>
      <c r="AT55" s="187"/>
      <c r="AU55" s="187"/>
      <c r="AV55" s="184"/>
      <c r="AW55" s="181"/>
      <c r="AX55" s="598"/>
    </row>
    <row r="56" spans="2:50" ht="14.25" customHeight="1">
      <c r="B56" s="597"/>
      <c r="C56" s="179">
        <v>10</v>
      </c>
      <c r="D56" s="182"/>
      <c r="E56" s="179"/>
      <c r="F56" s="179"/>
      <c r="G56" s="184"/>
      <c r="H56" s="598"/>
      <c r="I56" s="185"/>
      <c r="J56" s="185"/>
      <c r="K56" s="186"/>
      <c r="L56" s="599"/>
      <c r="M56" s="185"/>
      <c r="N56" s="597"/>
      <c r="O56" s="597"/>
      <c r="P56" s="187"/>
      <c r="Q56" s="187"/>
      <c r="R56" s="184"/>
      <c r="S56" s="181"/>
      <c r="T56" s="598"/>
      <c r="U56" s="187"/>
      <c r="V56" s="187"/>
      <c r="W56" s="184"/>
      <c r="X56" s="181"/>
      <c r="Y56" s="598"/>
      <c r="Z56" s="187"/>
      <c r="AA56" s="187"/>
      <c r="AB56" s="184"/>
      <c r="AC56" s="181"/>
      <c r="AD56" s="598"/>
      <c r="AE56" s="187"/>
      <c r="AF56" s="187"/>
      <c r="AG56" s="184"/>
      <c r="AH56" s="181"/>
      <c r="AI56" s="598"/>
      <c r="AJ56" s="187"/>
      <c r="AK56" s="187"/>
      <c r="AL56" s="184"/>
      <c r="AM56" s="181"/>
      <c r="AN56" s="598"/>
      <c r="AO56" s="187"/>
      <c r="AP56" s="187"/>
      <c r="AQ56" s="184"/>
      <c r="AR56" s="181"/>
      <c r="AS56" s="598"/>
      <c r="AT56" s="187"/>
      <c r="AU56" s="187"/>
      <c r="AV56" s="184"/>
      <c r="AW56" s="181"/>
      <c r="AX56" s="598"/>
    </row>
    <row r="57" spans="2:50" ht="14.25" customHeight="1">
      <c r="B57" s="597"/>
      <c r="C57" s="179">
        <v>11</v>
      </c>
      <c r="D57" s="182"/>
      <c r="E57" s="179"/>
      <c r="F57" s="179"/>
      <c r="G57" s="184"/>
      <c r="H57" s="598"/>
      <c r="I57" s="185"/>
      <c r="J57" s="185"/>
      <c r="K57" s="186"/>
      <c r="L57" s="599"/>
      <c r="M57" s="185"/>
      <c r="N57" s="597"/>
      <c r="O57" s="597"/>
      <c r="P57" s="187"/>
      <c r="Q57" s="187"/>
      <c r="R57" s="184"/>
      <c r="S57" s="181"/>
      <c r="T57" s="598"/>
      <c r="U57" s="187"/>
      <c r="V57" s="187"/>
      <c r="W57" s="184"/>
      <c r="X57" s="181"/>
      <c r="Y57" s="598"/>
      <c r="Z57" s="187"/>
      <c r="AA57" s="187"/>
      <c r="AB57" s="184"/>
      <c r="AC57" s="181"/>
      <c r="AD57" s="598"/>
      <c r="AE57" s="187"/>
      <c r="AF57" s="187"/>
      <c r="AG57" s="184"/>
      <c r="AH57" s="181"/>
      <c r="AI57" s="598"/>
      <c r="AJ57" s="187"/>
      <c r="AK57" s="187"/>
      <c r="AL57" s="184"/>
      <c r="AM57" s="181"/>
      <c r="AN57" s="598"/>
      <c r="AO57" s="187"/>
      <c r="AP57" s="187"/>
      <c r="AQ57" s="184"/>
      <c r="AR57" s="181"/>
      <c r="AS57" s="598"/>
      <c r="AT57" s="187"/>
      <c r="AU57" s="187"/>
      <c r="AV57" s="184"/>
      <c r="AW57" s="181"/>
      <c r="AX57" s="598"/>
    </row>
    <row r="58" spans="2:50" ht="14.25" customHeight="1">
      <c r="B58" s="597"/>
      <c r="C58" s="179">
        <v>12</v>
      </c>
      <c r="D58" s="182"/>
      <c r="E58" s="179"/>
      <c r="F58" s="179"/>
      <c r="G58" s="184"/>
      <c r="H58" s="598"/>
      <c r="I58" s="185"/>
      <c r="J58" s="185"/>
      <c r="K58" s="186"/>
      <c r="L58" s="599"/>
      <c r="M58" s="185"/>
      <c r="N58" s="597"/>
      <c r="O58" s="597"/>
      <c r="P58" s="187"/>
      <c r="Q58" s="187"/>
      <c r="R58" s="184"/>
      <c r="S58" s="181"/>
      <c r="T58" s="598"/>
      <c r="U58" s="187"/>
      <c r="V58" s="187"/>
      <c r="W58" s="184"/>
      <c r="X58" s="181"/>
      <c r="Y58" s="598"/>
      <c r="Z58" s="187"/>
      <c r="AA58" s="187"/>
      <c r="AB58" s="184"/>
      <c r="AC58" s="181"/>
      <c r="AD58" s="598"/>
      <c r="AE58" s="187"/>
      <c r="AF58" s="187"/>
      <c r="AG58" s="184"/>
      <c r="AH58" s="181"/>
      <c r="AI58" s="598"/>
      <c r="AJ58" s="187"/>
      <c r="AK58" s="187"/>
      <c r="AL58" s="184"/>
      <c r="AM58" s="181"/>
      <c r="AN58" s="598"/>
      <c r="AO58" s="187"/>
      <c r="AP58" s="187"/>
      <c r="AQ58" s="184"/>
      <c r="AR58" s="181"/>
      <c r="AS58" s="598"/>
      <c r="AT58" s="187"/>
      <c r="AU58" s="187"/>
      <c r="AV58" s="184"/>
      <c r="AW58" s="181"/>
      <c r="AX58" s="598"/>
    </row>
    <row r="59" spans="2:50" ht="14.25" customHeight="1">
      <c r="B59" s="597"/>
      <c r="C59" s="179">
        <v>13</v>
      </c>
      <c r="D59" s="182"/>
      <c r="E59" s="179"/>
      <c r="F59" s="179"/>
      <c r="G59" s="184"/>
      <c r="H59" s="598"/>
      <c r="I59" s="185"/>
      <c r="J59" s="185"/>
      <c r="K59" s="186"/>
      <c r="L59" s="599"/>
      <c r="M59" s="185"/>
      <c r="N59" s="597"/>
      <c r="O59" s="597"/>
      <c r="P59" s="187"/>
      <c r="Q59" s="187"/>
      <c r="R59" s="184"/>
      <c r="S59" s="181"/>
      <c r="T59" s="598"/>
      <c r="U59" s="187"/>
      <c r="V59" s="187"/>
      <c r="W59" s="184"/>
      <c r="X59" s="181"/>
      <c r="Y59" s="598"/>
      <c r="Z59" s="187"/>
      <c r="AA59" s="187"/>
      <c r="AB59" s="184"/>
      <c r="AC59" s="181"/>
      <c r="AD59" s="598"/>
      <c r="AE59" s="187"/>
      <c r="AF59" s="187"/>
      <c r="AG59" s="184"/>
      <c r="AH59" s="181"/>
      <c r="AI59" s="598"/>
      <c r="AJ59" s="187"/>
      <c r="AK59" s="187"/>
      <c r="AL59" s="184"/>
      <c r="AM59" s="181"/>
      <c r="AN59" s="598"/>
      <c r="AO59" s="187"/>
      <c r="AP59" s="187"/>
      <c r="AQ59" s="184"/>
      <c r="AR59" s="181"/>
      <c r="AS59" s="598"/>
      <c r="AT59" s="187"/>
      <c r="AU59" s="187"/>
      <c r="AV59" s="184"/>
      <c r="AW59" s="181"/>
      <c r="AX59" s="598"/>
    </row>
    <row r="60" spans="2:50" ht="14.25" customHeight="1">
      <c r="B60" s="597"/>
      <c r="C60" s="179">
        <v>14</v>
      </c>
      <c r="D60" s="182"/>
      <c r="E60" s="179"/>
      <c r="F60" s="179"/>
      <c r="G60" s="184"/>
      <c r="H60" s="598"/>
      <c r="I60" s="185"/>
      <c r="J60" s="185"/>
      <c r="K60" s="186"/>
      <c r="L60" s="599"/>
      <c r="M60" s="185"/>
      <c r="N60" s="597"/>
      <c r="O60" s="597"/>
      <c r="P60" s="187"/>
      <c r="Q60" s="187"/>
      <c r="R60" s="184"/>
      <c r="S60" s="181"/>
      <c r="T60" s="598"/>
      <c r="U60" s="187"/>
      <c r="V60" s="187"/>
      <c r="W60" s="184"/>
      <c r="X60" s="181"/>
      <c r="Y60" s="598"/>
      <c r="Z60" s="187"/>
      <c r="AA60" s="187"/>
      <c r="AB60" s="184"/>
      <c r="AC60" s="181"/>
      <c r="AD60" s="598"/>
      <c r="AE60" s="187"/>
      <c r="AF60" s="187"/>
      <c r="AG60" s="184"/>
      <c r="AH60" s="181"/>
      <c r="AI60" s="598"/>
      <c r="AJ60" s="187"/>
      <c r="AK60" s="187"/>
      <c r="AL60" s="184"/>
      <c r="AM60" s="181"/>
      <c r="AN60" s="598"/>
      <c r="AO60" s="187"/>
      <c r="AP60" s="187"/>
      <c r="AQ60" s="184"/>
      <c r="AR60" s="181"/>
      <c r="AS60" s="598"/>
      <c r="AT60" s="187"/>
      <c r="AU60" s="187"/>
      <c r="AV60" s="184"/>
      <c r="AW60" s="181"/>
      <c r="AX60" s="598"/>
    </row>
    <row r="61" spans="2:50" ht="14.25" customHeight="1">
      <c r="B61" s="597"/>
      <c r="C61" s="179">
        <v>15</v>
      </c>
      <c r="D61" s="182"/>
      <c r="E61" s="179"/>
      <c r="F61" s="179"/>
      <c r="G61" s="184"/>
      <c r="H61" s="598"/>
      <c r="I61" s="185"/>
      <c r="J61" s="185"/>
      <c r="K61" s="186"/>
      <c r="L61" s="599"/>
      <c r="M61" s="185"/>
      <c r="N61" s="597"/>
      <c r="O61" s="597"/>
      <c r="P61" s="187"/>
      <c r="Q61" s="187"/>
      <c r="R61" s="184"/>
      <c r="S61" s="181"/>
      <c r="T61" s="598"/>
      <c r="U61" s="187"/>
      <c r="V61" s="187"/>
      <c r="W61" s="184"/>
      <c r="X61" s="181"/>
      <c r="Y61" s="598"/>
      <c r="Z61" s="187"/>
      <c r="AA61" s="187"/>
      <c r="AB61" s="184"/>
      <c r="AC61" s="181"/>
      <c r="AD61" s="598"/>
      <c r="AE61" s="187"/>
      <c r="AF61" s="187"/>
      <c r="AG61" s="184"/>
      <c r="AH61" s="181"/>
      <c r="AI61" s="598"/>
      <c r="AJ61" s="187"/>
      <c r="AK61" s="187"/>
      <c r="AL61" s="184"/>
      <c r="AM61" s="181"/>
      <c r="AN61" s="598"/>
      <c r="AO61" s="187"/>
      <c r="AP61" s="187"/>
      <c r="AQ61" s="184"/>
      <c r="AR61" s="181"/>
      <c r="AS61" s="598"/>
      <c r="AT61" s="187"/>
      <c r="AU61" s="187"/>
      <c r="AV61" s="184"/>
      <c r="AW61" s="181"/>
      <c r="AX61" s="598"/>
    </row>
    <row r="86" spans="2:50" ht="14.25" customHeight="1">
      <c r="B86" s="521" t="s">
        <v>825</v>
      </c>
      <c r="C86" s="522"/>
      <c r="D86" s="523"/>
      <c r="E86" s="522"/>
      <c r="F86" s="522"/>
      <c r="G86" s="522"/>
      <c r="H86" s="522"/>
      <c r="I86" s="524"/>
      <c r="J86" s="524"/>
      <c r="K86" s="524"/>
      <c r="L86" s="524"/>
      <c r="M86" s="524"/>
      <c r="N86" s="629" t="s">
        <v>363</v>
      </c>
      <c r="O86" s="629" t="s">
        <v>105</v>
      </c>
      <c r="P86" s="617">
        <v>46217</v>
      </c>
      <c r="Q86" s="618"/>
      <c r="R86" s="618"/>
      <c r="S86" s="618"/>
      <c r="T86" s="618"/>
      <c r="U86" s="619">
        <v>46218</v>
      </c>
      <c r="V86" s="620"/>
      <c r="W86" s="620"/>
      <c r="X86" s="620"/>
      <c r="Y86" s="620"/>
      <c r="Z86" s="617">
        <v>46219</v>
      </c>
      <c r="AA86" s="618"/>
      <c r="AB86" s="618"/>
      <c r="AC86" s="618"/>
      <c r="AD86" s="618"/>
      <c r="AE86" s="619">
        <v>46220</v>
      </c>
      <c r="AF86" s="620"/>
      <c r="AG86" s="620"/>
      <c r="AH86" s="620"/>
      <c r="AI86" s="620"/>
      <c r="AJ86" s="602">
        <v>46221</v>
      </c>
      <c r="AK86" s="603"/>
      <c r="AL86" s="603"/>
      <c r="AM86" s="603"/>
      <c r="AN86" s="604"/>
      <c r="AO86" s="619">
        <v>46222</v>
      </c>
      <c r="AP86" s="620"/>
      <c r="AQ86" s="620"/>
      <c r="AR86" s="620"/>
      <c r="AS86" s="620"/>
      <c r="AT86" s="602">
        <v>46223</v>
      </c>
      <c r="AU86" s="603"/>
      <c r="AV86" s="603"/>
      <c r="AW86" s="603"/>
      <c r="AX86" s="604"/>
    </row>
    <row r="87" spans="2:50" ht="14.25" customHeight="1">
      <c r="B87" s="521"/>
      <c r="C87" s="522"/>
      <c r="D87" s="523"/>
      <c r="E87" s="522"/>
      <c r="F87" s="522"/>
      <c r="G87" s="522"/>
      <c r="H87" s="522"/>
      <c r="I87" s="524"/>
      <c r="J87" s="524"/>
      <c r="K87" s="524"/>
      <c r="L87" s="524"/>
      <c r="M87" s="524"/>
      <c r="N87" s="630"/>
      <c r="O87" s="630"/>
      <c r="P87" s="605">
        <v>46196</v>
      </c>
      <c r="Q87" s="605"/>
      <c r="R87" s="605"/>
      <c r="S87" s="605"/>
      <c r="T87" s="605"/>
      <c r="U87" s="606">
        <v>46197</v>
      </c>
      <c r="V87" s="606"/>
      <c r="W87" s="606"/>
      <c r="X87" s="606"/>
      <c r="Y87" s="606"/>
      <c r="Z87" s="605">
        <v>46198</v>
      </c>
      <c r="AA87" s="605"/>
      <c r="AB87" s="605"/>
      <c r="AC87" s="605"/>
      <c r="AD87" s="605"/>
      <c r="AE87" s="606">
        <v>46199</v>
      </c>
      <c r="AF87" s="606"/>
      <c r="AG87" s="606"/>
      <c r="AH87" s="606"/>
      <c r="AI87" s="606"/>
      <c r="AJ87" s="607">
        <v>46200</v>
      </c>
      <c r="AK87" s="608"/>
      <c r="AL87" s="608"/>
      <c r="AM87" s="608"/>
      <c r="AN87" s="609"/>
      <c r="AO87" s="606">
        <v>46201</v>
      </c>
      <c r="AP87" s="606"/>
      <c r="AQ87" s="606"/>
      <c r="AR87" s="606"/>
      <c r="AS87" s="606"/>
      <c r="AT87" s="607">
        <v>46202</v>
      </c>
      <c r="AU87" s="608"/>
      <c r="AV87" s="608"/>
      <c r="AW87" s="608"/>
      <c r="AX87" s="609"/>
    </row>
    <row r="88" spans="2:50" ht="14.25" customHeight="1">
      <c r="B88" s="597" t="s">
        <v>162</v>
      </c>
      <c r="C88" s="597" t="s">
        <v>157</v>
      </c>
      <c r="D88" s="597"/>
      <c r="E88" s="597" t="s">
        <v>158</v>
      </c>
      <c r="F88" s="597"/>
      <c r="G88" s="597"/>
      <c r="H88" s="597" t="s">
        <v>163</v>
      </c>
      <c r="I88" s="601" t="s">
        <v>364</v>
      </c>
      <c r="J88" s="601"/>
      <c r="K88" s="601"/>
      <c r="L88" s="601" t="s">
        <v>163</v>
      </c>
      <c r="M88" s="601" t="s">
        <v>165</v>
      </c>
      <c r="N88" s="597"/>
      <c r="O88" s="597" t="s">
        <v>164</v>
      </c>
      <c r="P88" s="597" t="s">
        <v>160</v>
      </c>
      <c r="Q88" s="597"/>
      <c r="R88" s="597"/>
      <c r="S88" s="597"/>
      <c r="T88" s="597" t="s">
        <v>163</v>
      </c>
      <c r="U88" s="597" t="s">
        <v>160</v>
      </c>
      <c r="V88" s="597"/>
      <c r="W88" s="597"/>
      <c r="X88" s="597"/>
      <c r="Y88" s="597" t="s">
        <v>163</v>
      </c>
      <c r="Z88" s="597" t="s">
        <v>160</v>
      </c>
      <c r="AA88" s="597"/>
      <c r="AB88" s="597"/>
      <c r="AC88" s="597"/>
      <c r="AD88" s="597" t="s">
        <v>163</v>
      </c>
      <c r="AE88" s="597" t="s">
        <v>160</v>
      </c>
      <c r="AF88" s="597"/>
      <c r="AG88" s="597"/>
      <c r="AH88" s="597"/>
      <c r="AI88" s="597" t="s">
        <v>163</v>
      </c>
      <c r="AJ88" s="597" t="s">
        <v>160</v>
      </c>
      <c r="AK88" s="597"/>
      <c r="AL88" s="597"/>
      <c r="AM88" s="597"/>
      <c r="AN88" s="597" t="s">
        <v>163</v>
      </c>
      <c r="AO88" s="597" t="s">
        <v>160</v>
      </c>
      <c r="AP88" s="597"/>
      <c r="AQ88" s="597"/>
      <c r="AR88" s="597"/>
      <c r="AS88" s="597" t="s">
        <v>163</v>
      </c>
      <c r="AT88" s="597" t="s">
        <v>160</v>
      </c>
      <c r="AU88" s="597"/>
      <c r="AV88" s="597"/>
      <c r="AW88" s="597"/>
      <c r="AX88" s="597" t="s">
        <v>163</v>
      </c>
    </row>
    <row r="89" spans="2:50" ht="14.25" customHeight="1">
      <c r="B89" s="597"/>
      <c r="C89" s="597"/>
      <c r="D89" s="597"/>
      <c r="E89" s="597" t="s">
        <v>365</v>
      </c>
      <c r="F89" s="597"/>
      <c r="G89" s="597"/>
      <c r="H89" s="597"/>
      <c r="I89" s="601" t="s">
        <v>365</v>
      </c>
      <c r="J89" s="601"/>
      <c r="K89" s="601"/>
      <c r="L89" s="601"/>
      <c r="M89" s="601"/>
      <c r="N89" s="597"/>
      <c r="O89" s="597"/>
      <c r="P89" s="597" t="s">
        <v>366</v>
      </c>
      <c r="Q89" s="597"/>
      <c r="R89" s="597"/>
      <c r="S89" s="597"/>
      <c r="T89" s="597"/>
      <c r="U89" s="597" t="s">
        <v>366</v>
      </c>
      <c r="V89" s="597"/>
      <c r="W89" s="597"/>
      <c r="X89" s="597"/>
      <c r="Y89" s="597"/>
      <c r="Z89" s="597" t="s">
        <v>366</v>
      </c>
      <c r="AA89" s="597"/>
      <c r="AB89" s="597"/>
      <c r="AC89" s="597"/>
      <c r="AD89" s="597"/>
      <c r="AE89" s="597" t="s">
        <v>366</v>
      </c>
      <c r="AF89" s="597"/>
      <c r="AG89" s="597"/>
      <c r="AH89" s="597"/>
      <c r="AI89" s="597"/>
      <c r="AJ89" s="597" t="s">
        <v>366</v>
      </c>
      <c r="AK89" s="597"/>
      <c r="AL89" s="597"/>
      <c r="AM89" s="597"/>
      <c r="AN89" s="597"/>
      <c r="AO89" s="597" t="s">
        <v>366</v>
      </c>
      <c r="AP89" s="597"/>
      <c r="AQ89" s="597"/>
      <c r="AR89" s="597"/>
      <c r="AS89" s="597"/>
      <c r="AT89" s="597" t="s">
        <v>366</v>
      </c>
      <c r="AU89" s="597"/>
      <c r="AV89" s="597"/>
      <c r="AW89" s="597"/>
      <c r="AX89" s="597"/>
    </row>
    <row r="90" spans="2:50" ht="14.25" customHeight="1">
      <c r="B90" s="597"/>
      <c r="C90" s="597"/>
      <c r="D90" s="597"/>
      <c r="E90" s="179" t="s">
        <v>159</v>
      </c>
      <c r="F90" s="179" t="s">
        <v>367</v>
      </c>
      <c r="G90" s="179" t="s">
        <v>161</v>
      </c>
      <c r="H90" s="597"/>
      <c r="I90" s="180" t="s">
        <v>159</v>
      </c>
      <c r="J90" s="180" t="s">
        <v>367</v>
      </c>
      <c r="K90" s="180" t="s">
        <v>161</v>
      </c>
      <c r="L90" s="601"/>
      <c r="M90" s="601"/>
      <c r="N90" s="597"/>
      <c r="O90" s="597"/>
      <c r="P90" s="179" t="s">
        <v>159</v>
      </c>
      <c r="Q90" s="179" t="s">
        <v>367</v>
      </c>
      <c r="R90" s="179" t="s">
        <v>161</v>
      </c>
      <c r="S90" s="181" t="s">
        <v>165</v>
      </c>
      <c r="T90" s="597"/>
      <c r="U90" s="179" t="s">
        <v>159</v>
      </c>
      <c r="V90" s="179" t="s">
        <v>367</v>
      </c>
      <c r="W90" s="179" t="s">
        <v>161</v>
      </c>
      <c r="X90" s="181" t="s">
        <v>165</v>
      </c>
      <c r="Y90" s="597"/>
      <c r="Z90" s="179" t="s">
        <v>159</v>
      </c>
      <c r="AA90" s="179" t="s">
        <v>367</v>
      </c>
      <c r="AB90" s="179" t="s">
        <v>161</v>
      </c>
      <c r="AC90" s="181" t="s">
        <v>165</v>
      </c>
      <c r="AD90" s="597"/>
      <c r="AE90" s="179" t="s">
        <v>159</v>
      </c>
      <c r="AF90" s="179" t="s">
        <v>367</v>
      </c>
      <c r="AG90" s="179" t="s">
        <v>161</v>
      </c>
      <c r="AH90" s="181" t="s">
        <v>165</v>
      </c>
      <c r="AI90" s="597"/>
      <c r="AJ90" s="179" t="s">
        <v>159</v>
      </c>
      <c r="AK90" s="179" t="s">
        <v>367</v>
      </c>
      <c r="AL90" s="179" t="s">
        <v>161</v>
      </c>
      <c r="AM90" s="181" t="s">
        <v>165</v>
      </c>
      <c r="AN90" s="597"/>
      <c r="AO90" s="179" t="s">
        <v>159</v>
      </c>
      <c r="AP90" s="179" t="s">
        <v>367</v>
      </c>
      <c r="AQ90" s="179" t="s">
        <v>161</v>
      </c>
      <c r="AR90" s="181" t="s">
        <v>165</v>
      </c>
      <c r="AS90" s="597"/>
      <c r="AT90" s="179" t="s">
        <v>159</v>
      </c>
      <c r="AU90" s="179" t="s">
        <v>367</v>
      </c>
      <c r="AV90" s="179" t="s">
        <v>161</v>
      </c>
      <c r="AW90" s="181" t="s">
        <v>165</v>
      </c>
      <c r="AX90" s="597"/>
    </row>
    <row r="91" spans="2:50" ht="14.25" customHeight="1">
      <c r="B91" s="597" t="s">
        <v>143</v>
      </c>
      <c r="C91" s="179">
        <v>1</v>
      </c>
      <c r="D91" s="182" t="s">
        <v>650</v>
      </c>
      <c r="E91" s="183">
        <v>19</v>
      </c>
      <c r="F91" s="179">
        <v>2000</v>
      </c>
      <c r="G91" s="184">
        <f t="shared" ref="G91:G95" si="49">IFERROR(F91/E91,"")</f>
        <v>105.26315789473684</v>
      </c>
      <c r="H91" s="598">
        <f>AVERAGE(G91:G105)</f>
        <v>130.42326094957676</v>
      </c>
      <c r="I91" s="185">
        <f>AVERAGE(P91,U91,Z91,AE91,AJ91,AO91,AT91)</f>
        <v>19</v>
      </c>
      <c r="J91" s="185">
        <f>AVERAGE(Q91,V91,AA91,AF91,AK91,AP91,AU91)</f>
        <v>1792.6515942538358</v>
      </c>
      <c r="K91" s="186">
        <f>AVERAGE(R91,W91,AB91,AG91,AL91,AQ91,AV91)</f>
        <v>94.350083908096622</v>
      </c>
      <c r="L91" s="599">
        <f>IFERROR(AVERAGE(K91:K105),"-")</f>
        <v>117.51708434954745</v>
      </c>
      <c r="M91" s="185">
        <f>RANK(K91, K$91:$K$127)</f>
        <v>3</v>
      </c>
      <c r="N91" s="597"/>
      <c r="O91" s="597"/>
      <c r="P91" s="187">
        <v>19</v>
      </c>
      <c r="Q91" s="187">
        <v>1790.4282941968229</v>
      </c>
      <c r="R91" s="184">
        <f>IFERROR(Q91/P91,"")</f>
        <v>94.23306811562226</v>
      </c>
      <c r="S91" s="181">
        <f>RANK(R91, R$91:R$127)</f>
        <v>3</v>
      </c>
      <c r="T91" s="598">
        <f>AVERAGE(R91:R105)</f>
        <v>117.47216871148737</v>
      </c>
      <c r="U91" s="187">
        <v>19</v>
      </c>
      <c r="V91" s="187">
        <v>1790.0282941968228</v>
      </c>
      <c r="W91" s="184">
        <f t="shared" ref="W91:W95" si="50">IFERROR(V91/U91,"")</f>
        <v>94.212015484043306</v>
      </c>
      <c r="X91" s="181">
        <f>RANK(W91, W$91:W$127)</f>
        <v>3</v>
      </c>
      <c r="Y91" s="598">
        <f>AVERAGE(W91:W105)</f>
        <v>117.48207279065278</v>
      </c>
      <c r="Z91" s="187">
        <v>19</v>
      </c>
      <c r="AA91" s="187">
        <v>1790.4282941968229</v>
      </c>
      <c r="AB91" s="184">
        <f>IFERROR(AA91/Z91,"")</f>
        <v>94.23306811562226</v>
      </c>
      <c r="AC91" s="181">
        <f>RANK(AB91, AB$91:AB$127)</f>
        <v>3</v>
      </c>
      <c r="AD91" s="598">
        <f>AVERAGE(AB91:AB105)</f>
        <v>117.50071688340213</v>
      </c>
      <c r="AE91" s="187">
        <v>19</v>
      </c>
      <c r="AF91" s="187">
        <v>1789.8282941968232</v>
      </c>
      <c r="AG91" s="184">
        <f>IFERROR(AF91/AE91,"")</f>
        <v>94.201489168253858</v>
      </c>
      <c r="AH91" s="181">
        <f>RANK(AG91, AG$91:AG$127)</f>
        <v>3</v>
      </c>
      <c r="AI91" s="598">
        <f>AVERAGE(AG91:AG105)</f>
        <v>117.49272277225013</v>
      </c>
      <c r="AJ91" s="187">
        <v>19</v>
      </c>
      <c r="AK91" s="187">
        <v>1795.4159943298528</v>
      </c>
      <c r="AL91" s="184">
        <f>IFERROR(AK91/AJ91,"")</f>
        <v>94.495578648939613</v>
      </c>
      <c r="AM91" s="181">
        <f>RANK(AL91, AL$91:AL$127)</f>
        <v>3</v>
      </c>
      <c r="AN91" s="598">
        <f>AVERAGE(AL91:AL105)</f>
        <v>117.52415605300266</v>
      </c>
      <c r="AO91" s="187">
        <v>19</v>
      </c>
      <c r="AP91" s="187">
        <v>1796.2159943298525</v>
      </c>
      <c r="AQ91" s="184">
        <f>IFERROR(AP91/AO91,"")</f>
        <v>94.537683912097506</v>
      </c>
      <c r="AR91" s="181">
        <f>RANK(AQ91, AQ$91:AQ$127)</f>
        <v>3</v>
      </c>
      <c r="AS91" s="598">
        <f>AVERAGE(AQ91:AQ105)</f>
        <v>117.54123743148776</v>
      </c>
      <c r="AT91" s="187">
        <v>19</v>
      </c>
      <c r="AU91" s="187">
        <v>1796.2159943298529</v>
      </c>
      <c r="AV91" s="184">
        <f>IFERROR(AU91/AT91,"")</f>
        <v>94.537683912097521</v>
      </c>
      <c r="AW91" s="181">
        <f>RANK(AV91, AV$91:AV$127)</f>
        <v>3</v>
      </c>
      <c r="AX91" s="598">
        <f>AVERAGE(AV91:AV105)</f>
        <v>117.60651580454926</v>
      </c>
    </row>
    <row r="92" spans="2:50" ht="14.25" customHeight="1">
      <c r="B92" s="597"/>
      <c r="C92" s="179">
        <v>2</v>
      </c>
      <c r="D92" s="182" t="s">
        <v>354</v>
      </c>
      <c r="E92" s="179">
        <v>13</v>
      </c>
      <c r="F92" s="179">
        <v>1200</v>
      </c>
      <c r="G92" s="184">
        <f t="shared" si="49"/>
        <v>92.307692307692307</v>
      </c>
      <c r="H92" s="598"/>
      <c r="I92" s="185">
        <f t="shared" ref="I92:K95" si="51">AVERAGE(P92,U92,Z92,AE92,AJ92,AO92,AT92)</f>
        <v>13</v>
      </c>
      <c r="J92" s="185">
        <f t="shared" si="51"/>
        <v>1081.5076325246</v>
      </c>
      <c r="K92" s="186">
        <f t="shared" si="51"/>
        <v>83.192894809584615</v>
      </c>
      <c r="L92" s="599"/>
      <c r="M92" s="185">
        <f>RANK(K92, K$91:$K$127)</f>
        <v>4</v>
      </c>
      <c r="N92" s="597"/>
      <c r="O92" s="597"/>
      <c r="P92" s="187">
        <v>13</v>
      </c>
      <c r="Q92" s="187">
        <v>1081.6104896674569</v>
      </c>
      <c r="R92" s="184">
        <f t="shared" ref="R92:R95" si="52">IFERROR(Q92/P92,"")</f>
        <v>83.20080689749669</v>
      </c>
      <c r="S92" s="181">
        <f t="shared" ref="S92:S126" si="53">RANK(R92, R$91:R$127)</f>
        <v>4</v>
      </c>
      <c r="T92" s="598"/>
      <c r="U92" s="187">
        <v>13</v>
      </c>
      <c r="V92" s="187">
        <v>1081.490489667457</v>
      </c>
      <c r="W92" s="184">
        <f t="shared" si="50"/>
        <v>83.191576128265922</v>
      </c>
      <c r="X92" s="181">
        <f t="shared" ref="X92:X126" si="54">RANK(W92, W$91:W$127)</f>
        <v>4</v>
      </c>
      <c r="Y92" s="598"/>
      <c r="Z92" s="187">
        <v>13</v>
      </c>
      <c r="AA92" s="187">
        <v>1081.0104896674573</v>
      </c>
      <c r="AB92" s="184">
        <f t="shared" ref="AB92:AB95" si="55">IFERROR(AA92/Z92,"")</f>
        <v>83.154653051342862</v>
      </c>
      <c r="AC92" s="181">
        <f t="shared" ref="AC92:AC126" si="56">RANK(AB92, AB$91:AB$127)</f>
        <v>4</v>
      </c>
      <c r="AD92" s="598"/>
      <c r="AE92" s="187">
        <v>13</v>
      </c>
      <c r="AF92" s="187">
        <v>1081.6104896674572</v>
      </c>
      <c r="AG92" s="184">
        <f t="shared" ref="AG92:AG95" si="57">IFERROR(AF92/AE92,"")</f>
        <v>83.200806897496705</v>
      </c>
      <c r="AH92" s="181">
        <f t="shared" ref="AH92:AH126" si="58">RANK(AG92, AG$91:AG$127)</f>
        <v>4</v>
      </c>
      <c r="AI92" s="598"/>
      <c r="AJ92" s="187">
        <v>13</v>
      </c>
      <c r="AK92" s="187">
        <v>1081.1304896674571</v>
      </c>
      <c r="AL92" s="184">
        <f t="shared" ref="AL92:AL95" si="59">IFERROR(AK92/AJ92,"")</f>
        <v>83.163883820573631</v>
      </c>
      <c r="AM92" s="181">
        <f t="shared" ref="AM92:AM126" si="60">RANK(AL92, AL$91:AL$127)</f>
        <v>4</v>
      </c>
      <c r="AN92" s="598"/>
      <c r="AO92" s="187">
        <v>13</v>
      </c>
      <c r="AP92" s="187">
        <v>1081.6104896674572</v>
      </c>
      <c r="AQ92" s="184">
        <f t="shared" ref="AQ92:AQ95" si="61">IFERROR(AP92/AO92,"")</f>
        <v>83.200806897496705</v>
      </c>
      <c r="AR92" s="181">
        <f t="shared" ref="AR92:AR126" si="62">RANK(AQ92, AQ$91:AQ$127)</f>
        <v>4</v>
      </c>
      <c r="AS92" s="598"/>
      <c r="AT92" s="187">
        <v>13</v>
      </c>
      <c r="AU92" s="187">
        <v>1082.0904896674572</v>
      </c>
      <c r="AV92" s="184">
        <f t="shared" ref="AV92:AV95" si="63">IFERROR(AU92/AT92,"")</f>
        <v>83.237729974419779</v>
      </c>
      <c r="AW92" s="181">
        <f t="shared" ref="AW92:AW126" si="64">RANK(AV92, AV$91:AV$127)</f>
        <v>4</v>
      </c>
      <c r="AX92" s="598"/>
    </row>
    <row r="93" spans="2:50" ht="14.25" customHeight="1">
      <c r="B93" s="597"/>
      <c r="C93" s="179">
        <v>3</v>
      </c>
      <c r="D93" s="182" t="s">
        <v>615</v>
      </c>
      <c r="E93" s="179">
        <v>11</v>
      </c>
      <c r="F93" s="179">
        <v>2000</v>
      </c>
      <c r="G93" s="184">
        <f t="shared" si="49"/>
        <v>181.81818181818181</v>
      </c>
      <c r="H93" s="598"/>
      <c r="I93" s="185">
        <f t="shared" si="51"/>
        <v>11</v>
      </c>
      <c r="J93" s="185">
        <f t="shared" si="51"/>
        <v>1804.4930696569204</v>
      </c>
      <c r="K93" s="186">
        <f t="shared" si="51"/>
        <v>164.04482451426546</v>
      </c>
      <c r="L93" s="599"/>
      <c r="M93" s="185">
        <f>RANK(K93, K$91:$K$127)</f>
        <v>2</v>
      </c>
      <c r="N93" s="597"/>
      <c r="O93" s="597"/>
      <c r="P93" s="187">
        <v>11</v>
      </c>
      <c r="Q93" s="187">
        <v>1804.2181432535194</v>
      </c>
      <c r="R93" s="184">
        <f t="shared" si="52"/>
        <v>164.0198312048654</v>
      </c>
      <c r="S93" s="181">
        <f t="shared" si="53"/>
        <v>2</v>
      </c>
      <c r="T93" s="598"/>
      <c r="U93" s="187">
        <v>11</v>
      </c>
      <c r="V93" s="187">
        <v>1803.6181432535197</v>
      </c>
      <c r="W93" s="184">
        <f t="shared" si="50"/>
        <v>163.96528575031996</v>
      </c>
      <c r="X93" s="181">
        <f t="shared" si="54"/>
        <v>2</v>
      </c>
      <c r="Y93" s="598"/>
      <c r="Z93" s="187">
        <v>11</v>
      </c>
      <c r="AA93" s="187">
        <v>1804.4181432535192</v>
      </c>
      <c r="AB93" s="184">
        <f t="shared" si="55"/>
        <v>164.0380130230472</v>
      </c>
      <c r="AC93" s="181">
        <f t="shared" si="56"/>
        <v>2</v>
      </c>
      <c r="AD93" s="598"/>
      <c r="AE93" s="187">
        <v>11</v>
      </c>
      <c r="AF93" s="187">
        <v>1805.0181432535194</v>
      </c>
      <c r="AG93" s="184">
        <f t="shared" si="57"/>
        <v>164.09255847759266</v>
      </c>
      <c r="AH93" s="181">
        <f t="shared" si="58"/>
        <v>2</v>
      </c>
      <c r="AI93" s="598"/>
      <c r="AJ93" s="187">
        <v>11</v>
      </c>
      <c r="AK93" s="187">
        <v>1804.0181432535196</v>
      </c>
      <c r="AL93" s="184">
        <f t="shared" si="59"/>
        <v>164.0016493866836</v>
      </c>
      <c r="AM93" s="181">
        <f t="shared" si="60"/>
        <v>2</v>
      </c>
      <c r="AN93" s="598"/>
      <c r="AO93" s="187">
        <v>11</v>
      </c>
      <c r="AP93" s="187">
        <v>1804.1883073293079</v>
      </c>
      <c r="AQ93" s="184">
        <f t="shared" si="61"/>
        <v>164.01711884811891</v>
      </c>
      <c r="AR93" s="181">
        <f t="shared" si="62"/>
        <v>2</v>
      </c>
      <c r="AS93" s="598"/>
      <c r="AT93" s="187">
        <v>11</v>
      </c>
      <c r="AU93" s="187">
        <v>1805.9724640015374</v>
      </c>
      <c r="AV93" s="184">
        <f t="shared" si="63"/>
        <v>164.17931490923067</v>
      </c>
      <c r="AW93" s="181">
        <f t="shared" si="64"/>
        <v>2</v>
      </c>
      <c r="AX93" s="598"/>
    </row>
    <row r="94" spans="2:50" ht="14.25" customHeight="1">
      <c r="B94" s="597"/>
      <c r="C94" s="179">
        <v>4</v>
      </c>
      <c r="D94" s="182" t="s">
        <v>616</v>
      </c>
      <c r="E94" s="179">
        <v>22</v>
      </c>
      <c r="F94" s="179">
        <v>2000</v>
      </c>
      <c r="G94" s="184">
        <f t="shared" si="49"/>
        <v>90.909090909090907</v>
      </c>
      <c r="H94" s="598"/>
      <c r="I94" s="185">
        <f t="shared" si="51"/>
        <v>22</v>
      </c>
      <c r="J94" s="185">
        <f t="shared" si="51"/>
        <v>1800.1406628782086</v>
      </c>
      <c r="K94" s="186">
        <f t="shared" si="51"/>
        <v>81.824575585373125</v>
      </c>
      <c r="L94" s="599"/>
      <c r="M94" s="185">
        <f>RANK(K94, K$91:$K$127)</f>
        <v>5</v>
      </c>
      <c r="N94" s="597"/>
      <c r="O94" s="597"/>
      <c r="P94" s="187">
        <v>22</v>
      </c>
      <c r="Q94" s="187">
        <v>1799.0072198559162</v>
      </c>
      <c r="R94" s="184">
        <f t="shared" si="52"/>
        <v>81.773055447996185</v>
      </c>
      <c r="S94" s="181">
        <f t="shared" si="53"/>
        <v>5</v>
      </c>
      <c r="T94" s="598"/>
      <c r="U94" s="187">
        <v>22</v>
      </c>
      <c r="V94" s="187">
        <v>1799.9629033819238</v>
      </c>
      <c r="W94" s="184">
        <f t="shared" si="50"/>
        <v>81.816495608269264</v>
      </c>
      <c r="X94" s="181">
        <f t="shared" si="54"/>
        <v>5</v>
      </c>
      <c r="Y94" s="598"/>
      <c r="Z94" s="187">
        <v>22</v>
      </c>
      <c r="AA94" s="187">
        <v>1800.3629033819238</v>
      </c>
      <c r="AB94" s="184">
        <f t="shared" si="55"/>
        <v>81.83467742645108</v>
      </c>
      <c r="AC94" s="181">
        <f t="shared" si="56"/>
        <v>5</v>
      </c>
      <c r="AD94" s="598"/>
      <c r="AE94" s="187">
        <v>22</v>
      </c>
      <c r="AF94" s="187">
        <v>1799.5629033819239</v>
      </c>
      <c r="AG94" s="184">
        <f t="shared" si="57"/>
        <v>81.798313790087448</v>
      </c>
      <c r="AH94" s="181">
        <f t="shared" si="58"/>
        <v>5</v>
      </c>
      <c r="AI94" s="598"/>
      <c r="AJ94" s="187">
        <v>22</v>
      </c>
      <c r="AK94" s="187">
        <v>1800.5629033819237</v>
      </c>
      <c r="AL94" s="184">
        <f t="shared" si="59"/>
        <v>81.843768335541981</v>
      </c>
      <c r="AM94" s="181">
        <f t="shared" si="60"/>
        <v>5</v>
      </c>
      <c r="AN94" s="598"/>
      <c r="AO94" s="187">
        <v>22</v>
      </c>
      <c r="AP94" s="187">
        <v>1800.3629033819238</v>
      </c>
      <c r="AQ94" s="184">
        <f t="shared" si="61"/>
        <v>81.83467742645108</v>
      </c>
      <c r="AR94" s="181">
        <f t="shared" si="62"/>
        <v>5</v>
      </c>
      <c r="AS94" s="598"/>
      <c r="AT94" s="187">
        <v>22</v>
      </c>
      <c r="AU94" s="187">
        <v>1801.1629033819238</v>
      </c>
      <c r="AV94" s="184">
        <f t="shared" si="63"/>
        <v>81.871041062814712</v>
      </c>
      <c r="AW94" s="181">
        <f t="shared" si="64"/>
        <v>5</v>
      </c>
      <c r="AX94" s="598"/>
    </row>
    <row r="95" spans="2:50" ht="14.25" customHeight="1">
      <c r="B95" s="597"/>
      <c r="C95" s="179">
        <v>5</v>
      </c>
      <c r="D95" s="182" t="s">
        <v>617</v>
      </c>
      <c r="E95" s="179">
        <v>11</v>
      </c>
      <c r="F95" s="179">
        <v>2000</v>
      </c>
      <c r="G95" s="184">
        <f t="shared" si="49"/>
        <v>181.81818181818181</v>
      </c>
      <c r="H95" s="598"/>
      <c r="I95" s="185">
        <f t="shared" si="51"/>
        <v>11</v>
      </c>
      <c r="J95" s="185">
        <f t="shared" si="51"/>
        <v>1805.9034722345914</v>
      </c>
      <c r="K95" s="186">
        <f t="shared" si="51"/>
        <v>164.17304293041738</v>
      </c>
      <c r="L95" s="599"/>
      <c r="M95" s="185">
        <f>RANK(K95, K$91:$K$127)</f>
        <v>1</v>
      </c>
      <c r="N95" s="597"/>
      <c r="O95" s="597"/>
      <c r="P95" s="187">
        <v>11</v>
      </c>
      <c r="Q95" s="187">
        <v>1805.4749008060198</v>
      </c>
      <c r="R95" s="184">
        <f t="shared" si="52"/>
        <v>164.13408189145636</v>
      </c>
      <c r="S95" s="181">
        <f t="shared" si="53"/>
        <v>1</v>
      </c>
      <c r="T95" s="598"/>
      <c r="U95" s="187">
        <v>11</v>
      </c>
      <c r="V95" s="187">
        <v>1806.4749008060198</v>
      </c>
      <c r="W95" s="184">
        <f t="shared" si="50"/>
        <v>164.22499098236543</v>
      </c>
      <c r="X95" s="181">
        <f t="shared" si="54"/>
        <v>1</v>
      </c>
      <c r="Y95" s="598"/>
      <c r="Z95" s="187">
        <v>11</v>
      </c>
      <c r="AA95" s="187">
        <v>1806.6749008060197</v>
      </c>
      <c r="AB95" s="184">
        <f t="shared" si="55"/>
        <v>164.24317280054723</v>
      </c>
      <c r="AC95" s="181">
        <f t="shared" si="56"/>
        <v>1</v>
      </c>
      <c r="AD95" s="598"/>
      <c r="AE95" s="187">
        <v>11</v>
      </c>
      <c r="AF95" s="187">
        <v>1805.8749008060199</v>
      </c>
      <c r="AG95" s="184">
        <f t="shared" si="57"/>
        <v>164.17044552781999</v>
      </c>
      <c r="AH95" s="181">
        <f t="shared" si="58"/>
        <v>1</v>
      </c>
      <c r="AI95" s="598"/>
      <c r="AJ95" s="187">
        <v>11</v>
      </c>
      <c r="AK95" s="187">
        <v>1805.2749008060198</v>
      </c>
      <c r="AL95" s="184">
        <f t="shared" si="59"/>
        <v>164.11590007327453</v>
      </c>
      <c r="AM95" s="181">
        <f t="shared" si="60"/>
        <v>1</v>
      </c>
      <c r="AN95" s="598"/>
      <c r="AO95" s="187">
        <v>11</v>
      </c>
      <c r="AP95" s="187">
        <v>1805.27490080602</v>
      </c>
      <c r="AQ95" s="184">
        <f t="shared" si="61"/>
        <v>164.11590007327456</v>
      </c>
      <c r="AR95" s="181">
        <f t="shared" si="62"/>
        <v>1</v>
      </c>
      <c r="AS95" s="598"/>
      <c r="AT95" s="187">
        <v>11</v>
      </c>
      <c r="AU95" s="187">
        <v>1806.27490080602</v>
      </c>
      <c r="AV95" s="184">
        <f t="shared" si="63"/>
        <v>164.20680916418362</v>
      </c>
      <c r="AW95" s="181">
        <f t="shared" si="64"/>
        <v>1</v>
      </c>
      <c r="AX95" s="598"/>
    </row>
    <row r="96" spans="2:50" ht="14.25" customHeight="1">
      <c r="B96" s="597"/>
      <c r="C96" s="179">
        <v>6</v>
      </c>
      <c r="D96" s="182"/>
      <c r="E96" s="179"/>
      <c r="F96" s="179"/>
      <c r="G96" s="184"/>
      <c r="H96" s="598"/>
      <c r="I96" s="185"/>
      <c r="J96" s="185"/>
      <c r="K96" s="186"/>
      <c r="L96" s="599"/>
      <c r="M96" s="185" t="e">
        <f>RANK(K96, K$91:$K$127)</f>
        <v>#N/A</v>
      </c>
      <c r="N96" s="597"/>
      <c r="O96" s="597"/>
      <c r="P96" s="187"/>
      <c r="Q96" s="187"/>
      <c r="R96" s="184"/>
      <c r="S96" s="181" t="e">
        <f t="shared" si="53"/>
        <v>#N/A</v>
      </c>
      <c r="T96" s="598"/>
      <c r="U96" s="187"/>
      <c r="V96" s="187"/>
      <c r="W96" s="184"/>
      <c r="X96" s="181" t="e">
        <f t="shared" si="54"/>
        <v>#N/A</v>
      </c>
      <c r="Y96" s="598"/>
      <c r="Z96" s="187"/>
      <c r="AA96" s="187"/>
      <c r="AB96" s="184"/>
      <c r="AC96" s="181" t="e">
        <f t="shared" si="56"/>
        <v>#N/A</v>
      </c>
      <c r="AD96" s="598"/>
      <c r="AE96" s="187"/>
      <c r="AF96" s="187"/>
      <c r="AG96" s="184"/>
      <c r="AH96" s="181" t="e">
        <f t="shared" si="58"/>
        <v>#N/A</v>
      </c>
      <c r="AI96" s="598"/>
      <c r="AJ96" s="187"/>
      <c r="AK96" s="187"/>
      <c r="AL96" s="184"/>
      <c r="AM96" s="181" t="e">
        <f t="shared" si="60"/>
        <v>#N/A</v>
      </c>
      <c r="AN96" s="598"/>
      <c r="AO96" s="187"/>
      <c r="AP96" s="187"/>
      <c r="AQ96" s="184"/>
      <c r="AR96" s="181" t="e">
        <f t="shared" si="62"/>
        <v>#N/A</v>
      </c>
      <c r="AS96" s="598"/>
      <c r="AT96" s="187"/>
      <c r="AU96" s="187"/>
      <c r="AV96" s="184"/>
      <c r="AW96" s="181" t="e">
        <f t="shared" si="64"/>
        <v>#N/A</v>
      </c>
      <c r="AX96" s="598"/>
    </row>
    <row r="97" spans="2:50" ht="14.25" customHeight="1">
      <c r="B97" s="597"/>
      <c r="C97" s="179">
        <v>7</v>
      </c>
      <c r="D97" s="182"/>
      <c r="E97" s="179"/>
      <c r="F97" s="179"/>
      <c r="G97" s="184"/>
      <c r="H97" s="598"/>
      <c r="I97" s="185"/>
      <c r="J97" s="185"/>
      <c r="K97" s="186"/>
      <c r="L97" s="599"/>
      <c r="M97" s="185" t="e">
        <f>RANK(K97, K$91:$K$127)</f>
        <v>#N/A</v>
      </c>
      <c r="N97" s="597"/>
      <c r="O97" s="597"/>
      <c r="P97" s="187"/>
      <c r="Q97" s="187"/>
      <c r="R97" s="184"/>
      <c r="S97" s="181" t="e">
        <f t="shared" si="53"/>
        <v>#N/A</v>
      </c>
      <c r="T97" s="598"/>
      <c r="U97" s="187"/>
      <c r="V97" s="187"/>
      <c r="W97" s="184"/>
      <c r="X97" s="181" t="e">
        <f t="shared" si="54"/>
        <v>#N/A</v>
      </c>
      <c r="Y97" s="598"/>
      <c r="Z97" s="187"/>
      <c r="AA97" s="187"/>
      <c r="AB97" s="184"/>
      <c r="AC97" s="181" t="e">
        <f t="shared" si="56"/>
        <v>#N/A</v>
      </c>
      <c r="AD97" s="598"/>
      <c r="AE97" s="187"/>
      <c r="AF97" s="187"/>
      <c r="AG97" s="184"/>
      <c r="AH97" s="181" t="e">
        <f t="shared" si="58"/>
        <v>#N/A</v>
      </c>
      <c r="AI97" s="598"/>
      <c r="AJ97" s="187"/>
      <c r="AK97" s="187"/>
      <c r="AL97" s="184"/>
      <c r="AM97" s="181" t="e">
        <f t="shared" si="60"/>
        <v>#N/A</v>
      </c>
      <c r="AN97" s="598"/>
      <c r="AO97" s="187"/>
      <c r="AP97" s="187"/>
      <c r="AQ97" s="184"/>
      <c r="AR97" s="181" t="e">
        <f t="shared" si="62"/>
        <v>#N/A</v>
      </c>
      <c r="AS97" s="598"/>
      <c r="AT97" s="187"/>
      <c r="AU97" s="187"/>
      <c r="AV97" s="184"/>
      <c r="AW97" s="181" t="e">
        <f t="shared" si="64"/>
        <v>#N/A</v>
      </c>
      <c r="AX97" s="598"/>
    </row>
    <row r="98" spans="2:50" ht="14.25" customHeight="1">
      <c r="B98" s="597"/>
      <c r="C98" s="179">
        <v>8</v>
      </c>
      <c r="D98" s="182"/>
      <c r="E98" s="179"/>
      <c r="F98" s="179"/>
      <c r="G98" s="184"/>
      <c r="H98" s="598"/>
      <c r="I98" s="185"/>
      <c r="J98" s="185"/>
      <c r="K98" s="186"/>
      <c r="L98" s="599"/>
      <c r="M98" s="185" t="e">
        <f>RANK(K98, K$91:$K$127)</f>
        <v>#N/A</v>
      </c>
      <c r="N98" s="597"/>
      <c r="O98" s="597"/>
      <c r="P98" s="187"/>
      <c r="Q98" s="187"/>
      <c r="R98" s="184"/>
      <c r="S98" s="181" t="e">
        <f t="shared" si="53"/>
        <v>#N/A</v>
      </c>
      <c r="T98" s="598"/>
      <c r="U98" s="187"/>
      <c r="V98" s="187"/>
      <c r="W98" s="184"/>
      <c r="X98" s="181" t="e">
        <f t="shared" si="54"/>
        <v>#N/A</v>
      </c>
      <c r="Y98" s="598"/>
      <c r="Z98" s="187"/>
      <c r="AA98" s="187"/>
      <c r="AB98" s="184"/>
      <c r="AC98" s="181" t="e">
        <f t="shared" si="56"/>
        <v>#N/A</v>
      </c>
      <c r="AD98" s="598"/>
      <c r="AE98" s="187"/>
      <c r="AF98" s="187"/>
      <c r="AG98" s="184"/>
      <c r="AH98" s="181" t="e">
        <f t="shared" si="58"/>
        <v>#N/A</v>
      </c>
      <c r="AI98" s="598"/>
      <c r="AJ98" s="187"/>
      <c r="AK98" s="187"/>
      <c r="AL98" s="184"/>
      <c r="AM98" s="181" t="e">
        <f t="shared" si="60"/>
        <v>#N/A</v>
      </c>
      <c r="AN98" s="598"/>
      <c r="AO98" s="187"/>
      <c r="AP98" s="187"/>
      <c r="AQ98" s="184"/>
      <c r="AR98" s="181" t="e">
        <f t="shared" si="62"/>
        <v>#N/A</v>
      </c>
      <c r="AS98" s="598"/>
      <c r="AT98" s="187"/>
      <c r="AU98" s="187"/>
      <c r="AV98" s="184"/>
      <c r="AW98" s="181" t="e">
        <f t="shared" si="64"/>
        <v>#N/A</v>
      </c>
      <c r="AX98" s="598"/>
    </row>
    <row r="99" spans="2:50" ht="14.25" customHeight="1">
      <c r="B99" s="597"/>
      <c r="C99" s="179">
        <v>9</v>
      </c>
      <c r="D99" s="182"/>
      <c r="E99" s="179"/>
      <c r="F99" s="179"/>
      <c r="G99" s="184"/>
      <c r="H99" s="598"/>
      <c r="I99" s="185"/>
      <c r="J99" s="185"/>
      <c r="K99" s="186"/>
      <c r="L99" s="599"/>
      <c r="M99" s="185" t="e">
        <f>RANK(K99, K$91:$K$127)</f>
        <v>#N/A</v>
      </c>
      <c r="N99" s="597"/>
      <c r="O99" s="597"/>
      <c r="P99" s="187"/>
      <c r="Q99" s="187"/>
      <c r="R99" s="184"/>
      <c r="S99" s="181" t="e">
        <f t="shared" si="53"/>
        <v>#N/A</v>
      </c>
      <c r="T99" s="598"/>
      <c r="U99" s="187"/>
      <c r="V99" s="187"/>
      <c r="W99" s="184"/>
      <c r="X99" s="181" t="e">
        <f t="shared" si="54"/>
        <v>#N/A</v>
      </c>
      <c r="Y99" s="598"/>
      <c r="Z99" s="187"/>
      <c r="AA99" s="187"/>
      <c r="AB99" s="184"/>
      <c r="AC99" s="181" t="e">
        <f t="shared" si="56"/>
        <v>#N/A</v>
      </c>
      <c r="AD99" s="598"/>
      <c r="AE99" s="187"/>
      <c r="AF99" s="187"/>
      <c r="AG99" s="184"/>
      <c r="AH99" s="181" t="e">
        <f t="shared" si="58"/>
        <v>#N/A</v>
      </c>
      <c r="AI99" s="598"/>
      <c r="AJ99" s="187"/>
      <c r="AK99" s="187"/>
      <c r="AL99" s="184"/>
      <c r="AM99" s="181" t="e">
        <f t="shared" si="60"/>
        <v>#N/A</v>
      </c>
      <c r="AN99" s="598"/>
      <c r="AO99" s="187"/>
      <c r="AP99" s="187"/>
      <c r="AQ99" s="184"/>
      <c r="AR99" s="181" t="e">
        <f t="shared" si="62"/>
        <v>#N/A</v>
      </c>
      <c r="AS99" s="598"/>
      <c r="AT99" s="187"/>
      <c r="AU99" s="187"/>
      <c r="AV99" s="184"/>
      <c r="AW99" s="181" t="e">
        <f t="shared" si="64"/>
        <v>#N/A</v>
      </c>
      <c r="AX99" s="598"/>
    </row>
    <row r="100" spans="2:50" ht="14.25" customHeight="1">
      <c r="B100" s="597"/>
      <c r="C100" s="179">
        <v>10</v>
      </c>
      <c r="D100" s="182"/>
      <c r="E100" s="179"/>
      <c r="F100" s="179"/>
      <c r="G100" s="184"/>
      <c r="H100" s="598"/>
      <c r="I100" s="185"/>
      <c r="J100" s="185"/>
      <c r="K100" s="186"/>
      <c r="L100" s="599"/>
      <c r="M100" s="185" t="e">
        <f>RANK(K100, K$91:$K$127)</f>
        <v>#N/A</v>
      </c>
      <c r="N100" s="597"/>
      <c r="O100" s="597"/>
      <c r="P100" s="187"/>
      <c r="Q100" s="187"/>
      <c r="R100" s="184"/>
      <c r="S100" s="181" t="e">
        <f t="shared" si="53"/>
        <v>#N/A</v>
      </c>
      <c r="T100" s="598"/>
      <c r="U100" s="187"/>
      <c r="V100" s="187"/>
      <c r="W100" s="184"/>
      <c r="X100" s="181" t="e">
        <f t="shared" si="54"/>
        <v>#N/A</v>
      </c>
      <c r="Y100" s="598"/>
      <c r="Z100" s="187"/>
      <c r="AA100" s="187"/>
      <c r="AB100" s="184"/>
      <c r="AC100" s="181" t="e">
        <f t="shared" si="56"/>
        <v>#N/A</v>
      </c>
      <c r="AD100" s="598"/>
      <c r="AE100" s="187"/>
      <c r="AF100" s="187"/>
      <c r="AG100" s="184"/>
      <c r="AH100" s="181" t="e">
        <f t="shared" si="58"/>
        <v>#N/A</v>
      </c>
      <c r="AI100" s="598"/>
      <c r="AJ100" s="187"/>
      <c r="AK100" s="187"/>
      <c r="AL100" s="184"/>
      <c r="AM100" s="181" t="e">
        <f t="shared" si="60"/>
        <v>#N/A</v>
      </c>
      <c r="AN100" s="598"/>
      <c r="AO100" s="187"/>
      <c r="AP100" s="187"/>
      <c r="AQ100" s="184"/>
      <c r="AR100" s="181" t="e">
        <f t="shared" si="62"/>
        <v>#N/A</v>
      </c>
      <c r="AS100" s="598"/>
      <c r="AT100" s="187"/>
      <c r="AU100" s="187"/>
      <c r="AV100" s="184"/>
      <c r="AW100" s="181" t="e">
        <f t="shared" si="64"/>
        <v>#N/A</v>
      </c>
      <c r="AX100" s="598"/>
    </row>
    <row r="101" spans="2:50" ht="14.25" customHeight="1">
      <c r="B101" s="597"/>
      <c r="C101" s="179">
        <v>11</v>
      </c>
      <c r="D101" s="182"/>
      <c r="E101" s="179"/>
      <c r="F101" s="179"/>
      <c r="G101" s="184"/>
      <c r="H101" s="598"/>
      <c r="I101" s="185"/>
      <c r="J101" s="185"/>
      <c r="K101" s="186"/>
      <c r="L101" s="599"/>
      <c r="M101" s="185" t="e">
        <f>RANK(K101, K$91:$K$127)</f>
        <v>#N/A</v>
      </c>
      <c r="N101" s="597"/>
      <c r="O101" s="597"/>
      <c r="P101" s="187"/>
      <c r="Q101" s="187"/>
      <c r="R101" s="184"/>
      <c r="S101" s="181" t="e">
        <f t="shared" si="53"/>
        <v>#N/A</v>
      </c>
      <c r="T101" s="598"/>
      <c r="U101" s="187"/>
      <c r="V101" s="187"/>
      <c r="W101" s="184"/>
      <c r="X101" s="181" t="e">
        <f t="shared" si="54"/>
        <v>#N/A</v>
      </c>
      <c r="Y101" s="598"/>
      <c r="Z101" s="187"/>
      <c r="AA101" s="187"/>
      <c r="AB101" s="184"/>
      <c r="AC101" s="181" t="e">
        <f t="shared" si="56"/>
        <v>#N/A</v>
      </c>
      <c r="AD101" s="598"/>
      <c r="AE101" s="187"/>
      <c r="AF101" s="187"/>
      <c r="AG101" s="184"/>
      <c r="AH101" s="181" t="e">
        <f t="shared" si="58"/>
        <v>#N/A</v>
      </c>
      <c r="AI101" s="598"/>
      <c r="AJ101" s="187"/>
      <c r="AK101" s="187"/>
      <c r="AL101" s="184"/>
      <c r="AM101" s="181" t="e">
        <f t="shared" si="60"/>
        <v>#N/A</v>
      </c>
      <c r="AN101" s="598"/>
      <c r="AO101" s="187"/>
      <c r="AP101" s="187"/>
      <c r="AQ101" s="184"/>
      <c r="AR101" s="181" t="e">
        <f t="shared" si="62"/>
        <v>#N/A</v>
      </c>
      <c r="AS101" s="598"/>
      <c r="AT101" s="187"/>
      <c r="AU101" s="187"/>
      <c r="AV101" s="184"/>
      <c r="AW101" s="181" t="e">
        <f t="shared" si="64"/>
        <v>#N/A</v>
      </c>
      <c r="AX101" s="598"/>
    </row>
    <row r="102" spans="2:50" ht="14.25" customHeight="1">
      <c r="B102" s="597"/>
      <c r="C102" s="179">
        <v>12</v>
      </c>
      <c r="D102" s="182"/>
      <c r="E102" s="179"/>
      <c r="F102" s="179"/>
      <c r="G102" s="184"/>
      <c r="H102" s="598"/>
      <c r="I102" s="185"/>
      <c r="J102" s="185"/>
      <c r="K102" s="186"/>
      <c r="L102" s="599"/>
      <c r="M102" s="185" t="e">
        <f>RANK(K102, K$91:$K$127)</f>
        <v>#N/A</v>
      </c>
      <c r="N102" s="597"/>
      <c r="O102" s="597"/>
      <c r="P102" s="187"/>
      <c r="Q102" s="187"/>
      <c r="R102" s="184"/>
      <c r="S102" s="181" t="e">
        <f t="shared" si="53"/>
        <v>#N/A</v>
      </c>
      <c r="T102" s="598"/>
      <c r="U102" s="187"/>
      <c r="V102" s="187"/>
      <c r="W102" s="184"/>
      <c r="X102" s="181" t="e">
        <f t="shared" si="54"/>
        <v>#N/A</v>
      </c>
      <c r="Y102" s="598"/>
      <c r="Z102" s="187"/>
      <c r="AA102" s="187"/>
      <c r="AB102" s="184"/>
      <c r="AC102" s="181" t="e">
        <f t="shared" si="56"/>
        <v>#N/A</v>
      </c>
      <c r="AD102" s="598"/>
      <c r="AE102" s="187"/>
      <c r="AF102" s="187"/>
      <c r="AG102" s="184"/>
      <c r="AH102" s="181" t="e">
        <f t="shared" si="58"/>
        <v>#N/A</v>
      </c>
      <c r="AI102" s="598"/>
      <c r="AJ102" s="187"/>
      <c r="AK102" s="187"/>
      <c r="AL102" s="184"/>
      <c r="AM102" s="181" t="e">
        <f t="shared" si="60"/>
        <v>#N/A</v>
      </c>
      <c r="AN102" s="598"/>
      <c r="AO102" s="187"/>
      <c r="AP102" s="187"/>
      <c r="AQ102" s="184"/>
      <c r="AR102" s="181" t="e">
        <f t="shared" si="62"/>
        <v>#N/A</v>
      </c>
      <c r="AS102" s="598"/>
      <c r="AT102" s="187"/>
      <c r="AU102" s="187"/>
      <c r="AV102" s="184"/>
      <c r="AW102" s="181" t="e">
        <f t="shared" si="64"/>
        <v>#N/A</v>
      </c>
      <c r="AX102" s="598"/>
    </row>
    <row r="103" spans="2:50" ht="14.25" customHeight="1">
      <c r="B103" s="597"/>
      <c r="C103" s="179">
        <v>13</v>
      </c>
      <c r="D103" s="182"/>
      <c r="E103" s="179"/>
      <c r="F103" s="179"/>
      <c r="G103" s="184"/>
      <c r="H103" s="598"/>
      <c r="I103" s="185"/>
      <c r="J103" s="185"/>
      <c r="K103" s="186"/>
      <c r="L103" s="599"/>
      <c r="M103" s="185" t="e">
        <f>RANK(K103, K$91:$K$127)</f>
        <v>#N/A</v>
      </c>
      <c r="N103" s="597"/>
      <c r="O103" s="597"/>
      <c r="P103" s="187"/>
      <c r="Q103" s="187"/>
      <c r="R103" s="184"/>
      <c r="S103" s="181" t="e">
        <f t="shared" si="53"/>
        <v>#N/A</v>
      </c>
      <c r="T103" s="598"/>
      <c r="U103" s="187"/>
      <c r="V103" s="187"/>
      <c r="W103" s="184"/>
      <c r="X103" s="181"/>
      <c r="Y103" s="598"/>
      <c r="Z103" s="187"/>
      <c r="AA103" s="187"/>
      <c r="AB103" s="184"/>
      <c r="AC103" s="181"/>
      <c r="AD103" s="598"/>
      <c r="AE103" s="187"/>
      <c r="AF103" s="187"/>
      <c r="AG103" s="184"/>
      <c r="AH103" s="181"/>
      <c r="AI103" s="598"/>
      <c r="AJ103" s="187"/>
      <c r="AK103" s="187"/>
      <c r="AL103" s="184"/>
      <c r="AM103" s="181"/>
      <c r="AN103" s="598"/>
      <c r="AO103" s="187"/>
      <c r="AP103" s="187"/>
      <c r="AQ103" s="184"/>
      <c r="AR103" s="181"/>
      <c r="AS103" s="598"/>
      <c r="AT103" s="187"/>
      <c r="AU103" s="187"/>
      <c r="AV103" s="184"/>
      <c r="AW103" s="181"/>
      <c r="AX103" s="598"/>
    </row>
    <row r="104" spans="2:50" ht="14.25" customHeight="1">
      <c r="B104" s="597"/>
      <c r="C104" s="179">
        <v>14</v>
      </c>
      <c r="D104" s="182"/>
      <c r="E104" s="179"/>
      <c r="F104" s="179"/>
      <c r="G104" s="184"/>
      <c r="H104" s="598"/>
      <c r="I104" s="185"/>
      <c r="J104" s="185"/>
      <c r="K104" s="186"/>
      <c r="L104" s="599"/>
      <c r="M104" s="185" t="e">
        <f>RANK(K104, K$91:$K$127)</f>
        <v>#N/A</v>
      </c>
      <c r="N104" s="597"/>
      <c r="O104" s="597"/>
      <c r="P104" s="187"/>
      <c r="Q104" s="187"/>
      <c r="R104" s="184"/>
      <c r="S104" s="181" t="e">
        <f t="shared" si="53"/>
        <v>#N/A</v>
      </c>
      <c r="T104" s="598"/>
      <c r="U104" s="187"/>
      <c r="V104" s="187"/>
      <c r="W104" s="184"/>
      <c r="X104" s="181" t="e">
        <f t="shared" si="54"/>
        <v>#N/A</v>
      </c>
      <c r="Y104" s="598"/>
      <c r="Z104" s="187"/>
      <c r="AA104" s="187"/>
      <c r="AB104" s="184"/>
      <c r="AC104" s="181" t="e">
        <f t="shared" si="56"/>
        <v>#N/A</v>
      </c>
      <c r="AD104" s="598"/>
      <c r="AE104" s="187"/>
      <c r="AF104" s="187"/>
      <c r="AG104" s="184"/>
      <c r="AH104" s="181" t="e">
        <f t="shared" si="58"/>
        <v>#N/A</v>
      </c>
      <c r="AI104" s="598"/>
      <c r="AJ104" s="187"/>
      <c r="AK104" s="187"/>
      <c r="AL104" s="184"/>
      <c r="AM104" s="181" t="e">
        <f t="shared" si="60"/>
        <v>#N/A</v>
      </c>
      <c r="AN104" s="598"/>
      <c r="AO104" s="187"/>
      <c r="AP104" s="187"/>
      <c r="AQ104" s="184"/>
      <c r="AR104" s="181" t="e">
        <f t="shared" si="62"/>
        <v>#N/A</v>
      </c>
      <c r="AS104" s="598"/>
      <c r="AT104" s="187"/>
      <c r="AU104" s="187"/>
      <c r="AV104" s="184"/>
      <c r="AW104" s="181" t="e">
        <f t="shared" si="64"/>
        <v>#N/A</v>
      </c>
      <c r="AX104" s="598"/>
    </row>
    <row r="105" spans="2:50" ht="14.25" customHeight="1">
      <c r="B105" s="597"/>
      <c r="C105" s="179">
        <v>15</v>
      </c>
      <c r="D105" s="182"/>
      <c r="E105" s="179"/>
      <c r="F105" s="179"/>
      <c r="G105" s="184"/>
      <c r="H105" s="598"/>
      <c r="I105" s="185"/>
      <c r="J105" s="185"/>
      <c r="K105" s="186"/>
      <c r="L105" s="599"/>
      <c r="M105" s="185" t="e">
        <f>RANK(K105, K$91:$K$127)</f>
        <v>#N/A</v>
      </c>
      <c r="N105" s="597"/>
      <c r="O105" s="597"/>
      <c r="P105" s="187"/>
      <c r="Q105" s="187"/>
      <c r="R105" s="184"/>
      <c r="S105" s="181" t="e">
        <f t="shared" si="53"/>
        <v>#N/A</v>
      </c>
      <c r="T105" s="598"/>
      <c r="U105" s="187"/>
      <c r="V105" s="187"/>
      <c r="W105" s="184"/>
      <c r="X105" s="181" t="e">
        <f t="shared" si="54"/>
        <v>#N/A</v>
      </c>
      <c r="Y105" s="598"/>
      <c r="Z105" s="187"/>
      <c r="AA105" s="187"/>
      <c r="AB105" s="184"/>
      <c r="AC105" s="181" t="e">
        <f t="shared" si="56"/>
        <v>#N/A</v>
      </c>
      <c r="AD105" s="598"/>
      <c r="AE105" s="187"/>
      <c r="AF105" s="187"/>
      <c r="AG105" s="184"/>
      <c r="AH105" s="181" t="e">
        <f t="shared" si="58"/>
        <v>#N/A</v>
      </c>
      <c r="AI105" s="598"/>
      <c r="AJ105" s="187"/>
      <c r="AK105" s="187"/>
      <c r="AL105" s="184"/>
      <c r="AM105" s="181" t="e">
        <f t="shared" si="60"/>
        <v>#N/A</v>
      </c>
      <c r="AN105" s="598"/>
      <c r="AO105" s="187"/>
      <c r="AP105" s="187"/>
      <c r="AQ105" s="184"/>
      <c r="AR105" s="181" t="e">
        <f t="shared" si="62"/>
        <v>#N/A</v>
      </c>
      <c r="AS105" s="598"/>
      <c r="AT105" s="187"/>
      <c r="AU105" s="187"/>
      <c r="AV105" s="184"/>
      <c r="AW105" s="181" t="e">
        <f t="shared" si="64"/>
        <v>#N/A</v>
      </c>
      <c r="AX105" s="598"/>
    </row>
    <row r="106" spans="2:50">
      <c r="M106" s="185" t="e">
        <f>RANK(K106, K$91:$K$127)</f>
        <v>#N/A</v>
      </c>
      <c r="S106" s="181" t="e">
        <f t="shared" si="53"/>
        <v>#N/A</v>
      </c>
      <c r="X106" s="181" t="e">
        <f t="shared" si="54"/>
        <v>#N/A</v>
      </c>
      <c r="AC106" s="181" t="e">
        <f t="shared" si="56"/>
        <v>#N/A</v>
      </c>
      <c r="AH106" s="181" t="e">
        <f t="shared" si="58"/>
        <v>#N/A</v>
      </c>
      <c r="AM106" s="181" t="e">
        <f t="shared" si="60"/>
        <v>#N/A</v>
      </c>
      <c r="AR106" s="181" t="e">
        <f t="shared" si="62"/>
        <v>#N/A</v>
      </c>
      <c r="AW106" s="181" t="e">
        <f t="shared" si="64"/>
        <v>#N/A</v>
      </c>
    </row>
    <row r="107" spans="2:50">
      <c r="M107" s="185" t="e">
        <f>RANK(K107, K$91:$K$127)</f>
        <v>#N/A</v>
      </c>
      <c r="S107" s="181" t="e">
        <f t="shared" si="53"/>
        <v>#N/A</v>
      </c>
      <c r="X107" s="181" t="e">
        <f t="shared" si="54"/>
        <v>#N/A</v>
      </c>
      <c r="AC107" s="181" t="e">
        <f t="shared" si="56"/>
        <v>#N/A</v>
      </c>
      <c r="AH107" s="181" t="e">
        <f t="shared" si="58"/>
        <v>#N/A</v>
      </c>
      <c r="AM107" s="181" t="e">
        <f t="shared" si="60"/>
        <v>#N/A</v>
      </c>
      <c r="AR107" s="181" t="e">
        <f t="shared" si="62"/>
        <v>#N/A</v>
      </c>
      <c r="AW107" s="181" t="e">
        <f t="shared" si="64"/>
        <v>#N/A</v>
      </c>
    </row>
    <row r="108" spans="2:50">
      <c r="M108" s="185" t="e">
        <f>RANK(K108, K$91:$K$127)</f>
        <v>#N/A</v>
      </c>
      <c r="S108" s="181" t="e">
        <f t="shared" si="53"/>
        <v>#N/A</v>
      </c>
      <c r="X108" s="181" t="e">
        <f t="shared" si="54"/>
        <v>#N/A</v>
      </c>
      <c r="AC108" s="181" t="e">
        <f t="shared" si="56"/>
        <v>#N/A</v>
      </c>
      <c r="AH108" s="181" t="e">
        <f t="shared" si="58"/>
        <v>#N/A</v>
      </c>
      <c r="AM108" s="181" t="e">
        <f t="shared" si="60"/>
        <v>#N/A</v>
      </c>
      <c r="AR108" s="181" t="e">
        <f t="shared" si="62"/>
        <v>#N/A</v>
      </c>
      <c r="AW108" s="181" t="e">
        <f t="shared" si="64"/>
        <v>#N/A</v>
      </c>
    </row>
    <row r="109" spans="2:50">
      <c r="M109" s="185" t="e">
        <f>RANK(K109, K$91:$K$127)</f>
        <v>#N/A</v>
      </c>
      <c r="S109" s="181" t="e">
        <f t="shared" si="53"/>
        <v>#N/A</v>
      </c>
      <c r="X109" s="181" t="e">
        <f t="shared" si="54"/>
        <v>#N/A</v>
      </c>
      <c r="AC109" s="181" t="e">
        <f t="shared" si="56"/>
        <v>#N/A</v>
      </c>
      <c r="AH109" s="181" t="e">
        <f t="shared" si="58"/>
        <v>#N/A</v>
      </c>
      <c r="AM109" s="181" t="e">
        <f t="shared" si="60"/>
        <v>#N/A</v>
      </c>
      <c r="AR109" s="181" t="e">
        <f t="shared" si="62"/>
        <v>#N/A</v>
      </c>
      <c r="AW109" s="181" t="e">
        <f t="shared" si="64"/>
        <v>#N/A</v>
      </c>
    </row>
    <row r="110" spans="2:50">
      <c r="M110" s="185" t="e">
        <f>RANK(K110, K$91:$K$127)</f>
        <v>#N/A</v>
      </c>
      <c r="S110" s="181" t="e">
        <f t="shared" si="53"/>
        <v>#N/A</v>
      </c>
      <c r="X110" s="181" t="e">
        <f t="shared" si="54"/>
        <v>#N/A</v>
      </c>
      <c r="AC110" s="181" t="e">
        <f t="shared" si="56"/>
        <v>#N/A</v>
      </c>
      <c r="AH110" s="181" t="e">
        <f t="shared" si="58"/>
        <v>#N/A</v>
      </c>
      <c r="AM110" s="181" t="e">
        <f t="shared" si="60"/>
        <v>#N/A</v>
      </c>
      <c r="AR110" s="181" t="e">
        <f t="shared" si="62"/>
        <v>#N/A</v>
      </c>
      <c r="AW110" s="181" t="e">
        <f t="shared" si="64"/>
        <v>#N/A</v>
      </c>
    </row>
    <row r="111" spans="2:50">
      <c r="M111" s="185" t="e">
        <f>RANK(K111, K$91:$K$127)</f>
        <v>#N/A</v>
      </c>
      <c r="S111" s="181" t="e">
        <f t="shared" si="53"/>
        <v>#N/A</v>
      </c>
      <c r="X111" s="181" t="e">
        <f t="shared" si="54"/>
        <v>#N/A</v>
      </c>
      <c r="AC111" s="181" t="e">
        <f t="shared" si="56"/>
        <v>#N/A</v>
      </c>
      <c r="AH111" s="181" t="e">
        <f t="shared" si="58"/>
        <v>#N/A</v>
      </c>
      <c r="AM111" s="181" t="e">
        <f t="shared" si="60"/>
        <v>#N/A</v>
      </c>
      <c r="AR111" s="181" t="e">
        <f t="shared" si="62"/>
        <v>#N/A</v>
      </c>
      <c r="AW111" s="181" t="e">
        <f t="shared" si="64"/>
        <v>#N/A</v>
      </c>
    </row>
    <row r="112" spans="2:50">
      <c r="M112" s="185" t="e">
        <f>RANK(K112, K$91:$K$127)</f>
        <v>#N/A</v>
      </c>
      <c r="S112" s="181" t="e">
        <f t="shared" si="53"/>
        <v>#N/A</v>
      </c>
      <c r="X112" s="181" t="e">
        <f t="shared" si="54"/>
        <v>#N/A</v>
      </c>
      <c r="AC112" s="181" t="e">
        <f t="shared" si="56"/>
        <v>#N/A</v>
      </c>
      <c r="AH112" s="181" t="e">
        <f t="shared" si="58"/>
        <v>#N/A</v>
      </c>
      <c r="AM112" s="181" t="e">
        <f t="shared" si="60"/>
        <v>#N/A</v>
      </c>
      <c r="AR112" s="181" t="e">
        <f t="shared" si="62"/>
        <v>#N/A</v>
      </c>
      <c r="AW112" s="181" t="e">
        <f t="shared" si="64"/>
        <v>#N/A</v>
      </c>
    </row>
    <row r="113" spans="13:49">
      <c r="M113" s="185" t="e">
        <f>RANK(K113, K$91:$K$127)</f>
        <v>#N/A</v>
      </c>
      <c r="S113" s="181" t="e">
        <f t="shared" si="53"/>
        <v>#N/A</v>
      </c>
      <c r="X113" s="181" t="e">
        <f t="shared" si="54"/>
        <v>#N/A</v>
      </c>
      <c r="AC113" s="181" t="e">
        <f t="shared" si="56"/>
        <v>#N/A</v>
      </c>
      <c r="AH113" s="181" t="e">
        <f t="shared" si="58"/>
        <v>#N/A</v>
      </c>
      <c r="AM113" s="181" t="e">
        <f t="shared" si="60"/>
        <v>#N/A</v>
      </c>
      <c r="AR113" s="181" t="e">
        <f t="shared" si="62"/>
        <v>#N/A</v>
      </c>
      <c r="AW113" s="181" t="e">
        <f t="shared" si="64"/>
        <v>#N/A</v>
      </c>
    </row>
    <row r="114" spans="13:49">
      <c r="M114" s="185" t="e">
        <f>RANK(K114, K$91:$K$127)</f>
        <v>#N/A</v>
      </c>
      <c r="S114" s="181" t="e">
        <f t="shared" si="53"/>
        <v>#N/A</v>
      </c>
      <c r="X114" s="181" t="e">
        <f t="shared" si="54"/>
        <v>#N/A</v>
      </c>
      <c r="AC114" s="181" t="e">
        <f t="shared" si="56"/>
        <v>#N/A</v>
      </c>
      <c r="AH114" s="181" t="e">
        <f t="shared" si="58"/>
        <v>#N/A</v>
      </c>
      <c r="AM114" s="181" t="e">
        <f t="shared" si="60"/>
        <v>#N/A</v>
      </c>
      <c r="AR114" s="181" t="e">
        <f t="shared" si="62"/>
        <v>#N/A</v>
      </c>
      <c r="AW114" s="181" t="e">
        <f t="shared" si="64"/>
        <v>#N/A</v>
      </c>
    </row>
    <row r="115" spans="13:49">
      <c r="M115" s="185" t="e">
        <f>RANK(K115, K$91:$K$127)</f>
        <v>#N/A</v>
      </c>
      <c r="S115" s="181" t="e">
        <f t="shared" si="53"/>
        <v>#N/A</v>
      </c>
      <c r="X115" s="181" t="e">
        <f t="shared" si="54"/>
        <v>#N/A</v>
      </c>
      <c r="AC115" s="181" t="e">
        <f t="shared" si="56"/>
        <v>#N/A</v>
      </c>
      <c r="AH115" s="181" t="e">
        <f t="shared" si="58"/>
        <v>#N/A</v>
      </c>
      <c r="AM115" s="181" t="e">
        <f t="shared" si="60"/>
        <v>#N/A</v>
      </c>
      <c r="AR115" s="181" t="e">
        <f t="shared" si="62"/>
        <v>#N/A</v>
      </c>
      <c r="AW115" s="181" t="e">
        <f t="shared" si="64"/>
        <v>#N/A</v>
      </c>
    </row>
    <row r="116" spans="13:49">
      <c r="M116" s="185" t="e">
        <f>RANK(K116, K$91:$K$127)</f>
        <v>#N/A</v>
      </c>
      <c r="S116" s="181" t="e">
        <f t="shared" si="53"/>
        <v>#N/A</v>
      </c>
      <c r="X116" s="181" t="e">
        <f t="shared" si="54"/>
        <v>#N/A</v>
      </c>
      <c r="AC116" s="181" t="e">
        <f t="shared" si="56"/>
        <v>#N/A</v>
      </c>
      <c r="AH116" s="181" t="e">
        <f t="shared" si="58"/>
        <v>#N/A</v>
      </c>
      <c r="AM116" s="181" t="e">
        <f t="shared" si="60"/>
        <v>#N/A</v>
      </c>
      <c r="AR116" s="181" t="e">
        <f t="shared" si="62"/>
        <v>#N/A</v>
      </c>
      <c r="AW116" s="181" t="e">
        <f t="shared" si="64"/>
        <v>#N/A</v>
      </c>
    </row>
    <row r="117" spans="13:49">
      <c r="M117" s="185" t="e">
        <f>RANK(K117, K$91:$K$127)</f>
        <v>#N/A</v>
      </c>
      <c r="S117" s="181" t="e">
        <f t="shared" si="53"/>
        <v>#N/A</v>
      </c>
      <c r="X117" s="181" t="e">
        <f t="shared" si="54"/>
        <v>#N/A</v>
      </c>
      <c r="AC117" s="181" t="e">
        <f t="shared" si="56"/>
        <v>#N/A</v>
      </c>
      <c r="AH117" s="181" t="e">
        <f t="shared" si="58"/>
        <v>#N/A</v>
      </c>
      <c r="AM117" s="181" t="e">
        <f t="shared" si="60"/>
        <v>#N/A</v>
      </c>
      <c r="AR117" s="181" t="e">
        <f t="shared" si="62"/>
        <v>#N/A</v>
      </c>
      <c r="AW117" s="181" t="e">
        <f t="shared" si="64"/>
        <v>#N/A</v>
      </c>
    </row>
    <row r="118" spans="13:49">
      <c r="M118" s="185" t="e">
        <f>RANK(K118, K$91:$K$127)</f>
        <v>#N/A</v>
      </c>
      <c r="S118" s="181" t="e">
        <f t="shared" si="53"/>
        <v>#N/A</v>
      </c>
      <c r="X118" s="181" t="e">
        <f t="shared" si="54"/>
        <v>#N/A</v>
      </c>
      <c r="AC118" s="181" t="e">
        <f t="shared" si="56"/>
        <v>#N/A</v>
      </c>
      <c r="AH118" s="181" t="e">
        <f t="shared" si="58"/>
        <v>#N/A</v>
      </c>
      <c r="AM118" s="181" t="e">
        <f t="shared" si="60"/>
        <v>#N/A</v>
      </c>
      <c r="AR118" s="181" t="e">
        <f t="shared" si="62"/>
        <v>#N/A</v>
      </c>
      <c r="AW118" s="181" t="e">
        <f t="shared" si="64"/>
        <v>#N/A</v>
      </c>
    </row>
    <row r="119" spans="13:49">
      <c r="M119" s="185" t="e">
        <f>RANK(K119, K$91:$K$127)</f>
        <v>#N/A</v>
      </c>
      <c r="S119" s="181" t="e">
        <f t="shared" si="53"/>
        <v>#N/A</v>
      </c>
      <c r="X119" s="181" t="e">
        <f t="shared" si="54"/>
        <v>#N/A</v>
      </c>
      <c r="AC119" s="181" t="e">
        <f t="shared" si="56"/>
        <v>#N/A</v>
      </c>
      <c r="AH119" s="181" t="e">
        <f t="shared" si="58"/>
        <v>#N/A</v>
      </c>
      <c r="AM119" s="181" t="e">
        <f t="shared" si="60"/>
        <v>#N/A</v>
      </c>
      <c r="AR119" s="181" t="e">
        <f t="shared" si="62"/>
        <v>#N/A</v>
      </c>
      <c r="AW119" s="181" t="e">
        <f t="shared" si="64"/>
        <v>#N/A</v>
      </c>
    </row>
    <row r="120" spans="13:49">
      <c r="M120" s="185" t="e">
        <f>RANK(K120, K$91:$K$127)</f>
        <v>#N/A</v>
      </c>
      <c r="S120" s="181" t="e">
        <f t="shared" si="53"/>
        <v>#N/A</v>
      </c>
      <c r="X120" s="181" t="e">
        <f t="shared" si="54"/>
        <v>#N/A</v>
      </c>
      <c r="AC120" s="181" t="e">
        <f t="shared" si="56"/>
        <v>#N/A</v>
      </c>
      <c r="AH120" s="181" t="e">
        <f t="shared" si="58"/>
        <v>#N/A</v>
      </c>
      <c r="AM120" s="181" t="e">
        <f t="shared" si="60"/>
        <v>#N/A</v>
      </c>
      <c r="AR120" s="181" t="e">
        <f t="shared" si="62"/>
        <v>#N/A</v>
      </c>
      <c r="AW120" s="181" t="e">
        <f t="shared" si="64"/>
        <v>#N/A</v>
      </c>
    </row>
    <row r="121" spans="13:49">
      <c r="M121" s="185" t="e">
        <f>RANK(K121, K$91:$K$127)</f>
        <v>#N/A</v>
      </c>
      <c r="S121" s="181" t="e">
        <f t="shared" si="53"/>
        <v>#N/A</v>
      </c>
      <c r="X121" s="181" t="e">
        <f t="shared" si="54"/>
        <v>#N/A</v>
      </c>
      <c r="AC121" s="181" t="e">
        <f t="shared" si="56"/>
        <v>#N/A</v>
      </c>
      <c r="AH121" s="181" t="e">
        <f t="shared" si="58"/>
        <v>#N/A</v>
      </c>
      <c r="AM121" s="181" t="e">
        <f t="shared" si="60"/>
        <v>#N/A</v>
      </c>
      <c r="AR121" s="181" t="e">
        <f t="shared" si="62"/>
        <v>#N/A</v>
      </c>
      <c r="AW121" s="181" t="e">
        <f t="shared" si="64"/>
        <v>#N/A</v>
      </c>
    </row>
    <row r="122" spans="13:49">
      <c r="M122" s="185" t="e">
        <f>RANK(K122, K$91:$K$127)</f>
        <v>#N/A</v>
      </c>
      <c r="S122" s="181" t="e">
        <f t="shared" si="53"/>
        <v>#N/A</v>
      </c>
      <c r="X122" s="181" t="e">
        <f t="shared" si="54"/>
        <v>#N/A</v>
      </c>
      <c r="AC122" s="181" t="e">
        <f t="shared" si="56"/>
        <v>#N/A</v>
      </c>
      <c r="AH122" s="181" t="e">
        <f t="shared" si="58"/>
        <v>#N/A</v>
      </c>
      <c r="AM122" s="181" t="e">
        <f t="shared" si="60"/>
        <v>#N/A</v>
      </c>
      <c r="AR122" s="181" t="e">
        <f t="shared" si="62"/>
        <v>#N/A</v>
      </c>
      <c r="AW122" s="181" t="e">
        <f t="shared" si="64"/>
        <v>#N/A</v>
      </c>
    </row>
    <row r="123" spans="13:49">
      <c r="M123" s="185" t="e">
        <f>RANK(K123, K$91:$K$127)</f>
        <v>#N/A</v>
      </c>
      <c r="S123" s="181" t="e">
        <f t="shared" si="53"/>
        <v>#N/A</v>
      </c>
      <c r="X123" s="181" t="e">
        <f t="shared" si="54"/>
        <v>#N/A</v>
      </c>
      <c r="AC123" s="181" t="e">
        <f t="shared" si="56"/>
        <v>#N/A</v>
      </c>
      <c r="AH123" s="181" t="e">
        <f t="shared" si="58"/>
        <v>#N/A</v>
      </c>
      <c r="AM123" s="181" t="e">
        <f t="shared" si="60"/>
        <v>#N/A</v>
      </c>
      <c r="AR123" s="181" t="e">
        <f t="shared" si="62"/>
        <v>#N/A</v>
      </c>
      <c r="AW123" s="181" t="e">
        <f t="shared" si="64"/>
        <v>#N/A</v>
      </c>
    </row>
    <row r="124" spans="13:49">
      <c r="M124" s="185" t="e">
        <f>RANK(K124, K$91:$K$127)</f>
        <v>#N/A</v>
      </c>
      <c r="S124" s="181" t="e">
        <f t="shared" si="53"/>
        <v>#N/A</v>
      </c>
      <c r="X124" s="181" t="e">
        <f t="shared" si="54"/>
        <v>#N/A</v>
      </c>
      <c r="AC124" s="181" t="e">
        <f t="shared" si="56"/>
        <v>#N/A</v>
      </c>
      <c r="AH124" s="181" t="e">
        <f t="shared" si="58"/>
        <v>#N/A</v>
      </c>
      <c r="AM124" s="181" t="e">
        <f t="shared" si="60"/>
        <v>#N/A</v>
      </c>
      <c r="AR124" s="181" t="e">
        <f t="shared" si="62"/>
        <v>#N/A</v>
      </c>
      <c r="AW124" s="181" t="e">
        <f t="shared" si="64"/>
        <v>#N/A</v>
      </c>
    </row>
    <row r="125" spans="13:49">
      <c r="M125" s="185" t="e">
        <f>RANK(K125, K$91:$K$127)</f>
        <v>#N/A</v>
      </c>
      <c r="S125" s="181" t="e">
        <f t="shared" si="53"/>
        <v>#N/A</v>
      </c>
      <c r="X125" s="181" t="e">
        <f t="shared" si="54"/>
        <v>#N/A</v>
      </c>
      <c r="AC125" s="181" t="e">
        <f t="shared" si="56"/>
        <v>#N/A</v>
      </c>
      <c r="AH125" s="181" t="e">
        <f t="shared" si="58"/>
        <v>#N/A</v>
      </c>
      <c r="AM125" s="181" t="e">
        <f t="shared" si="60"/>
        <v>#N/A</v>
      </c>
      <c r="AR125" s="181" t="e">
        <f t="shared" si="62"/>
        <v>#N/A</v>
      </c>
      <c r="AW125" s="181" t="e">
        <f t="shared" si="64"/>
        <v>#N/A</v>
      </c>
    </row>
    <row r="126" spans="13:49">
      <c r="M126" s="185" t="e">
        <f>RANK(K126, K$91:$K$127)</f>
        <v>#N/A</v>
      </c>
      <c r="S126" s="181" t="e">
        <f t="shared" si="53"/>
        <v>#N/A</v>
      </c>
      <c r="X126" s="181" t="e">
        <f t="shared" si="54"/>
        <v>#N/A</v>
      </c>
      <c r="AC126" s="181" t="e">
        <f t="shared" si="56"/>
        <v>#N/A</v>
      </c>
      <c r="AH126" s="181" t="e">
        <f t="shared" si="58"/>
        <v>#N/A</v>
      </c>
      <c r="AM126" s="181" t="e">
        <f t="shared" si="60"/>
        <v>#N/A</v>
      </c>
      <c r="AR126" s="181" t="e">
        <f t="shared" si="62"/>
        <v>#N/A</v>
      </c>
      <c r="AW126" s="181" t="e">
        <f t="shared" si="64"/>
        <v>#N/A</v>
      </c>
    </row>
  </sheetData>
  <mergeCells count="235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T25:AW25"/>
    <mergeCell ref="AE24:AH24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AJ86:AN86"/>
    <mergeCell ref="AO86:AS8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86:AX86"/>
    <mergeCell ref="P87:T87"/>
    <mergeCell ref="U87:Y87"/>
    <mergeCell ref="Z87:AD87"/>
    <mergeCell ref="AE87:AI87"/>
    <mergeCell ref="AJ87:AN87"/>
    <mergeCell ref="AO87:AS87"/>
    <mergeCell ref="AT87:AX87"/>
    <mergeCell ref="B88:B90"/>
    <mergeCell ref="C88:D90"/>
    <mergeCell ref="E88:G88"/>
    <mergeCell ref="H88:H90"/>
    <mergeCell ref="I88:K88"/>
    <mergeCell ref="L88:L90"/>
    <mergeCell ref="M88:M90"/>
    <mergeCell ref="N88:N105"/>
    <mergeCell ref="O88:O105"/>
    <mergeCell ref="P88:S88"/>
    <mergeCell ref="T88:T90"/>
    <mergeCell ref="U88:X88"/>
    <mergeCell ref="Y88:Y90"/>
    <mergeCell ref="Z88:AC88"/>
    <mergeCell ref="AD88:AD90"/>
    <mergeCell ref="AE88:AH88"/>
    <mergeCell ref="AN91:AN105"/>
    <mergeCell ref="AS91:AS105"/>
    <mergeCell ref="AI88:AI90"/>
    <mergeCell ref="AJ88:AM88"/>
    <mergeCell ref="AN88:AN90"/>
    <mergeCell ref="AO88:AR88"/>
    <mergeCell ref="AS88:AS90"/>
    <mergeCell ref="AT88:AW88"/>
    <mergeCell ref="AX88:AX90"/>
    <mergeCell ref="AJ89:AM89"/>
    <mergeCell ref="AO89:AR89"/>
    <mergeCell ref="AT89:AW89"/>
    <mergeCell ref="I44:K44"/>
    <mergeCell ref="L44:L46"/>
    <mergeCell ref="B91:B105"/>
    <mergeCell ref="H91:H105"/>
    <mergeCell ref="L91:L105"/>
    <mergeCell ref="T91:T105"/>
    <mergeCell ref="Y91:Y105"/>
    <mergeCell ref="AD91:AD105"/>
    <mergeCell ref="AI91:AI105"/>
    <mergeCell ref="E89:G89"/>
    <mergeCell ref="I89:K89"/>
    <mergeCell ref="P89:S89"/>
    <mergeCell ref="U89:X89"/>
    <mergeCell ref="Z89:AC89"/>
    <mergeCell ref="AE89:AH89"/>
    <mergeCell ref="N86:N87"/>
    <mergeCell ref="O86:O87"/>
    <mergeCell ref="P86:T86"/>
    <mergeCell ref="U86:Y86"/>
    <mergeCell ref="Z86:AD86"/>
    <mergeCell ref="AE86:AI86"/>
    <mergeCell ref="Z44:AC44"/>
    <mergeCell ref="AD44:AD46"/>
    <mergeCell ref="AX91:AX105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R106"/>
  <sheetViews>
    <sheetView view="pageBreakPreview" topLeftCell="A41" zoomScaleNormal="60" zoomScaleSheetLayoutView="100" workbookViewId="0">
      <selection activeCell="J63" sqref="J63"/>
    </sheetView>
  </sheetViews>
  <sheetFormatPr defaultColWidth="12.5703125" defaultRowHeight="15.75" customHeight="1"/>
  <cols>
    <col min="1" max="1" width="6.42578125" style="188" customWidth="1"/>
    <col min="2" max="10" width="11.5703125" style="188" customWidth="1"/>
    <col min="11" max="11" width="12.85546875" style="188" customWidth="1"/>
    <col min="12" max="12" width="41.85546875" style="188" customWidth="1"/>
    <col min="13" max="13" width="12.5703125" style="189"/>
    <col min="14" max="16384" width="12.5703125" style="188"/>
  </cols>
  <sheetData>
    <row r="1" spans="1:18" ht="15.75" customHeight="1">
      <c r="A1" s="536" t="s">
        <v>372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188"/>
    </row>
    <row r="2" spans="1:18" s="189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</row>
    <row r="3" spans="1:18" ht="15.75" customHeight="1">
      <c r="A3" s="645" t="s">
        <v>670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188"/>
    </row>
    <row r="4" spans="1:18" s="189" customFormat="1" ht="15.75" customHeight="1">
      <c r="A4" s="645"/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</row>
    <row r="5" spans="1:18" s="177" customFormat="1" ht="15.75" customHeight="1">
      <c r="A5" s="643" t="s">
        <v>162</v>
      </c>
      <c r="B5" s="190">
        <v>1</v>
      </c>
      <c r="C5" s="190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ht="16.350000000000001" customHeight="1">
      <c r="A6" s="643"/>
      <c r="B6" s="193" t="s">
        <v>206</v>
      </c>
      <c r="C6" s="193" t="s">
        <v>155</v>
      </c>
      <c r="D6" s="194" t="s">
        <v>207</v>
      </c>
      <c r="E6" s="194" t="s">
        <v>156</v>
      </c>
      <c r="F6" s="194" t="s">
        <v>348</v>
      </c>
      <c r="G6" s="195" t="s">
        <v>136</v>
      </c>
      <c r="H6" s="196" t="s">
        <v>208</v>
      </c>
      <c r="I6" s="195" t="s">
        <v>373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77" customFormat="1" ht="15.75" customHeight="1">
      <c r="A7" s="644" t="s">
        <v>188</v>
      </c>
      <c r="B7" s="644"/>
      <c r="C7" s="159" t="s">
        <v>47</v>
      </c>
      <c r="D7" s="644" t="s">
        <v>12</v>
      </c>
      <c r="E7" s="646"/>
      <c r="F7" s="646"/>
      <c r="G7" s="159" t="s">
        <v>46</v>
      </c>
      <c r="H7" s="159" t="s">
        <v>374</v>
      </c>
      <c r="I7" s="159" t="s">
        <v>375</v>
      </c>
      <c r="J7" s="159" t="s">
        <v>332</v>
      </c>
      <c r="K7" s="644" t="s">
        <v>51</v>
      </c>
      <c r="L7" s="646"/>
      <c r="M7" s="192"/>
      <c r="N7" s="188"/>
      <c r="P7" s="383"/>
      <c r="Q7" s="383"/>
    </row>
    <row r="8" spans="1:18" ht="15.75" customHeight="1">
      <c r="A8" s="643">
        <v>1</v>
      </c>
      <c r="B8" s="644" t="s">
        <v>376</v>
      </c>
      <c r="C8" s="199">
        <v>1</v>
      </c>
      <c r="D8" s="639" t="s">
        <v>595</v>
      </c>
      <c r="E8" s="640"/>
      <c r="F8" s="640"/>
      <c r="G8" s="199">
        <v>3</v>
      </c>
      <c r="H8" s="201">
        <v>3197.3008393122423</v>
      </c>
      <c r="I8" s="202">
        <v>1065.7669464374139</v>
      </c>
      <c r="J8" s="220">
        <v>-0.8742857142858611</v>
      </c>
      <c r="K8" s="639" t="s">
        <v>427</v>
      </c>
      <c r="L8" s="640"/>
      <c r="N8" s="177"/>
      <c r="O8" s="177"/>
      <c r="P8" s="383"/>
      <c r="Q8" s="383"/>
      <c r="R8" s="177"/>
    </row>
    <row r="9" spans="1:18" ht="15.75" customHeight="1">
      <c r="A9" s="643"/>
      <c r="B9" s="644"/>
      <c r="C9" s="199">
        <v>2</v>
      </c>
      <c r="D9" s="639" t="s">
        <v>398</v>
      </c>
      <c r="E9" s="640"/>
      <c r="F9" s="640"/>
      <c r="G9" s="199">
        <v>3</v>
      </c>
      <c r="H9" s="201">
        <v>3196.3160598015243</v>
      </c>
      <c r="I9" s="202">
        <v>1065.4386866005082</v>
      </c>
      <c r="J9" s="220">
        <v>0.39428571428607029</v>
      </c>
      <c r="K9" s="639" t="s">
        <v>427</v>
      </c>
      <c r="L9" s="640"/>
      <c r="N9" s="177"/>
      <c r="O9" s="177"/>
      <c r="P9" s="383"/>
      <c r="Q9" s="383"/>
      <c r="R9" s="177"/>
    </row>
    <row r="10" spans="1:18" ht="15.75" customHeight="1">
      <c r="A10" s="643"/>
      <c r="B10" s="644"/>
      <c r="C10" s="199">
        <v>3</v>
      </c>
      <c r="D10" s="639" t="s">
        <v>388</v>
      </c>
      <c r="E10" s="640"/>
      <c r="F10" s="640"/>
      <c r="G10" s="199">
        <v>3</v>
      </c>
      <c r="H10" s="201">
        <v>3194.3640007317154</v>
      </c>
      <c r="I10" s="202">
        <v>1064.7880002439051</v>
      </c>
      <c r="J10" s="220">
        <v>0.1885714285715494</v>
      </c>
      <c r="K10" s="639" t="s">
        <v>427</v>
      </c>
      <c r="L10" s="640"/>
      <c r="N10" s="177"/>
      <c r="O10" s="177"/>
      <c r="P10" s="383"/>
      <c r="Q10" s="383"/>
      <c r="R10" s="177"/>
    </row>
    <row r="11" spans="1:18" ht="15.75" customHeight="1">
      <c r="A11" s="643"/>
      <c r="B11" s="644"/>
      <c r="C11" s="199">
        <v>4</v>
      </c>
      <c r="D11" s="639" t="s">
        <v>395</v>
      </c>
      <c r="E11" s="640"/>
      <c r="F11" s="640"/>
      <c r="G11" s="199">
        <v>3</v>
      </c>
      <c r="H11" s="201">
        <v>3191.1263700988529</v>
      </c>
      <c r="I11" s="202">
        <v>1063.7087900329511</v>
      </c>
      <c r="J11" s="220">
        <v>-0.14790649308974935</v>
      </c>
      <c r="K11" s="639" t="s">
        <v>427</v>
      </c>
      <c r="L11" s="640"/>
      <c r="N11" s="177"/>
      <c r="O11" s="177"/>
      <c r="P11" s="383"/>
      <c r="Q11" s="383"/>
      <c r="R11" s="177"/>
    </row>
    <row r="12" spans="1:18" ht="15.75" customHeight="1">
      <c r="A12" s="643"/>
      <c r="B12" s="644"/>
      <c r="C12" s="199">
        <v>5</v>
      </c>
      <c r="D12" s="639" t="s">
        <v>538</v>
      </c>
      <c r="E12" s="640"/>
      <c r="F12" s="640"/>
      <c r="G12" s="199">
        <v>3</v>
      </c>
      <c r="H12" s="201">
        <v>3189.6593122287936</v>
      </c>
      <c r="I12" s="202">
        <v>1063.2197707429314</v>
      </c>
      <c r="J12" s="220"/>
      <c r="K12" s="639" t="s">
        <v>427</v>
      </c>
      <c r="L12" s="640"/>
      <c r="O12" s="177"/>
      <c r="P12" s="383"/>
      <c r="Q12" s="383"/>
      <c r="R12" s="177"/>
    </row>
    <row r="13" spans="1:18" ht="15.75" customHeight="1">
      <c r="A13" s="643"/>
      <c r="B13" s="644"/>
      <c r="C13" s="203" t="s">
        <v>204</v>
      </c>
      <c r="D13" s="640" t="s">
        <v>484</v>
      </c>
      <c r="E13" s="640"/>
      <c r="F13" s="640"/>
      <c r="G13" s="200">
        <v>13</v>
      </c>
      <c r="H13" s="204">
        <v>3259.6066255692626</v>
      </c>
      <c r="I13" s="205">
        <v>250.73897119763555</v>
      </c>
      <c r="J13" s="220">
        <v>-0.13846153846142784</v>
      </c>
      <c r="K13" s="639" t="s">
        <v>427</v>
      </c>
      <c r="L13" s="640"/>
      <c r="N13" s="177"/>
      <c r="O13" s="177"/>
      <c r="P13" s="383"/>
      <c r="Q13" s="383"/>
      <c r="R13" s="177"/>
    </row>
    <row r="14" spans="1:18" ht="15.75" customHeight="1">
      <c r="A14" s="643"/>
      <c r="B14" s="644"/>
      <c r="C14" s="203" t="s">
        <v>209</v>
      </c>
      <c r="D14" s="640" t="s">
        <v>439</v>
      </c>
      <c r="E14" s="640"/>
      <c r="F14" s="640"/>
      <c r="G14" s="200">
        <v>12</v>
      </c>
      <c r="H14" s="204">
        <v>3116.6325099237552</v>
      </c>
      <c r="I14" s="205">
        <v>259.71937582697961</v>
      </c>
      <c r="J14" s="220">
        <v>0.40285714285715812</v>
      </c>
      <c r="K14" s="639" t="s">
        <v>427</v>
      </c>
      <c r="L14" s="640"/>
      <c r="N14" s="177"/>
      <c r="O14" s="177"/>
      <c r="P14" s="383"/>
      <c r="Q14" s="383"/>
      <c r="R14" s="177"/>
    </row>
    <row r="15" spans="1:18" ht="15.75" customHeight="1">
      <c r="A15" s="643"/>
      <c r="B15" s="644"/>
      <c r="C15" s="203" t="s">
        <v>205</v>
      </c>
      <c r="D15" s="640" t="s">
        <v>436</v>
      </c>
      <c r="E15" s="640"/>
      <c r="F15" s="640"/>
      <c r="G15" s="200">
        <v>12</v>
      </c>
      <c r="H15" s="204">
        <v>3117.4577302189086</v>
      </c>
      <c r="I15" s="205">
        <v>259.78814418490907</v>
      </c>
      <c r="J15" s="220">
        <v>0.51604105534528344</v>
      </c>
      <c r="K15" s="639" t="s">
        <v>427</v>
      </c>
      <c r="L15" s="640"/>
      <c r="N15" s="177"/>
      <c r="O15" s="177"/>
      <c r="P15" s="383"/>
      <c r="Q15" s="383"/>
      <c r="R15" s="177"/>
    </row>
    <row r="16" spans="1:18" ht="15.75" customHeight="1">
      <c r="A16" s="643"/>
      <c r="B16" s="644"/>
      <c r="C16" s="203" t="s">
        <v>210</v>
      </c>
      <c r="D16" s="640" t="s">
        <v>691</v>
      </c>
      <c r="E16" s="640"/>
      <c r="F16" s="640"/>
      <c r="G16" s="200">
        <v>6</v>
      </c>
      <c r="H16" s="204">
        <v>3182.8012443380135</v>
      </c>
      <c r="I16" s="205">
        <v>530.46687405633566</v>
      </c>
      <c r="J16" s="220">
        <v>37.300207389668969</v>
      </c>
      <c r="K16" s="639" t="s">
        <v>765</v>
      </c>
      <c r="L16" s="640"/>
      <c r="M16" s="188"/>
      <c r="N16" s="177"/>
      <c r="O16" s="177"/>
      <c r="P16" s="383"/>
      <c r="Q16" s="383"/>
      <c r="R16" s="177"/>
    </row>
    <row r="17" spans="1:18" ht="15.75" customHeight="1">
      <c r="A17" s="643"/>
      <c r="B17" s="644"/>
      <c r="C17" s="203" t="s">
        <v>211</v>
      </c>
      <c r="D17" s="640" t="s">
        <v>507</v>
      </c>
      <c r="E17" s="640"/>
      <c r="F17" s="640"/>
      <c r="G17" s="200">
        <v>5</v>
      </c>
      <c r="H17" s="204">
        <v>2712.3874695745867</v>
      </c>
      <c r="I17" s="205">
        <v>542.47749391491732</v>
      </c>
      <c r="J17" s="220"/>
      <c r="K17" s="639" t="s">
        <v>427</v>
      </c>
      <c r="L17" s="640"/>
      <c r="M17" s="188"/>
      <c r="N17" s="177"/>
      <c r="O17" s="177"/>
      <c r="P17" s="383"/>
      <c r="Q17" s="383"/>
      <c r="R17" s="177"/>
    </row>
    <row r="18" spans="1:18" s="198" customFormat="1" ht="15.75" customHeight="1">
      <c r="A18" s="641" t="s">
        <v>188</v>
      </c>
      <c r="B18" s="641"/>
      <c r="C18" s="206" t="s">
        <v>47</v>
      </c>
      <c r="D18" s="641" t="s">
        <v>12</v>
      </c>
      <c r="E18" s="642"/>
      <c r="F18" s="642"/>
      <c r="G18" s="206" t="s">
        <v>46</v>
      </c>
      <c r="H18" s="206" t="s">
        <v>374</v>
      </c>
      <c r="I18" s="206" t="s">
        <v>375</v>
      </c>
      <c r="J18" s="159" t="s">
        <v>332</v>
      </c>
      <c r="K18" s="641" t="s">
        <v>50</v>
      </c>
      <c r="L18" s="642"/>
      <c r="M18" s="207"/>
      <c r="N18" s="177"/>
      <c r="O18" s="177"/>
      <c r="P18" s="383"/>
      <c r="Q18" s="383"/>
      <c r="R18" s="177"/>
    </row>
    <row r="19" spans="1:18" ht="15.75" customHeight="1">
      <c r="A19" s="643">
        <v>2</v>
      </c>
      <c r="B19" s="644" t="s">
        <v>155</v>
      </c>
      <c r="C19" s="199">
        <v>1</v>
      </c>
      <c r="D19" s="639" t="s">
        <v>346</v>
      </c>
      <c r="E19" s="640"/>
      <c r="F19" s="640"/>
      <c r="G19" s="199">
        <v>10</v>
      </c>
      <c r="H19" s="201">
        <v>3214.6266940103314</v>
      </c>
      <c r="I19" s="202">
        <v>321.46266940103317</v>
      </c>
      <c r="J19" s="220">
        <v>0.27433970422237053</v>
      </c>
      <c r="K19" s="639" t="s">
        <v>427</v>
      </c>
      <c r="L19" s="640"/>
      <c r="M19" s="188"/>
      <c r="N19" s="177"/>
      <c r="O19" s="177"/>
      <c r="P19" s="383"/>
      <c r="Q19" s="383"/>
      <c r="R19" s="177"/>
    </row>
    <row r="20" spans="1:18" ht="15.75" customHeight="1">
      <c r="A20" s="643"/>
      <c r="B20" s="644"/>
      <c r="C20" s="199">
        <v>2</v>
      </c>
      <c r="D20" s="639" t="s">
        <v>522</v>
      </c>
      <c r="E20" s="640"/>
      <c r="F20" s="640"/>
      <c r="G20" s="199">
        <v>11</v>
      </c>
      <c r="H20" s="201">
        <v>3161.9110496095886</v>
      </c>
      <c r="I20" s="202">
        <v>287.44645905541705</v>
      </c>
      <c r="J20" s="220">
        <v>0.2673451596679115</v>
      </c>
      <c r="K20" s="639" t="s">
        <v>427</v>
      </c>
      <c r="L20" s="640"/>
      <c r="M20" s="188"/>
      <c r="N20" s="177"/>
      <c r="O20" s="177"/>
      <c r="P20" s="383"/>
      <c r="Q20" s="383"/>
      <c r="R20" s="177"/>
    </row>
    <row r="21" spans="1:18" ht="15.75" customHeight="1">
      <c r="A21" s="643"/>
      <c r="B21" s="644"/>
      <c r="C21" s="199">
        <v>3</v>
      </c>
      <c r="D21" s="639" t="s">
        <v>521</v>
      </c>
      <c r="E21" s="640"/>
      <c r="F21" s="640"/>
      <c r="G21" s="199">
        <v>11</v>
      </c>
      <c r="H21" s="201">
        <v>3160.251814885316</v>
      </c>
      <c r="I21" s="202">
        <v>287.29561953502878</v>
      </c>
      <c r="J21" s="220">
        <v>0.13264954557348574</v>
      </c>
      <c r="K21" s="639" t="s">
        <v>427</v>
      </c>
      <c r="L21" s="640"/>
      <c r="M21" s="188"/>
      <c r="N21" s="177"/>
      <c r="O21" s="177"/>
      <c r="P21" s="383"/>
      <c r="Q21" s="383"/>
      <c r="R21" s="177"/>
    </row>
    <row r="22" spans="1:18" ht="15.75" customHeight="1">
      <c r="A22" s="643"/>
      <c r="B22" s="644"/>
      <c r="C22" s="199">
        <v>4</v>
      </c>
      <c r="D22" s="639"/>
      <c r="E22" s="640"/>
      <c r="F22" s="640"/>
      <c r="G22" s="199"/>
      <c r="H22" s="201"/>
      <c r="I22" s="202"/>
      <c r="J22" s="220"/>
      <c r="K22" s="639"/>
      <c r="L22" s="640"/>
      <c r="M22" s="188"/>
      <c r="N22" s="177"/>
      <c r="O22" s="177"/>
      <c r="P22" s="383"/>
      <c r="Q22" s="383"/>
      <c r="R22" s="177"/>
    </row>
    <row r="23" spans="1:18" ht="15.75" customHeight="1">
      <c r="A23" s="643"/>
      <c r="B23" s="644"/>
      <c r="C23" s="199">
        <v>5</v>
      </c>
      <c r="D23" s="639"/>
      <c r="E23" s="640"/>
      <c r="F23" s="640"/>
      <c r="G23" s="199"/>
      <c r="H23" s="201"/>
      <c r="I23" s="202"/>
      <c r="J23" s="220"/>
      <c r="K23" s="639"/>
      <c r="L23" s="640"/>
      <c r="M23" s="188"/>
      <c r="N23" s="177"/>
      <c r="O23" s="177"/>
      <c r="P23" s="383"/>
      <c r="Q23" s="383"/>
      <c r="R23" s="177"/>
    </row>
    <row r="24" spans="1:18" ht="15.75" customHeight="1">
      <c r="A24" s="643"/>
      <c r="B24" s="644"/>
      <c r="C24" s="203" t="s">
        <v>204</v>
      </c>
      <c r="D24" s="639"/>
      <c r="E24" s="640"/>
      <c r="F24" s="640"/>
      <c r="G24" s="199"/>
      <c r="H24" s="201"/>
      <c r="I24" s="202"/>
      <c r="J24" s="199"/>
      <c r="K24" s="639"/>
      <c r="L24" s="640"/>
      <c r="M24" s="188"/>
      <c r="N24" s="177"/>
      <c r="O24" s="177"/>
      <c r="P24" s="383"/>
      <c r="Q24" s="383"/>
      <c r="R24" s="177"/>
    </row>
    <row r="25" spans="1:18" ht="15.75" customHeight="1">
      <c r="A25" s="643"/>
      <c r="B25" s="644"/>
      <c r="C25" s="203" t="s">
        <v>209</v>
      </c>
      <c r="D25" s="639"/>
      <c r="E25" s="640"/>
      <c r="F25" s="640"/>
      <c r="G25" s="199"/>
      <c r="H25" s="201"/>
      <c r="I25" s="202"/>
      <c r="J25" s="199"/>
      <c r="K25" s="639"/>
      <c r="L25" s="640"/>
      <c r="M25" s="188"/>
      <c r="N25" s="177"/>
      <c r="O25" s="177"/>
      <c r="P25" s="383"/>
      <c r="Q25" s="383"/>
      <c r="R25" s="177"/>
    </row>
    <row r="26" spans="1:18" ht="15.75" customHeight="1">
      <c r="A26" s="643"/>
      <c r="B26" s="644"/>
      <c r="C26" s="203" t="s">
        <v>205</v>
      </c>
      <c r="D26" s="639"/>
      <c r="E26" s="640"/>
      <c r="F26" s="640"/>
      <c r="G26" s="199"/>
      <c r="H26" s="201"/>
      <c r="I26" s="202"/>
      <c r="J26" s="199"/>
      <c r="K26" s="639"/>
      <c r="L26" s="640"/>
      <c r="M26" s="188"/>
      <c r="N26" s="177"/>
      <c r="O26" s="177"/>
      <c r="P26" s="383"/>
      <c r="Q26" s="383"/>
      <c r="R26" s="177"/>
    </row>
    <row r="27" spans="1:18" ht="15.75" customHeight="1">
      <c r="A27" s="643"/>
      <c r="B27" s="644"/>
      <c r="C27" s="203" t="s">
        <v>210</v>
      </c>
      <c r="D27" s="639"/>
      <c r="E27" s="640"/>
      <c r="F27" s="640"/>
      <c r="G27" s="199"/>
      <c r="H27" s="201"/>
      <c r="I27" s="202"/>
      <c r="J27" s="199"/>
      <c r="K27" s="639"/>
      <c r="L27" s="640"/>
      <c r="M27" s="188"/>
      <c r="N27" s="177"/>
      <c r="O27" s="177"/>
      <c r="P27" s="383"/>
      <c r="Q27" s="383"/>
      <c r="R27" s="177"/>
    </row>
    <row r="28" spans="1:18" ht="15.75" customHeight="1">
      <c r="A28" s="643"/>
      <c r="B28" s="644"/>
      <c r="C28" s="203" t="s">
        <v>211</v>
      </c>
      <c r="D28" s="639"/>
      <c r="E28" s="640"/>
      <c r="F28" s="640"/>
      <c r="G28" s="199"/>
      <c r="H28" s="201"/>
      <c r="I28" s="202"/>
      <c r="J28" s="199"/>
      <c r="K28" s="639"/>
      <c r="L28" s="640"/>
      <c r="M28" s="188"/>
      <c r="N28" s="177"/>
      <c r="O28" s="177"/>
      <c r="P28" s="383"/>
      <c r="Q28" s="383"/>
      <c r="R28" s="177"/>
    </row>
    <row r="29" spans="1:18" ht="15.75" customHeight="1">
      <c r="A29" s="645" t="s">
        <v>766</v>
      </c>
      <c r="B29" s="645"/>
      <c r="C29" s="645"/>
      <c r="D29" s="645"/>
      <c r="E29" s="645"/>
      <c r="F29" s="645"/>
      <c r="G29" s="645"/>
      <c r="H29" s="645"/>
      <c r="I29" s="645"/>
      <c r="J29" s="645"/>
      <c r="K29" s="645"/>
      <c r="L29" s="645"/>
      <c r="M29" s="188"/>
    </row>
    <row r="30" spans="1:18" s="189" customFormat="1" ht="15.75" customHeight="1">
      <c r="A30" s="645"/>
      <c r="B30" s="645"/>
      <c r="C30" s="645"/>
      <c r="D30" s="645"/>
      <c r="E30" s="645"/>
      <c r="F30" s="645"/>
      <c r="G30" s="645"/>
      <c r="H30" s="645"/>
      <c r="I30" s="645"/>
      <c r="J30" s="645"/>
      <c r="K30" s="645"/>
      <c r="L30" s="645"/>
    </row>
    <row r="31" spans="1:18" s="177" customFormat="1" ht="15.75" customHeight="1">
      <c r="A31" s="643" t="s">
        <v>162</v>
      </c>
      <c r="B31" s="190">
        <v>1</v>
      </c>
      <c r="C31" s="190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ht="16.350000000000001" customHeight="1">
      <c r="A32" s="643"/>
      <c r="B32" s="193" t="s">
        <v>206</v>
      </c>
      <c r="C32" s="193" t="s">
        <v>155</v>
      </c>
      <c r="D32" s="194" t="s">
        <v>207</v>
      </c>
      <c r="E32" s="194" t="s">
        <v>156</v>
      </c>
      <c r="F32" s="194" t="s">
        <v>348</v>
      </c>
      <c r="G32" s="195" t="s">
        <v>136</v>
      </c>
      <c r="H32" s="196" t="s">
        <v>208</v>
      </c>
      <c r="I32" s="195" t="s">
        <v>373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77" customFormat="1" ht="15.75" customHeight="1">
      <c r="A33" s="644" t="s">
        <v>188</v>
      </c>
      <c r="B33" s="644"/>
      <c r="C33" s="159" t="s">
        <v>47</v>
      </c>
      <c r="D33" s="644" t="s">
        <v>12</v>
      </c>
      <c r="E33" s="646"/>
      <c r="F33" s="646"/>
      <c r="G33" s="159" t="s">
        <v>46</v>
      </c>
      <c r="H33" s="159" t="s">
        <v>374</v>
      </c>
      <c r="I33" s="159" t="s">
        <v>375</v>
      </c>
      <c r="J33" s="159" t="s">
        <v>332</v>
      </c>
      <c r="K33" s="644" t="s">
        <v>51</v>
      </c>
      <c r="L33" s="646"/>
      <c r="M33" s="192"/>
      <c r="N33" s="188"/>
      <c r="P33" s="383"/>
      <c r="Q33" s="383"/>
    </row>
    <row r="34" spans="1:18" ht="15.75" customHeight="1">
      <c r="A34" s="643">
        <v>1</v>
      </c>
      <c r="B34" s="644" t="s">
        <v>376</v>
      </c>
      <c r="C34" s="199">
        <v>1</v>
      </c>
      <c r="D34" s="639" t="s">
        <v>398</v>
      </c>
      <c r="E34" s="640"/>
      <c r="F34" s="640"/>
      <c r="G34" s="199">
        <v>3</v>
      </c>
      <c r="H34" s="201">
        <v>3199.2559230366583</v>
      </c>
      <c r="I34" s="202">
        <v>1066.4186410122195</v>
      </c>
      <c r="J34" s="220">
        <f>I34-I9</f>
        <v>0.9799544117113328</v>
      </c>
      <c r="K34" s="639" t="s">
        <v>427</v>
      </c>
      <c r="L34" s="640"/>
      <c r="N34" s="177"/>
      <c r="O34" s="177"/>
      <c r="P34" s="383"/>
      <c r="Q34" s="383"/>
      <c r="R34" s="177"/>
    </row>
    <row r="35" spans="1:18" ht="15.75" customHeight="1">
      <c r="A35" s="643"/>
      <c r="B35" s="644"/>
      <c r="C35" s="199">
        <v>2</v>
      </c>
      <c r="D35" s="639" t="s">
        <v>388</v>
      </c>
      <c r="E35" s="640"/>
      <c r="F35" s="640"/>
      <c r="G35" s="199">
        <v>3</v>
      </c>
      <c r="H35" s="201">
        <v>3197.0382864459998</v>
      </c>
      <c r="I35" s="202">
        <v>1065.6794288153333</v>
      </c>
      <c r="J35" s="220">
        <f>I35-I10</f>
        <v>0.89142857142815046</v>
      </c>
      <c r="K35" s="639" t="s">
        <v>427</v>
      </c>
      <c r="L35" s="640"/>
      <c r="N35" s="177"/>
      <c r="O35" s="177"/>
      <c r="P35" s="383"/>
      <c r="Q35" s="383"/>
      <c r="R35" s="177"/>
    </row>
    <row r="36" spans="1:18" ht="15.75" customHeight="1">
      <c r="A36" s="643"/>
      <c r="B36" s="644"/>
      <c r="C36" s="199">
        <v>3</v>
      </c>
      <c r="D36" s="639" t="s">
        <v>595</v>
      </c>
      <c r="E36" s="640"/>
      <c r="F36" s="640"/>
      <c r="G36" s="199">
        <v>3</v>
      </c>
      <c r="H36" s="201">
        <v>3194.4208393122426</v>
      </c>
      <c r="I36" s="202">
        <v>1064.8069464374144</v>
      </c>
      <c r="J36" s="220"/>
      <c r="K36" s="639" t="s">
        <v>427</v>
      </c>
      <c r="L36" s="640"/>
      <c r="N36" s="177"/>
      <c r="O36" s="177"/>
      <c r="P36" s="383"/>
      <c r="Q36" s="383"/>
      <c r="R36" s="177"/>
    </row>
    <row r="37" spans="1:18" ht="15.75" customHeight="1">
      <c r="A37" s="643"/>
      <c r="B37" s="644"/>
      <c r="C37" s="199">
        <v>4</v>
      </c>
      <c r="D37" s="639" t="s">
        <v>395</v>
      </c>
      <c r="E37" s="640"/>
      <c r="F37" s="640"/>
      <c r="G37" s="199">
        <v>3</v>
      </c>
      <c r="H37" s="201">
        <v>3191.6406558131393</v>
      </c>
      <c r="I37" s="202">
        <v>1063.8802186043797</v>
      </c>
      <c r="J37" s="220">
        <f>I37-I11</f>
        <v>0.17142857142857792</v>
      </c>
      <c r="K37" s="639" t="s">
        <v>427</v>
      </c>
      <c r="L37" s="640"/>
      <c r="N37" s="177"/>
      <c r="O37" s="177"/>
      <c r="P37" s="383"/>
      <c r="Q37" s="383"/>
      <c r="R37" s="177"/>
    </row>
    <row r="38" spans="1:18" ht="15.75" customHeight="1">
      <c r="A38" s="643"/>
      <c r="B38" s="644"/>
      <c r="C38" s="199">
        <v>5</v>
      </c>
      <c r="D38" s="639" t="s">
        <v>538</v>
      </c>
      <c r="E38" s="640"/>
      <c r="F38" s="640"/>
      <c r="G38" s="199">
        <v>3</v>
      </c>
      <c r="H38" s="201">
        <v>3190.4589073130455</v>
      </c>
      <c r="I38" s="202">
        <v>1063.4863024376821</v>
      </c>
      <c r="J38" s="220">
        <f>I38-I12</f>
        <v>0.26653169475071081</v>
      </c>
      <c r="K38" s="639" t="s">
        <v>427</v>
      </c>
      <c r="L38" s="640"/>
      <c r="O38" s="177"/>
      <c r="P38" s="383"/>
      <c r="Q38" s="383"/>
      <c r="R38" s="177"/>
    </row>
    <row r="39" spans="1:18" ht="15.75" customHeight="1">
      <c r="A39" s="643"/>
      <c r="B39" s="644"/>
      <c r="C39" s="203" t="s">
        <v>204</v>
      </c>
      <c r="D39" s="640" t="s">
        <v>484</v>
      </c>
      <c r="E39" s="640"/>
      <c r="F39" s="640"/>
      <c r="G39" s="200">
        <v>13</v>
      </c>
      <c r="H39" s="204">
        <v>3260.8923398549782</v>
      </c>
      <c r="I39" s="205">
        <v>250.83787229653686</v>
      </c>
      <c r="J39" s="220">
        <f>I39-I13</f>
        <v>9.890109890130816E-2</v>
      </c>
      <c r="K39" s="639" t="s">
        <v>427</v>
      </c>
      <c r="L39" s="640"/>
      <c r="N39" s="177"/>
      <c r="O39" s="177"/>
      <c r="P39" s="383"/>
      <c r="Q39" s="383"/>
      <c r="R39" s="177"/>
    </row>
    <row r="40" spans="1:18" ht="15.75" customHeight="1">
      <c r="A40" s="643"/>
      <c r="B40" s="644"/>
      <c r="C40" s="203" t="s">
        <v>209</v>
      </c>
      <c r="D40" s="640" t="s">
        <v>439</v>
      </c>
      <c r="E40" s="640"/>
      <c r="F40" s="640"/>
      <c r="G40" s="200">
        <v>12</v>
      </c>
      <c r="H40" s="204">
        <v>3118.8366160509859</v>
      </c>
      <c r="I40" s="205">
        <v>259.90305133758216</v>
      </c>
      <c r="J40" s="220">
        <f>I40-I14</f>
        <v>0.18367551060254073</v>
      </c>
      <c r="K40" s="639" t="s">
        <v>427</v>
      </c>
      <c r="L40" s="640"/>
      <c r="N40" s="177"/>
      <c r="O40" s="177"/>
      <c r="P40" s="383"/>
      <c r="Q40" s="383"/>
      <c r="R40" s="177"/>
    </row>
    <row r="41" spans="1:18" ht="15.75" customHeight="1">
      <c r="A41" s="643"/>
      <c r="B41" s="644"/>
      <c r="C41" s="203" t="s">
        <v>205</v>
      </c>
      <c r="D41" s="640" t="s">
        <v>436</v>
      </c>
      <c r="E41" s="640"/>
      <c r="F41" s="640"/>
      <c r="G41" s="200">
        <v>12</v>
      </c>
      <c r="H41" s="204">
        <v>3120.7426992668366</v>
      </c>
      <c r="I41" s="205">
        <v>260.06189160556971</v>
      </c>
      <c r="J41" s="220">
        <f>I41-I15</f>
        <v>0.27374742066064073</v>
      </c>
      <c r="K41" s="639" t="s">
        <v>427</v>
      </c>
      <c r="L41" s="640"/>
      <c r="N41" s="177"/>
      <c r="O41" s="177"/>
      <c r="P41" s="383"/>
      <c r="Q41" s="383"/>
      <c r="R41" s="177"/>
    </row>
    <row r="42" spans="1:18" ht="15.75" customHeight="1">
      <c r="A42" s="643"/>
      <c r="B42" s="644"/>
      <c r="C42" s="203" t="s">
        <v>210</v>
      </c>
      <c r="D42" s="640" t="s">
        <v>507</v>
      </c>
      <c r="E42" s="640"/>
      <c r="F42" s="640"/>
      <c r="G42" s="200">
        <v>5</v>
      </c>
      <c r="H42" s="204">
        <v>2714.706179480509</v>
      </c>
      <c r="I42" s="205">
        <v>542.94123589610194</v>
      </c>
      <c r="J42" s="220">
        <f>I42-I17</f>
        <v>0.46374198118462573</v>
      </c>
      <c r="K42" s="639" t="s">
        <v>427</v>
      </c>
      <c r="L42" s="640"/>
      <c r="M42" s="188"/>
      <c r="N42" s="177"/>
      <c r="O42" s="177"/>
      <c r="P42" s="383"/>
      <c r="Q42" s="383"/>
      <c r="R42" s="177"/>
    </row>
    <row r="43" spans="1:18" ht="15.75" customHeight="1">
      <c r="A43" s="643"/>
      <c r="B43" s="644"/>
      <c r="C43" s="203" t="s">
        <v>211</v>
      </c>
      <c r="D43" s="640" t="s">
        <v>691</v>
      </c>
      <c r="E43" s="640"/>
      <c r="F43" s="640"/>
      <c r="G43" s="200">
        <v>6</v>
      </c>
      <c r="H43" s="204">
        <v>3259.7911206895401</v>
      </c>
      <c r="I43" s="205">
        <v>543.29852011492335</v>
      </c>
      <c r="J43" s="220">
        <f>I43-I16</f>
        <v>12.831646058587694</v>
      </c>
      <c r="K43" s="639" t="s">
        <v>765</v>
      </c>
      <c r="L43" s="640"/>
      <c r="M43" s="188"/>
      <c r="N43" s="177"/>
      <c r="O43" s="177"/>
      <c r="P43" s="383"/>
      <c r="Q43" s="383"/>
      <c r="R43" s="177"/>
    </row>
    <row r="44" spans="1:18" s="198" customFormat="1" ht="15.75" customHeight="1">
      <c r="A44" s="641" t="s">
        <v>188</v>
      </c>
      <c r="B44" s="641"/>
      <c r="C44" s="206" t="s">
        <v>47</v>
      </c>
      <c r="D44" s="641" t="s">
        <v>12</v>
      </c>
      <c r="E44" s="642"/>
      <c r="F44" s="642"/>
      <c r="G44" s="206" t="s">
        <v>46</v>
      </c>
      <c r="H44" s="206" t="s">
        <v>374</v>
      </c>
      <c r="I44" s="206" t="s">
        <v>375</v>
      </c>
      <c r="J44" s="159" t="s">
        <v>332</v>
      </c>
      <c r="K44" s="641" t="s">
        <v>50</v>
      </c>
      <c r="L44" s="642"/>
      <c r="M44" s="207"/>
      <c r="N44" s="177"/>
      <c r="O44" s="177"/>
      <c r="P44" s="383"/>
      <c r="Q44" s="383"/>
      <c r="R44" s="177"/>
    </row>
    <row r="45" spans="1:18" ht="15.75" customHeight="1">
      <c r="A45" s="643">
        <v>2</v>
      </c>
      <c r="B45" s="644" t="s">
        <v>155</v>
      </c>
      <c r="C45" s="199">
        <v>1</v>
      </c>
      <c r="D45" s="639" t="s">
        <v>346</v>
      </c>
      <c r="E45" s="640"/>
      <c r="F45" s="640"/>
      <c r="G45" s="199">
        <v>10</v>
      </c>
      <c r="H45" s="201">
        <v>3216.015265438903</v>
      </c>
      <c r="I45" s="202">
        <v>321.60152654389032</v>
      </c>
      <c r="J45" s="220">
        <f>I45-I19</f>
        <v>0.13885714285714812</v>
      </c>
      <c r="K45" s="639" t="s">
        <v>427</v>
      </c>
      <c r="L45" s="640"/>
      <c r="M45" s="188"/>
      <c r="N45" s="177"/>
      <c r="O45" s="177"/>
      <c r="P45" s="383"/>
      <c r="Q45" s="383"/>
      <c r="R45" s="177"/>
    </row>
    <row r="46" spans="1:18" ht="15.75" customHeight="1">
      <c r="A46" s="643"/>
      <c r="B46" s="644"/>
      <c r="C46" s="199">
        <v>2</v>
      </c>
      <c r="D46" s="639" t="s">
        <v>522</v>
      </c>
      <c r="E46" s="640"/>
      <c r="F46" s="640"/>
      <c r="G46" s="199">
        <v>11</v>
      </c>
      <c r="H46" s="201">
        <v>3164.7647270531038</v>
      </c>
      <c r="I46" s="202">
        <v>287.7058842775549</v>
      </c>
      <c r="J46" s="220">
        <f>I46-I20</f>
        <v>0.25942522213784969</v>
      </c>
      <c r="K46" s="639" t="s">
        <v>427</v>
      </c>
      <c r="L46" s="640"/>
      <c r="M46" s="188"/>
      <c r="N46" s="177"/>
      <c r="O46" s="177"/>
      <c r="P46" s="383"/>
      <c r="Q46" s="383"/>
      <c r="R46" s="177"/>
    </row>
    <row r="47" spans="1:18" ht="15.75" customHeight="1">
      <c r="A47" s="643"/>
      <c r="B47" s="644"/>
      <c r="C47" s="199">
        <v>3</v>
      </c>
      <c r="D47" s="639" t="s">
        <v>521</v>
      </c>
      <c r="E47" s="640"/>
      <c r="F47" s="640"/>
      <c r="G47" s="199">
        <v>11</v>
      </c>
      <c r="H47" s="201">
        <v>3163.7063411407507</v>
      </c>
      <c r="I47" s="202">
        <v>287.60966737643196</v>
      </c>
      <c r="J47" s="220">
        <f>I47-I21</f>
        <v>0.31404784140318043</v>
      </c>
      <c r="K47" s="639" t="s">
        <v>427</v>
      </c>
      <c r="L47" s="640"/>
      <c r="M47" s="188"/>
      <c r="N47" s="177"/>
      <c r="O47" s="177"/>
      <c r="P47" s="383"/>
      <c r="Q47" s="383"/>
      <c r="R47" s="177"/>
    </row>
    <row r="48" spans="1:18" ht="15.75" customHeight="1">
      <c r="A48" s="643"/>
      <c r="B48" s="644"/>
      <c r="C48" s="199">
        <v>4</v>
      </c>
      <c r="D48" s="639"/>
      <c r="E48" s="640"/>
      <c r="F48" s="640"/>
      <c r="G48" s="199"/>
      <c r="H48" s="201"/>
      <c r="I48" s="202"/>
      <c r="J48" s="220"/>
      <c r="K48" s="639"/>
      <c r="L48" s="640"/>
      <c r="M48" s="188"/>
      <c r="N48" s="177"/>
      <c r="O48" s="177"/>
      <c r="P48" s="383"/>
      <c r="Q48" s="383"/>
      <c r="R48" s="177"/>
    </row>
    <row r="49" spans="1:18" ht="15.75" customHeight="1">
      <c r="A49" s="643"/>
      <c r="B49" s="644"/>
      <c r="C49" s="199">
        <v>5</v>
      </c>
      <c r="D49" s="639"/>
      <c r="E49" s="640"/>
      <c r="F49" s="640"/>
      <c r="G49" s="199"/>
      <c r="H49" s="201"/>
      <c r="I49" s="202"/>
      <c r="J49" s="220"/>
      <c r="K49" s="639"/>
      <c r="L49" s="640"/>
      <c r="M49" s="188"/>
      <c r="N49" s="177"/>
      <c r="O49" s="177"/>
      <c r="P49" s="383"/>
      <c r="Q49" s="383"/>
      <c r="R49" s="177"/>
    </row>
    <row r="50" spans="1:18" ht="15.75" customHeight="1">
      <c r="A50" s="643"/>
      <c r="B50" s="644"/>
      <c r="C50" s="203" t="s">
        <v>204</v>
      </c>
      <c r="D50" s="639"/>
      <c r="E50" s="640"/>
      <c r="F50" s="640"/>
      <c r="G50" s="199"/>
      <c r="H50" s="201"/>
      <c r="I50" s="202"/>
      <c r="J50" s="199"/>
      <c r="K50" s="639"/>
      <c r="L50" s="640"/>
      <c r="M50" s="188"/>
      <c r="N50" s="177"/>
      <c r="O50" s="177"/>
      <c r="P50" s="383"/>
      <c r="Q50" s="383"/>
      <c r="R50" s="177"/>
    </row>
    <row r="51" spans="1:18" ht="15.75" customHeight="1">
      <c r="A51" s="643"/>
      <c r="B51" s="644"/>
      <c r="C51" s="203" t="s">
        <v>209</v>
      </c>
      <c r="D51" s="639"/>
      <c r="E51" s="640"/>
      <c r="F51" s="640"/>
      <c r="G51" s="199"/>
      <c r="H51" s="201"/>
      <c r="I51" s="202"/>
      <c r="J51" s="199"/>
      <c r="K51" s="639"/>
      <c r="L51" s="640"/>
      <c r="M51" s="188"/>
      <c r="N51" s="177"/>
      <c r="O51" s="177"/>
      <c r="P51" s="383"/>
      <c r="Q51" s="383"/>
      <c r="R51" s="177"/>
    </row>
    <row r="52" spans="1:18" ht="15.75" customHeight="1">
      <c r="A52" s="643"/>
      <c r="B52" s="644"/>
      <c r="C52" s="203" t="s">
        <v>205</v>
      </c>
      <c r="D52" s="639"/>
      <c r="E52" s="640"/>
      <c r="F52" s="640"/>
      <c r="G52" s="199"/>
      <c r="H52" s="201"/>
      <c r="I52" s="202"/>
      <c r="J52" s="199"/>
      <c r="K52" s="639"/>
      <c r="L52" s="640"/>
      <c r="M52" s="188"/>
      <c r="N52" s="177"/>
      <c r="O52" s="177"/>
      <c r="P52" s="383"/>
      <c r="Q52" s="383"/>
      <c r="R52" s="177"/>
    </row>
    <row r="53" spans="1:18" ht="15.75" customHeight="1">
      <c r="A53" s="643"/>
      <c r="B53" s="644"/>
      <c r="C53" s="203" t="s">
        <v>210</v>
      </c>
      <c r="D53" s="639"/>
      <c r="E53" s="640"/>
      <c r="F53" s="640"/>
      <c r="G53" s="199"/>
      <c r="H53" s="201"/>
      <c r="I53" s="202"/>
      <c r="J53" s="199"/>
      <c r="K53" s="639"/>
      <c r="L53" s="640"/>
      <c r="M53" s="188"/>
      <c r="N53" s="177"/>
      <c r="O53" s="177"/>
      <c r="P53" s="383"/>
      <c r="Q53" s="383"/>
      <c r="R53" s="177"/>
    </row>
    <row r="54" spans="1:18" ht="15.75" customHeight="1">
      <c r="A54" s="643"/>
      <c r="B54" s="644"/>
      <c r="C54" s="203" t="s">
        <v>211</v>
      </c>
      <c r="D54" s="639"/>
      <c r="E54" s="640"/>
      <c r="F54" s="640"/>
      <c r="G54" s="199"/>
      <c r="H54" s="201"/>
      <c r="I54" s="202"/>
      <c r="J54" s="199"/>
      <c r="K54" s="639"/>
      <c r="L54" s="640"/>
      <c r="M54" s="188"/>
      <c r="N54" s="177"/>
      <c r="O54" s="177"/>
      <c r="P54" s="383"/>
      <c r="Q54" s="383"/>
      <c r="R54" s="177"/>
    </row>
    <row r="55" spans="1:18" ht="15.75" customHeight="1">
      <c r="A55" s="645" t="s">
        <v>771</v>
      </c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188"/>
    </row>
    <row r="56" spans="1:18" s="189" customFormat="1" ht="15.75" customHeight="1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</row>
    <row r="57" spans="1:18" s="177" customFormat="1" ht="15.75" customHeight="1">
      <c r="A57" s="643" t="s">
        <v>162</v>
      </c>
      <c r="B57" s="190">
        <v>1</v>
      </c>
      <c r="C57" s="190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ht="16.350000000000001" customHeight="1">
      <c r="A58" s="643"/>
      <c r="B58" s="193" t="s">
        <v>206</v>
      </c>
      <c r="C58" s="193" t="s">
        <v>155</v>
      </c>
      <c r="D58" s="194" t="s">
        <v>207</v>
      </c>
      <c r="E58" s="194" t="s">
        <v>156</v>
      </c>
      <c r="F58" s="194" t="s">
        <v>348</v>
      </c>
      <c r="G58" s="195" t="s">
        <v>136</v>
      </c>
      <c r="H58" s="196" t="s">
        <v>208</v>
      </c>
      <c r="I58" s="195" t="s">
        <v>373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77" customFormat="1" ht="15.75" customHeight="1">
      <c r="A59" s="644" t="s">
        <v>188</v>
      </c>
      <c r="B59" s="644"/>
      <c r="C59" s="159" t="s">
        <v>47</v>
      </c>
      <c r="D59" s="644" t="s">
        <v>12</v>
      </c>
      <c r="E59" s="646"/>
      <c r="F59" s="646"/>
      <c r="G59" s="159" t="s">
        <v>46</v>
      </c>
      <c r="H59" s="159" t="s">
        <v>374</v>
      </c>
      <c r="I59" s="159" t="s">
        <v>375</v>
      </c>
      <c r="J59" s="159" t="s">
        <v>332</v>
      </c>
      <c r="K59" s="644" t="s">
        <v>51</v>
      </c>
      <c r="L59" s="646"/>
      <c r="M59" s="192"/>
      <c r="N59" s="188"/>
      <c r="P59" s="383"/>
      <c r="Q59" s="383"/>
    </row>
    <row r="60" spans="1:18" ht="15.75" customHeight="1">
      <c r="A60" s="643">
        <v>1</v>
      </c>
      <c r="B60" s="644" t="s">
        <v>376</v>
      </c>
      <c r="C60" s="199">
        <v>1</v>
      </c>
      <c r="D60" s="639" t="s">
        <v>388</v>
      </c>
      <c r="E60" s="640"/>
      <c r="F60" s="640"/>
      <c r="G60" s="199">
        <v>3</v>
      </c>
      <c r="H60" s="201">
        <v>3199.3525721602841</v>
      </c>
      <c r="I60" s="202">
        <v>1066.4508573867613</v>
      </c>
      <c r="J60" s="220">
        <f>I60-I35</f>
        <v>0.77142857142803223</v>
      </c>
      <c r="K60" s="639"/>
      <c r="L60" s="640"/>
      <c r="N60" s="177"/>
      <c r="O60" s="177"/>
      <c r="P60" s="383"/>
      <c r="Q60" s="383"/>
      <c r="R60" s="177"/>
    </row>
    <row r="61" spans="1:18" ht="15.75" customHeight="1">
      <c r="A61" s="643"/>
      <c r="B61" s="644"/>
      <c r="C61" s="199">
        <v>2</v>
      </c>
      <c r="D61" s="639" t="s">
        <v>398</v>
      </c>
      <c r="E61" s="640"/>
      <c r="F61" s="640"/>
      <c r="G61" s="199">
        <v>3</v>
      </c>
      <c r="H61" s="201">
        <v>3198.364912621214</v>
      </c>
      <c r="I61" s="202">
        <v>1066.1216375404047</v>
      </c>
      <c r="J61" s="220">
        <f>I61-I34</f>
        <v>-0.29700347181483266</v>
      </c>
      <c r="K61" s="639"/>
      <c r="L61" s="640"/>
      <c r="N61" s="177"/>
      <c r="O61" s="177"/>
      <c r="P61" s="383"/>
      <c r="Q61" s="383"/>
      <c r="R61" s="177"/>
    </row>
    <row r="62" spans="1:18" ht="15.75" customHeight="1">
      <c r="A62" s="643"/>
      <c r="B62" s="644"/>
      <c r="C62" s="199">
        <v>3</v>
      </c>
      <c r="D62" s="639" t="s">
        <v>538</v>
      </c>
      <c r="E62" s="640"/>
      <c r="F62" s="640"/>
      <c r="G62" s="199">
        <v>3</v>
      </c>
      <c r="H62" s="201">
        <v>3192.2074787416168</v>
      </c>
      <c r="I62" s="202">
        <v>1064.069159580539</v>
      </c>
      <c r="J62" s="220">
        <f>I62-I38</f>
        <v>0.58285714285693757</v>
      </c>
      <c r="K62" s="639"/>
      <c r="L62" s="640"/>
      <c r="N62" s="177"/>
      <c r="O62" s="177"/>
      <c r="P62" s="383"/>
      <c r="Q62" s="383"/>
      <c r="R62" s="177"/>
    </row>
    <row r="63" spans="1:18" ht="15.75" customHeight="1">
      <c r="A63" s="643"/>
      <c r="B63" s="644"/>
      <c r="C63" s="199">
        <v>4</v>
      </c>
      <c r="D63" s="639" t="s">
        <v>595</v>
      </c>
      <c r="E63" s="640"/>
      <c r="F63" s="640"/>
      <c r="G63" s="199">
        <v>3</v>
      </c>
      <c r="H63" s="201">
        <v>3190.3579821693834</v>
      </c>
      <c r="I63" s="202">
        <v>1063.452660723128</v>
      </c>
      <c r="J63" s="220">
        <f>I63-I36</f>
        <v>-1.354285714286334</v>
      </c>
      <c r="K63" s="639"/>
      <c r="L63" s="640"/>
      <c r="N63" s="177"/>
      <c r="O63" s="177"/>
      <c r="P63" s="383"/>
      <c r="Q63" s="383"/>
      <c r="R63" s="177"/>
    </row>
    <row r="64" spans="1:18" ht="15.75" customHeight="1">
      <c r="A64" s="643"/>
      <c r="B64" s="644"/>
      <c r="C64" s="199">
        <v>5</v>
      </c>
      <c r="D64" s="639" t="s">
        <v>395</v>
      </c>
      <c r="E64" s="640"/>
      <c r="F64" s="640"/>
      <c r="G64" s="199">
        <v>3</v>
      </c>
      <c r="H64" s="201">
        <v>3190.3549415274256</v>
      </c>
      <c r="I64" s="202">
        <v>1063.4516471758086</v>
      </c>
      <c r="J64" s="220">
        <f>I64-I37</f>
        <v>-0.42857142857110375</v>
      </c>
      <c r="K64" s="639"/>
      <c r="L64" s="640"/>
      <c r="O64" s="177"/>
      <c r="P64" s="383"/>
      <c r="Q64" s="383"/>
      <c r="R64" s="177"/>
    </row>
    <row r="65" spans="1:18" ht="15.75" customHeight="1">
      <c r="A65" s="643"/>
      <c r="B65" s="644"/>
      <c r="C65" s="203" t="s">
        <v>204</v>
      </c>
      <c r="D65" s="640" t="s">
        <v>484</v>
      </c>
      <c r="E65" s="640"/>
      <c r="F65" s="640"/>
      <c r="G65" s="200">
        <v>13</v>
      </c>
      <c r="H65" s="204">
        <v>3261.7666255692675</v>
      </c>
      <c r="I65" s="205">
        <v>250.90512504378981</v>
      </c>
      <c r="J65" s="220">
        <f>I65-I39</f>
        <v>6.725274725295094E-2</v>
      </c>
      <c r="K65" s="639"/>
      <c r="L65" s="640"/>
      <c r="N65" s="177"/>
      <c r="O65" s="177"/>
      <c r="P65" s="383"/>
      <c r="Q65" s="383"/>
      <c r="R65" s="177"/>
    </row>
    <row r="66" spans="1:18" ht="15.75" customHeight="1">
      <c r="A66" s="643"/>
      <c r="B66" s="644"/>
      <c r="C66" s="203" t="s">
        <v>209</v>
      </c>
      <c r="D66" s="640" t="s">
        <v>436</v>
      </c>
      <c r="E66" s="640"/>
      <c r="F66" s="640"/>
      <c r="G66" s="200">
        <v>12</v>
      </c>
      <c r="H66" s="204">
        <v>3119.1011204348092</v>
      </c>
      <c r="I66" s="205">
        <v>259.92509336956743</v>
      </c>
      <c r="J66" s="220">
        <f>I66-I41</f>
        <v>-0.13679823600227792</v>
      </c>
      <c r="K66" s="639"/>
      <c r="L66" s="640"/>
      <c r="N66" s="177"/>
      <c r="O66" s="177"/>
      <c r="P66" s="383"/>
      <c r="Q66" s="383"/>
      <c r="R66" s="177"/>
    </row>
    <row r="67" spans="1:18" ht="15.75" customHeight="1">
      <c r="A67" s="643"/>
      <c r="B67" s="644"/>
      <c r="C67" s="203" t="s">
        <v>205</v>
      </c>
      <c r="D67" s="640" t="s">
        <v>439</v>
      </c>
      <c r="E67" s="640"/>
      <c r="F67" s="640"/>
      <c r="G67" s="200">
        <v>12</v>
      </c>
      <c r="H67" s="204">
        <v>3120.7952783942224</v>
      </c>
      <c r="I67" s="205">
        <v>260.06627319951849</v>
      </c>
      <c r="J67" s="220">
        <f>I67-I40</f>
        <v>0.1632218619363357</v>
      </c>
      <c r="K67" s="639"/>
      <c r="L67" s="640"/>
      <c r="N67" s="177"/>
      <c r="O67" s="177"/>
      <c r="P67" s="383"/>
      <c r="Q67" s="383"/>
      <c r="R67" s="177"/>
    </row>
    <row r="68" spans="1:18" ht="15.75" customHeight="1">
      <c r="A68" s="643"/>
      <c r="B68" s="644"/>
      <c r="C68" s="203" t="s">
        <v>210</v>
      </c>
      <c r="D68" s="640" t="s">
        <v>507</v>
      </c>
      <c r="E68" s="640"/>
      <c r="F68" s="640"/>
      <c r="G68" s="200">
        <v>5</v>
      </c>
      <c r="H68" s="204">
        <v>2721.0005940949095</v>
      </c>
      <c r="I68" s="205">
        <v>544.20011881898188</v>
      </c>
      <c r="J68" s="220">
        <f>I68-I42</f>
        <v>1.2588829228799341</v>
      </c>
      <c r="K68" s="639"/>
      <c r="L68" s="640"/>
      <c r="M68" s="188"/>
      <c r="N68" s="177"/>
      <c r="O68" s="177"/>
      <c r="P68" s="383"/>
      <c r="Q68" s="383"/>
      <c r="R68" s="177"/>
    </row>
    <row r="69" spans="1:18" ht="15.75" customHeight="1">
      <c r="A69" s="643"/>
      <c r="B69" s="644"/>
      <c r="C69" s="203" t="s">
        <v>211</v>
      </c>
      <c r="D69" s="640" t="s">
        <v>229</v>
      </c>
      <c r="E69" s="640"/>
      <c r="F69" s="640"/>
      <c r="G69" s="200">
        <v>5</v>
      </c>
      <c r="H69" s="204">
        <v>2986.5000000000005</v>
      </c>
      <c r="I69" s="205">
        <v>597.30000000000007</v>
      </c>
      <c r="J69" s="220"/>
      <c r="K69" s="639"/>
      <c r="L69" s="640"/>
      <c r="M69" s="188"/>
      <c r="N69" s="177"/>
      <c r="O69" s="177"/>
      <c r="P69" s="383"/>
      <c r="Q69" s="383"/>
      <c r="R69" s="177"/>
    </row>
    <row r="70" spans="1:18" s="198" customFormat="1" ht="15.75" customHeight="1">
      <c r="A70" s="641" t="s">
        <v>188</v>
      </c>
      <c r="B70" s="641"/>
      <c r="C70" s="206" t="s">
        <v>47</v>
      </c>
      <c r="D70" s="641" t="s">
        <v>12</v>
      </c>
      <c r="E70" s="642"/>
      <c r="F70" s="642"/>
      <c r="G70" s="206" t="s">
        <v>46</v>
      </c>
      <c r="H70" s="206" t="s">
        <v>374</v>
      </c>
      <c r="I70" s="206" t="s">
        <v>375</v>
      </c>
      <c r="J70" s="159" t="s">
        <v>332</v>
      </c>
      <c r="K70" s="641" t="s">
        <v>50</v>
      </c>
      <c r="L70" s="642"/>
      <c r="M70" s="207"/>
      <c r="N70" s="177"/>
      <c r="O70" s="177"/>
      <c r="P70" s="383"/>
      <c r="Q70" s="383"/>
      <c r="R70" s="177"/>
    </row>
    <row r="71" spans="1:18" ht="15.75" customHeight="1">
      <c r="A71" s="643">
        <v>2</v>
      </c>
      <c r="B71" s="644" t="s">
        <v>155</v>
      </c>
      <c r="C71" s="199">
        <v>1</v>
      </c>
      <c r="D71" s="639" t="s">
        <v>346</v>
      </c>
      <c r="E71" s="640"/>
      <c r="F71" s="640"/>
      <c r="G71" s="199">
        <v>10</v>
      </c>
      <c r="H71" s="201">
        <v>3216.8381225817602</v>
      </c>
      <c r="I71" s="202">
        <v>321.68381225817592</v>
      </c>
      <c r="J71" s="220">
        <f>I71-I45</f>
        <v>8.2285714285603717E-2</v>
      </c>
      <c r="K71" s="639"/>
      <c r="L71" s="640"/>
      <c r="M71" s="188"/>
      <c r="N71" s="177"/>
      <c r="O71" s="177"/>
      <c r="P71" s="383"/>
      <c r="Q71" s="383"/>
      <c r="R71" s="177"/>
    </row>
    <row r="72" spans="1:18" ht="15.75" customHeight="1">
      <c r="A72" s="643"/>
      <c r="B72" s="644"/>
      <c r="C72" s="199">
        <v>2</v>
      </c>
      <c r="D72" s="639" t="s">
        <v>522</v>
      </c>
      <c r="E72" s="640"/>
      <c r="F72" s="640"/>
      <c r="G72" s="199">
        <v>11</v>
      </c>
      <c r="H72" s="201">
        <v>3162.4819884163567</v>
      </c>
      <c r="I72" s="202">
        <v>287.49836258330521</v>
      </c>
      <c r="J72" s="220">
        <f>I72-I46</f>
        <v>-0.20752169424969225</v>
      </c>
      <c r="K72" s="639"/>
      <c r="L72" s="640"/>
      <c r="M72" s="188"/>
      <c r="N72" s="177"/>
      <c r="O72" s="177"/>
      <c r="P72" s="383"/>
      <c r="Q72" s="383"/>
      <c r="R72" s="177"/>
    </row>
    <row r="73" spans="1:18" ht="15.75" customHeight="1">
      <c r="A73" s="643"/>
      <c r="B73" s="644"/>
      <c r="C73" s="199">
        <v>3</v>
      </c>
      <c r="D73" s="639" t="s">
        <v>521</v>
      </c>
      <c r="E73" s="640"/>
      <c r="F73" s="640"/>
      <c r="G73" s="199">
        <v>11</v>
      </c>
      <c r="H73" s="201">
        <v>3162.4030191664701</v>
      </c>
      <c r="I73" s="202">
        <v>287.49118356058818</v>
      </c>
      <c r="J73" s="220">
        <f>I73-I47</f>
        <v>-0.11848381584377421</v>
      </c>
      <c r="K73" s="639"/>
      <c r="L73" s="640"/>
      <c r="M73" s="188"/>
      <c r="N73" s="177"/>
      <c r="O73" s="177"/>
      <c r="P73" s="383"/>
      <c r="Q73" s="383"/>
      <c r="R73" s="177"/>
    </row>
    <row r="74" spans="1:18" ht="15.75" customHeight="1">
      <c r="A74" s="643"/>
      <c r="B74" s="644"/>
      <c r="C74" s="199">
        <v>4</v>
      </c>
      <c r="D74" s="639"/>
      <c r="E74" s="640"/>
      <c r="F74" s="640"/>
      <c r="G74" s="199"/>
      <c r="H74" s="201"/>
      <c r="I74" s="202"/>
      <c r="J74" s="220"/>
      <c r="K74" s="639"/>
      <c r="L74" s="640"/>
      <c r="M74" s="188"/>
      <c r="N74" s="177"/>
      <c r="O74" s="177"/>
      <c r="P74" s="383"/>
      <c r="Q74" s="383"/>
      <c r="R74" s="177"/>
    </row>
    <row r="75" spans="1:18" ht="15.75" customHeight="1">
      <c r="A75" s="643"/>
      <c r="B75" s="644"/>
      <c r="C75" s="199">
        <v>5</v>
      </c>
      <c r="D75" s="639"/>
      <c r="E75" s="640"/>
      <c r="F75" s="640"/>
      <c r="G75" s="199"/>
      <c r="H75" s="201"/>
      <c r="I75" s="202"/>
      <c r="J75" s="220"/>
      <c r="K75" s="639"/>
      <c r="L75" s="640"/>
      <c r="M75" s="188"/>
      <c r="N75" s="177"/>
      <c r="O75" s="177"/>
      <c r="P75" s="383"/>
      <c r="Q75" s="383"/>
      <c r="R75" s="177"/>
    </row>
    <row r="76" spans="1:18" ht="15.75" customHeight="1">
      <c r="A76" s="643"/>
      <c r="B76" s="644"/>
      <c r="C76" s="203" t="s">
        <v>204</v>
      </c>
      <c r="D76" s="639"/>
      <c r="E76" s="640"/>
      <c r="F76" s="640"/>
      <c r="G76" s="199"/>
      <c r="H76" s="201"/>
      <c r="I76" s="202"/>
      <c r="J76" s="199"/>
      <c r="K76" s="639"/>
      <c r="L76" s="640"/>
      <c r="M76" s="188"/>
      <c r="N76" s="177"/>
      <c r="O76" s="177"/>
      <c r="P76" s="383"/>
      <c r="Q76" s="383"/>
      <c r="R76" s="177"/>
    </row>
    <row r="77" spans="1:18" ht="15.75" customHeight="1">
      <c r="A77" s="643"/>
      <c r="B77" s="644"/>
      <c r="C77" s="203" t="s">
        <v>209</v>
      </c>
      <c r="D77" s="639"/>
      <c r="E77" s="640"/>
      <c r="F77" s="640"/>
      <c r="G77" s="199"/>
      <c r="H77" s="201"/>
      <c r="I77" s="202"/>
      <c r="J77" s="199"/>
      <c r="K77" s="639"/>
      <c r="L77" s="640"/>
      <c r="M77" s="188"/>
      <c r="N77" s="177"/>
      <c r="O77" s="177"/>
      <c r="P77" s="383"/>
      <c r="Q77" s="383"/>
      <c r="R77" s="177"/>
    </row>
    <row r="78" spans="1:18" ht="15.75" customHeight="1">
      <c r="A78" s="643"/>
      <c r="B78" s="644"/>
      <c r="C78" s="203" t="s">
        <v>205</v>
      </c>
      <c r="D78" s="639"/>
      <c r="E78" s="640"/>
      <c r="F78" s="640"/>
      <c r="G78" s="199"/>
      <c r="H78" s="201"/>
      <c r="I78" s="202"/>
      <c r="J78" s="199"/>
      <c r="K78" s="639"/>
      <c r="L78" s="640"/>
      <c r="M78" s="188"/>
      <c r="N78" s="177"/>
      <c r="O78" s="177"/>
      <c r="P78" s="383"/>
      <c r="Q78" s="383"/>
      <c r="R78" s="177"/>
    </row>
    <row r="79" spans="1:18" ht="15.75" customHeight="1">
      <c r="A79" s="643"/>
      <c r="B79" s="644"/>
      <c r="C79" s="203" t="s">
        <v>210</v>
      </c>
      <c r="D79" s="639"/>
      <c r="E79" s="640"/>
      <c r="F79" s="640"/>
      <c r="G79" s="199"/>
      <c r="H79" s="201"/>
      <c r="I79" s="202"/>
      <c r="J79" s="199"/>
      <c r="K79" s="639"/>
      <c r="L79" s="640"/>
      <c r="M79" s="188"/>
      <c r="N79" s="177"/>
      <c r="O79" s="177"/>
      <c r="P79" s="383"/>
      <c r="Q79" s="383"/>
      <c r="R79" s="177"/>
    </row>
    <row r="80" spans="1:18" ht="15.75" customHeight="1">
      <c r="A80" s="643"/>
      <c r="B80" s="644"/>
      <c r="C80" s="203" t="s">
        <v>211</v>
      </c>
      <c r="D80" s="639"/>
      <c r="E80" s="640"/>
      <c r="F80" s="640"/>
      <c r="G80" s="199"/>
      <c r="H80" s="201"/>
      <c r="I80" s="202"/>
      <c r="J80" s="199"/>
      <c r="K80" s="639"/>
      <c r="L80" s="640"/>
      <c r="M80" s="188"/>
      <c r="N80" s="177"/>
      <c r="O80" s="177"/>
      <c r="P80" s="383"/>
      <c r="Q80" s="383"/>
      <c r="R80" s="177"/>
    </row>
    <row r="81" spans="1:18" ht="15.75" customHeight="1">
      <c r="A81" s="645" t="s">
        <v>827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188"/>
    </row>
    <row r="82" spans="1:18" s="189" customFormat="1" ht="15.75" customHeight="1">
      <c r="A82" s="645"/>
      <c r="B82" s="645"/>
      <c r="C82" s="645"/>
      <c r="D82" s="645"/>
      <c r="E82" s="645"/>
      <c r="F82" s="645"/>
      <c r="G82" s="645"/>
      <c r="H82" s="645"/>
      <c r="I82" s="645"/>
      <c r="J82" s="645"/>
      <c r="K82" s="645"/>
      <c r="L82" s="645"/>
    </row>
    <row r="83" spans="1:18" s="177" customFormat="1" ht="15.75" customHeight="1">
      <c r="A83" s="643" t="s">
        <v>162</v>
      </c>
      <c r="B83" s="190">
        <v>1</v>
      </c>
      <c r="C83" s="190">
        <v>2</v>
      </c>
      <c r="D83" s="169">
        <v>3</v>
      </c>
      <c r="E83" s="169">
        <v>4</v>
      </c>
      <c r="F83" s="169">
        <v>5</v>
      </c>
      <c r="G83" s="169">
        <v>6</v>
      </c>
      <c r="H83" s="169">
        <v>7</v>
      </c>
      <c r="I83" s="169">
        <v>8</v>
      </c>
      <c r="J83" s="169">
        <v>9</v>
      </c>
      <c r="K83" s="191"/>
      <c r="L83" s="191"/>
      <c r="M83" s="192"/>
    </row>
    <row r="84" spans="1:18" ht="16.350000000000001" customHeight="1">
      <c r="A84" s="643"/>
      <c r="B84" s="193" t="s">
        <v>206</v>
      </c>
      <c r="C84" s="193" t="s">
        <v>155</v>
      </c>
      <c r="D84" s="194" t="s">
        <v>207</v>
      </c>
      <c r="E84" s="194" t="s">
        <v>156</v>
      </c>
      <c r="F84" s="194" t="s">
        <v>348</v>
      </c>
      <c r="G84" s="195" t="s">
        <v>136</v>
      </c>
      <c r="H84" s="196" t="s">
        <v>208</v>
      </c>
      <c r="I84" s="195" t="s">
        <v>373</v>
      </c>
      <c r="J84" s="195" t="s">
        <v>142</v>
      </c>
      <c r="K84" s="197"/>
      <c r="L84" s="197"/>
      <c r="N84" s="198"/>
      <c r="O84" s="198"/>
      <c r="P84" s="198"/>
      <c r="Q84" s="198"/>
      <c r="R84" s="198"/>
    </row>
    <row r="85" spans="1:18" s="177" customFormat="1" ht="15.75" customHeight="1">
      <c r="A85" s="644" t="s">
        <v>188</v>
      </c>
      <c r="B85" s="644"/>
      <c r="C85" s="159" t="s">
        <v>47</v>
      </c>
      <c r="D85" s="644" t="s">
        <v>12</v>
      </c>
      <c r="E85" s="646"/>
      <c r="F85" s="646"/>
      <c r="G85" s="159" t="s">
        <v>46</v>
      </c>
      <c r="H85" s="159" t="s">
        <v>374</v>
      </c>
      <c r="I85" s="159" t="s">
        <v>375</v>
      </c>
      <c r="J85" s="159" t="s">
        <v>332</v>
      </c>
      <c r="K85" s="644" t="s">
        <v>51</v>
      </c>
      <c r="L85" s="646"/>
      <c r="M85" s="192"/>
      <c r="N85" s="188"/>
      <c r="P85" s="383"/>
      <c r="Q85" s="383"/>
    </row>
    <row r="86" spans="1:18" ht="15.75" customHeight="1">
      <c r="A86" s="643">
        <v>1</v>
      </c>
      <c r="B86" s="644" t="s">
        <v>376</v>
      </c>
      <c r="C86" s="199">
        <v>1</v>
      </c>
      <c r="D86" s="639"/>
      <c r="E86" s="640"/>
      <c r="F86" s="640"/>
      <c r="G86" s="199"/>
      <c r="H86" s="201"/>
      <c r="I86" s="202"/>
      <c r="J86" s="220">
        <f>I86-I60</f>
        <v>-1066.4508573867613</v>
      </c>
      <c r="K86" s="639"/>
      <c r="L86" s="640"/>
      <c r="N86" s="177"/>
      <c r="O86" s="177"/>
      <c r="P86" s="383"/>
      <c r="Q86" s="383"/>
      <c r="R86" s="177"/>
    </row>
    <row r="87" spans="1:18" ht="15.75" customHeight="1">
      <c r="A87" s="643"/>
      <c r="B87" s="644"/>
      <c r="C87" s="199">
        <v>2</v>
      </c>
      <c r="D87" s="639"/>
      <c r="E87" s="640"/>
      <c r="F87" s="640"/>
      <c r="G87" s="199"/>
      <c r="H87" s="201"/>
      <c r="I87" s="202"/>
      <c r="J87" s="220">
        <f>I87-I61</f>
        <v>-1066.1216375404047</v>
      </c>
      <c r="K87" s="639"/>
      <c r="L87" s="640"/>
      <c r="N87" s="177"/>
      <c r="O87" s="177"/>
      <c r="P87" s="383"/>
      <c r="Q87" s="383"/>
      <c r="R87" s="177"/>
    </row>
    <row r="88" spans="1:18" ht="15.75" customHeight="1">
      <c r="A88" s="643"/>
      <c r="B88" s="644"/>
      <c r="C88" s="199">
        <v>3</v>
      </c>
      <c r="D88" s="639"/>
      <c r="E88" s="640"/>
      <c r="F88" s="640"/>
      <c r="G88" s="199"/>
      <c r="H88" s="201"/>
      <c r="I88" s="202"/>
      <c r="J88" s="220">
        <f>I88-I62</f>
        <v>-1064.069159580539</v>
      </c>
      <c r="K88" s="639"/>
      <c r="L88" s="640"/>
      <c r="N88" s="177"/>
      <c r="O88" s="177"/>
      <c r="P88" s="383"/>
      <c r="Q88" s="383"/>
      <c r="R88" s="177"/>
    </row>
    <row r="89" spans="1:18" ht="15.75" customHeight="1">
      <c r="A89" s="643"/>
      <c r="B89" s="644"/>
      <c r="C89" s="199">
        <v>4</v>
      </c>
      <c r="D89" s="639"/>
      <c r="E89" s="640"/>
      <c r="F89" s="640"/>
      <c r="G89" s="199"/>
      <c r="H89" s="201"/>
      <c r="I89" s="202"/>
      <c r="J89" s="220">
        <f>I89-I63</f>
        <v>-1063.452660723128</v>
      </c>
      <c r="K89" s="639"/>
      <c r="L89" s="640"/>
      <c r="N89" s="177"/>
      <c r="O89" s="177"/>
      <c r="P89" s="383"/>
      <c r="Q89" s="383"/>
      <c r="R89" s="177"/>
    </row>
    <row r="90" spans="1:18" ht="15.75" customHeight="1">
      <c r="A90" s="643"/>
      <c r="B90" s="644"/>
      <c r="C90" s="199">
        <v>5</v>
      </c>
      <c r="D90" s="639"/>
      <c r="E90" s="640"/>
      <c r="F90" s="640"/>
      <c r="G90" s="199"/>
      <c r="H90" s="201"/>
      <c r="I90" s="202"/>
      <c r="J90" s="220"/>
      <c r="K90" s="639"/>
      <c r="L90" s="640"/>
      <c r="O90" s="177"/>
      <c r="P90" s="383"/>
      <c r="Q90" s="383"/>
      <c r="R90" s="177"/>
    </row>
    <row r="91" spans="1:18" ht="15.75" customHeight="1">
      <c r="A91" s="643"/>
      <c r="B91" s="644"/>
      <c r="C91" s="203" t="s">
        <v>204</v>
      </c>
      <c r="D91" s="640"/>
      <c r="E91" s="640"/>
      <c r="F91" s="640"/>
      <c r="G91" s="200"/>
      <c r="H91" s="204"/>
      <c r="I91" s="205"/>
      <c r="J91" s="220">
        <f>I91-I65</f>
        <v>-250.90512504378981</v>
      </c>
      <c r="K91" s="639"/>
      <c r="L91" s="640"/>
      <c r="N91" s="177"/>
      <c r="O91" s="177"/>
      <c r="P91" s="383"/>
      <c r="Q91" s="383"/>
      <c r="R91" s="177"/>
    </row>
    <row r="92" spans="1:18" ht="15.75" customHeight="1">
      <c r="A92" s="643"/>
      <c r="B92" s="644"/>
      <c r="C92" s="203" t="s">
        <v>209</v>
      </c>
      <c r="D92" s="640"/>
      <c r="E92" s="640"/>
      <c r="F92" s="640"/>
      <c r="G92" s="200"/>
      <c r="H92" s="204"/>
      <c r="I92" s="205"/>
      <c r="J92" s="220">
        <f>I92-I67</f>
        <v>-260.06627319951849</v>
      </c>
      <c r="K92" s="639"/>
      <c r="L92" s="640"/>
      <c r="N92" s="177"/>
      <c r="O92" s="177"/>
      <c r="P92" s="383"/>
      <c r="Q92" s="383"/>
      <c r="R92" s="177"/>
    </row>
    <row r="93" spans="1:18" ht="15.75" customHeight="1">
      <c r="A93" s="643"/>
      <c r="B93" s="644"/>
      <c r="C93" s="203" t="s">
        <v>205</v>
      </c>
      <c r="D93" s="640"/>
      <c r="E93" s="640"/>
      <c r="F93" s="640"/>
      <c r="G93" s="200"/>
      <c r="H93" s="204"/>
      <c r="I93" s="205"/>
      <c r="J93" s="220">
        <f>I93-I66</f>
        <v>-259.92509336956743</v>
      </c>
      <c r="K93" s="639"/>
      <c r="L93" s="640"/>
      <c r="N93" s="177"/>
      <c r="O93" s="177"/>
      <c r="P93" s="383"/>
      <c r="Q93" s="383"/>
      <c r="R93" s="177"/>
    </row>
    <row r="94" spans="1:18" ht="15.75" customHeight="1">
      <c r="A94" s="643"/>
      <c r="B94" s="644"/>
      <c r="C94" s="203" t="s">
        <v>210</v>
      </c>
      <c r="D94" s="640"/>
      <c r="E94" s="640"/>
      <c r="F94" s="640"/>
      <c r="G94" s="200"/>
      <c r="H94" s="204"/>
      <c r="I94" s="205"/>
      <c r="J94" s="220">
        <f>I94-I68</f>
        <v>-544.20011881898188</v>
      </c>
      <c r="K94" s="639"/>
      <c r="L94" s="640"/>
      <c r="M94" s="188"/>
      <c r="N94" s="177"/>
      <c r="O94" s="177"/>
      <c r="P94" s="383"/>
      <c r="Q94" s="383"/>
      <c r="R94" s="177"/>
    </row>
    <row r="95" spans="1:18" ht="15.75" customHeight="1">
      <c r="A95" s="643"/>
      <c r="B95" s="644"/>
      <c r="C95" s="203" t="s">
        <v>211</v>
      </c>
      <c r="D95" s="640"/>
      <c r="E95" s="640"/>
      <c r="F95" s="640"/>
      <c r="G95" s="200"/>
      <c r="H95" s="204"/>
      <c r="I95" s="205"/>
      <c r="J95" s="220"/>
      <c r="K95" s="639"/>
      <c r="L95" s="640"/>
      <c r="M95" s="188"/>
      <c r="N95" s="177"/>
      <c r="O95" s="177"/>
      <c r="P95" s="383"/>
      <c r="Q95" s="383"/>
      <c r="R95" s="177"/>
    </row>
    <row r="96" spans="1:18" s="198" customFormat="1" ht="15.75" customHeight="1">
      <c r="A96" s="641" t="s">
        <v>188</v>
      </c>
      <c r="B96" s="641"/>
      <c r="C96" s="206" t="s">
        <v>47</v>
      </c>
      <c r="D96" s="641" t="s">
        <v>12</v>
      </c>
      <c r="E96" s="642"/>
      <c r="F96" s="642"/>
      <c r="G96" s="206" t="s">
        <v>46</v>
      </c>
      <c r="H96" s="206" t="s">
        <v>374</v>
      </c>
      <c r="I96" s="206" t="s">
        <v>375</v>
      </c>
      <c r="J96" s="159" t="s">
        <v>332</v>
      </c>
      <c r="K96" s="641" t="s">
        <v>50</v>
      </c>
      <c r="L96" s="642"/>
      <c r="M96" s="207"/>
      <c r="N96" s="177"/>
      <c r="O96" s="177"/>
      <c r="P96" s="383"/>
      <c r="Q96" s="383"/>
      <c r="R96" s="177"/>
    </row>
    <row r="97" spans="1:18" ht="15.75" customHeight="1">
      <c r="A97" s="643">
        <v>2</v>
      </c>
      <c r="B97" s="644" t="s">
        <v>155</v>
      </c>
      <c r="C97" s="199">
        <v>1</v>
      </c>
      <c r="D97" s="639"/>
      <c r="E97" s="640"/>
      <c r="F97" s="640"/>
      <c r="G97" s="199"/>
      <c r="H97" s="201"/>
      <c r="I97" s="202"/>
      <c r="J97" s="220">
        <f>I97-I71</f>
        <v>-321.68381225817592</v>
      </c>
      <c r="K97" s="639"/>
      <c r="L97" s="640"/>
      <c r="M97" s="188"/>
      <c r="N97" s="177"/>
      <c r="O97" s="177"/>
      <c r="P97" s="383"/>
      <c r="Q97" s="383"/>
      <c r="R97" s="177"/>
    </row>
    <row r="98" spans="1:18" ht="15.75" customHeight="1">
      <c r="A98" s="643"/>
      <c r="B98" s="644"/>
      <c r="C98" s="199">
        <v>2</v>
      </c>
      <c r="D98" s="639"/>
      <c r="E98" s="640"/>
      <c r="F98" s="640"/>
      <c r="G98" s="199"/>
      <c r="H98" s="201"/>
      <c r="I98" s="202"/>
      <c r="J98" s="220">
        <f>I98-I72</f>
        <v>-287.49836258330521</v>
      </c>
      <c r="K98" s="639"/>
      <c r="L98" s="640"/>
      <c r="M98" s="188"/>
      <c r="N98" s="177"/>
      <c r="O98" s="177"/>
      <c r="P98" s="383"/>
      <c r="Q98" s="383"/>
      <c r="R98" s="177"/>
    </row>
    <row r="99" spans="1:18" ht="15.75" customHeight="1">
      <c r="A99" s="643"/>
      <c r="B99" s="644"/>
      <c r="C99" s="199">
        <v>3</v>
      </c>
      <c r="D99" s="639"/>
      <c r="E99" s="640"/>
      <c r="F99" s="640"/>
      <c r="G99" s="199"/>
      <c r="H99" s="201"/>
      <c r="I99" s="202"/>
      <c r="J99" s="220">
        <f>I99-I73</f>
        <v>-287.49118356058818</v>
      </c>
      <c r="K99" s="639"/>
      <c r="L99" s="640"/>
      <c r="M99" s="188"/>
      <c r="N99" s="177"/>
      <c r="O99" s="177"/>
      <c r="P99" s="383"/>
      <c r="Q99" s="383"/>
      <c r="R99" s="177"/>
    </row>
    <row r="100" spans="1:18" ht="15.75" customHeight="1">
      <c r="A100" s="643"/>
      <c r="B100" s="644"/>
      <c r="C100" s="199">
        <v>4</v>
      </c>
      <c r="D100" s="639"/>
      <c r="E100" s="640"/>
      <c r="F100" s="640"/>
      <c r="G100" s="199"/>
      <c r="H100" s="201"/>
      <c r="I100" s="202"/>
      <c r="J100" s="220"/>
      <c r="K100" s="639"/>
      <c r="L100" s="640"/>
      <c r="M100" s="188"/>
      <c r="N100" s="177"/>
      <c r="O100" s="177"/>
      <c r="P100" s="383"/>
      <c r="Q100" s="383"/>
      <c r="R100" s="177"/>
    </row>
    <row r="101" spans="1:18" ht="15.75" customHeight="1">
      <c r="A101" s="643"/>
      <c r="B101" s="644"/>
      <c r="C101" s="199">
        <v>5</v>
      </c>
      <c r="D101" s="639"/>
      <c r="E101" s="640"/>
      <c r="F101" s="640"/>
      <c r="G101" s="199"/>
      <c r="H101" s="201"/>
      <c r="I101" s="202"/>
      <c r="J101" s="220"/>
      <c r="K101" s="639"/>
      <c r="L101" s="640"/>
      <c r="M101" s="188"/>
      <c r="N101" s="177"/>
      <c r="O101" s="177"/>
      <c r="P101" s="383"/>
      <c r="Q101" s="383"/>
      <c r="R101" s="177"/>
    </row>
    <row r="102" spans="1:18" ht="15.75" customHeight="1">
      <c r="A102" s="643"/>
      <c r="B102" s="644"/>
      <c r="C102" s="203" t="s">
        <v>204</v>
      </c>
      <c r="D102" s="639"/>
      <c r="E102" s="640"/>
      <c r="F102" s="640"/>
      <c r="G102" s="199"/>
      <c r="H102" s="201"/>
      <c r="I102" s="202"/>
      <c r="J102" s="199"/>
      <c r="K102" s="639"/>
      <c r="L102" s="640"/>
      <c r="M102" s="188"/>
      <c r="N102" s="177"/>
      <c r="O102" s="177"/>
      <c r="P102" s="383"/>
      <c r="Q102" s="383"/>
      <c r="R102" s="177"/>
    </row>
    <row r="103" spans="1:18" ht="15.75" customHeight="1">
      <c r="A103" s="643"/>
      <c r="B103" s="644"/>
      <c r="C103" s="203" t="s">
        <v>209</v>
      </c>
      <c r="D103" s="639"/>
      <c r="E103" s="640"/>
      <c r="F103" s="640"/>
      <c r="G103" s="199"/>
      <c r="H103" s="201"/>
      <c r="I103" s="202"/>
      <c r="J103" s="199"/>
      <c r="K103" s="639"/>
      <c r="L103" s="640"/>
      <c r="M103" s="188"/>
      <c r="N103" s="177"/>
      <c r="O103" s="177"/>
      <c r="P103" s="383"/>
      <c r="Q103" s="383"/>
      <c r="R103" s="177"/>
    </row>
    <row r="104" spans="1:18" ht="15.75" customHeight="1">
      <c r="A104" s="643"/>
      <c r="B104" s="644"/>
      <c r="C104" s="203" t="s">
        <v>205</v>
      </c>
      <c r="D104" s="639"/>
      <c r="E104" s="640"/>
      <c r="F104" s="640"/>
      <c r="G104" s="199"/>
      <c r="H104" s="201"/>
      <c r="I104" s="202"/>
      <c r="J104" s="199"/>
      <c r="K104" s="639"/>
      <c r="L104" s="640"/>
      <c r="M104" s="188"/>
      <c r="N104" s="177"/>
      <c r="O104" s="177"/>
      <c r="P104" s="383"/>
      <c r="Q104" s="383"/>
      <c r="R104" s="177"/>
    </row>
    <row r="105" spans="1:18" ht="15.75" customHeight="1">
      <c r="A105" s="643"/>
      <c r="B105" s="644"/>
      <c r="C105" s="203" t="s">
        <v>210</v>
      </c>
      <c r="D105" s="639"/>
      <c r="E105" s="640"/>
      <c r="F105" s="640"/>
      <c r="G105" s="199"/>
      <c r="H105" s="201"/>
      <c r="I105" s="202"/>
      <c r="J105" s="199"/>
      <c r="K105" s="639"/>
      <c r="L105" s="640"/>
      <c r="M105" s="188"/>
      <c r="N105" s="177"/>
      <c r="O105" s="177"/>
      <c r="P105" s="383"/>
      <c r="Q105" s="383"/>
      <c r="R105" s="177"/>
    </row>
    <row r="106" spans="1:18" ht="15.75" customHeight="1">
      <c r="A106" s="643"/>
      <c r="B106" s="644"/>
      <c r="C106" s="203" t="s">
        <v>211</v>
      </c>
      <c r="D106" s="639"/>
      <c r="E106" s="640"/>
      <c r="F106" s="640"/>
      <c r="G106" s="199"/>
      <c r="H106" s="201"/>
      <c r="I106" s="202"/>
      <c r="J106" s="199"/>
      <c r="K106" s="639"/>
      <c r="L106" s="640"/>
      <c r="M106" s="188"/>
      <c r="N106" s="177"/>
      <c r="O106" s="177"/>
      <c r="P106" s="383"/>
      <c r="Q106" s="383"/>
      <c r="R106" s="177"/>
    </row>
  </sheetData>
  <mergeCells count="209">
    <mergeCell ref="K13:L13"/>
    <mergeCell ref="D14:F14"/>
    <mergeCell ref="K16:L16"/>
    <mergeCell ref="D17:F17"/>
    <mergeCell ref="K17:L17"/>
    <mergeCell ref="K14:L14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52:F52"/>
    <mergeCell ref="K52:L52"/>
    <mergeCell ref="D51:F51"/>
    <mergeCell ref="K51:L51"/>
    <mergeCell ref="A1:L2"/>
    <mergeCell ref="D25:F25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D42:F42"/>
    <mergeCell ref="A34:A43"/>
    <mergeCell ref="B34:B43"/>
    <mergeCell ref="D15:F15"/>
    <mergeCell ref="K15:L15"/>
    <mergeCell ref="D16:F16"/>
    <mergeCell ref="K25:L25"/>
    <mergeCell ref="D26:F26"/>
    <mergeCell ref="K26:L26"/>
    <mergeCell ref="D27:F27"/>
    <mergeCell ref="K27:L27"/>
    <mergeCell ref="D28:F28"/>
    <mergeCell ref="K28:L28"/>
    <mergeCell ref="A29:L30"/>
    <mergeCell ref="A18:B18"/>
    <mergeCell ref="D18:F18"/>
    <mergeCell ref="A31:A32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A33:B33"/>
    <mergeCell ref="D33:F33"/>
    <mergeCell ref="K33:L33"/>
    <mergeCell ref="D34:F34"/>
    <mergeCell ref="K34:L34"/>
    <mergeCell ref="D35:F35"/>
    <mergeCell ref="K35:L35"/>
    <mergeCell ref="D36:F36"/>
    <mergeCell ref="K36:L36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A70:B70"/>
    <mergeCell ref="D70:F70"/>
    <mergeCell ref="K70:L7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80:F80"/>
    <mergeCell ref="K80:L80"/>
    <mergeCell ref="D66:F66"/>
    <mergeCell ref="K66:L66"/>
    <mergeCell ref="D67:F67"/>
    <mergeCell ref="K67:L67"/>
    <mergeCell ref="D68:F68"/>
    <mergeCell ref="K68:L68"/>
    <mergeCell ref="D69:F69"/>
    <mergeCell ref="K69:L69"/>
    <mergeCell ref="K92:L92"/>
    <mergeCell ref="D93:F93"/>
    <mergeCell ref="K93:L93"/>
    <mergeCell ref="D94:F94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92D050"/>
    <outlinePr summaryBelow="0" summaryRight="0"/>
  </sheetPr>
  <dimension ref="A1:R106"/>
  <sheetViews>
    <sheetView view="pageBreakPreview" topLeftCell="A44" zoomScaleNormal="60" zoomScaleSheetLayoutView="100" workbookViewId="0">
      <selection activeCell="J73" sqref="J73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36" t="s">
        <v>372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98"/>
    </row>
    <row r="2" spans="1:18" s="99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N2" s="189"/>
      <c r="O2" s="189"/>
      <c r="P2" s="189"/>
      <c r="Q2" s="189"/>
      <c r="R2" s="189"/>
    </row>
    <row r="3" spans="1:18" s="188" customFormat="1" ht="15.75" customHeight="1">
      <c r="A3" s="645" t="s">
        <v>670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</row>
    <row r="4" spans="1:18" s="189" customFormat="1" ht="15.75" customHeight="1">
      <c r="A4" s="645"/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</row>
    <row r="5" spans="1:18" s="177" customFormat="1" ht="16.350000000000001" customHeight="1">
      <c r="A5" s="643" t="s">
        <v>162</v>
      </c>
      <c r="B5" s="169">
        <v>1</v>
      </c>
      <c r="C5" s="169">
        <v>2</v>
      </c>
      <c r="D5" s="190">
        <v>3</v>
      </c>
      <c r="E5" s="190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s="188" customFormat="1" ht="16.350000000000001" customHeight="1">
      <c r="A6" s="643"/>
      <c r="B6" s="194" t="s">
        <v>206</v>
      </c>
      <c r="C6" s="194" t="s">
        <v>155</v>
      </c>
      <c r="D6" s="193" t="s">
        <v>207</v>
      </c>
      <c r="E6" s="193" t="s">
        <v>156</v>
      </c>
      <c r="F6" s="194" t="s">
        <v>348</v>
      </c>
      <c r="G6" s="195" t="s">
        <v>136</v>
      </c>
      <c r="H6" s="196" t="s">
        <v>208</v>
      </c>
      <c r="I6" s="195" t="s">
        <v>373</v>
      </c>
      <c r="J6" s="195" t="s">
        <v>142</v>
      </c>
      <c r="K6" s="197"/>
      <c r="L6" s="197"/>
      <c r="M6" s="189"/>
      <c r="N6" s="198"/>
      <c r="O6" s="198"/>
      <c r="P6" s="198"/>
      <c r="Q6" s="198"/>
      <c r="R6" s="198"/>
    </row>
    <row r="7" spans="1:18" s="177" customFormat="1" ht="15.75" customHeight="1">
      <c r="A7" s="644" t="s">
        <v>188</v>
      </c>
      <c r="B7" s="644"/>
      <c r="C7" s="159" t="s">
        <v>47</v>
      </c>
      <c r="D7" s="644" t="s">
        <v>12</v>
      </c>
      <c r="E7" s="646"/>
      <c r="F7" s="646"/>
      <c r="G7" s="159" t="s">
        <v>46</v>
      </c>
      <c r="H7" s="159" t="s">
        <v>374</v>
      </c>
      <c r="I7" s="159" t="s">
        <v>375</v>
      </c>
      <c r="J7" s="159" t="s">
        <v>332</v>
      </c>
      <c r="K7" s="644" t="s">
        <v>51</v>
      </c>
      <c r="L7" s="646"/>
      <c r="M7" s="192"/>
      <c r="N7" s="188"/>
      <c r="O7" s="198"/>
      <c r="P7" s="384"/>
      <c r="Q7" s="384"/>
      <c r="R7" s="198"/>
    </row>
    <row r="8" spans="1:18" s="188" customFormat="1" ht="15.75" customHeight="1">
      <c r="A8" s="643">
        <v>3</v>
      </c>
      <c r="B8" s="644" t="s">
        <v>377</v>
      </c>
      <c r="C8" s="199">
        <v>1</v>
      </c>
      <c r="D8" s="639" t="s">
        <v>347</v>
      </c>
      <c r="E8" s="640"/>
      <c r="F8" s="640"/>
      <c r="G8" s="199">
        <v>22</v>
      </c>
      <c r="H8" s="201">
        <v>2626.6346153846148</v>
      </c>
      <c r="I8" s="202">
        <v>119.39248251748248</v>
      </c>
      <c r="J8" s="220">
        <v>0.79325174825171985</v>
      </c>
      <c r="K8" s="639" t="s">
        <v>427</v>
      </c>
      <c r="L8" s="640"/>
      <c r="M8" s="189"/>
      <c r="O8" s="198"/>
      <c r="P8" s="384"/>
      <c r="Q8" s="384"/>
      <c r="R8" s="198"/>
    </row>
    <row r="9" spans="1:18" s="188" customFormat="1" ht="15.75" customHeight="1">
      <c r="A9" s="643"/>
      <c r="B9" s="644"/>
      <c r="C9" s="199">
        <v>2</v>
      </c>
      <c r="D9" s="639"/>
      <c r="E9" s="640"/>
      <c r="F9" s="640"/>
      <c r="G9" s="199"/>
      <c r="H9" s="201"/>
      <c r="I9" s="202"/>
      <c r="J9" s="220"/>
      <c r="K9" s="639"/>
      <c r="L9" s="640"/>
      <c r="M9" s="189"/>
      <c r="O9" s="198"/>
      <c r="P9" s="384"/>
      <c r="Q9" s="384"/>
      <c r="R9" s="198"/>
    </row>
    <row r="10" spans="1:18" s="188" customFormat="1" ht="15.75" customHeight="1">
      <c r="A10" s="643"/>
      <c r="B10" s="644"/>
      <c r="C10" s="199">
        <v>3</v>
      </c>
      <c r="D10" s="639"/>
      <c r="E10" s="640"/>
      <c r="F10" s="640"/>
      <c r="G10" s="199"/>
      <c r="H10" s="201"/>
      <c r="I10" s="202"/>
      <c r="J10" s="199"/>
      <c r="K10" s="639"/>
      <c r="L10" s="640"/>
      <c r="M10" s="189"/>
      <c r="O10" s="198"/>
      <c r="P10" s="384"/>
      <c r="Q10" s="384"/>
      <c r="R10" s="198"/>
    </row>
    <row r="11" spans="1:18" s="188" customFormat="1" ht="15.75" customHeight="1">
      <c r="A11" s="643"/>
      <c r="B11" s="644"/>
      <c r="C11" s="199">
        <v>4</v>
      </c>
      <c r="D11" s="639"/>
      <c r="E11" s="640"/>
      <c r="F11" s="640"/>
      <c r="G11" s="199"/>
      <c r="H11" s="201"/>
      <c r="I11" s="202"/>
      <c r="J11" s="199"/>
      <c r="K11" s="639"/>
      <c r="L11" s="640"/>
      <c r="M11" s="189"/>
      <c r="O11" s="198"/>
      <c r="P11" s="384"/>
      <c r="Q11" s="384"/>
      <c r="R11" s="198"/>
    </row>
    <row r="12" spans="1:18" s="188" customFormat="1" ht="15.75" customHeight="1">
      <c r="A12" s="643"/>
      <c r="B12" s="644"/>
      <c r="C12" s="199">
        <v>5</v>
      </c>
      <c r="D12" s="639"/>
      <c r="E12" s="640"/>
      <c r="F12" s="640"/>
      <c r="G12" s="199"/>
      <c r="H12" s="201"/>
      <c r="I12" s="202"/>
      <c r="J12" s="199"/>
      <c r="K12" s="639"/>
      <c r="L12" s="640"/>
      <c r="M12" s="189"/>
      <c r="O12" s="198"/>
      <c r="P12" s="384"/>
      <c r="Q12" s="384"/>
      <c r="R12" s="198"/>
    </row>
    <row r="13" spans="1:18" s="188" customFormat="1" ht="15.75" customHeight="1">
      <c r="A13" s="643"/>
      <c r="B13" s="644"/>
      <c r="C13" s="203" t="s">
        <v>204</v>
      </c>
      <c r="D13" s="639"/>
      <c r="E13" s="640"/>
      <c r="F13" s="640"/>
      <c r="G13" s="199"/>
      <c r="H13" s="201"/>
      <c r="I13" s="202"/>
      <c r="J13" s="199"/>
      <c r="K13" s="639"/>
      <c r="L13" s="640"/>
      <c r="M13" s="189"/>
      <c r="O13" s="198"/>
      <c r="P13" s="384"/>
      <c r="Q13" s="384"/>
      <c r="R13" s="198"/>
    </row>
    <row r="14" spans="1:18" s="188" customFormat="1" ht="15.75" customHeight="1">
      <c r="A14" s="643"/>
      <c r="B14" s="644"/>
      <c r="C14" s="203" t="s">
        <v>209</v>
      </c>
      <c r="D14" s="639"/>
      <c r="E14" s="640"/>
      <c r="F14" s="640"/>
      <c r="G14" s="199"/>
      <c r="H14" s="201"/>
      <c r="I14" s="202"/>
      <c r="J14" s="199"/>
      <c r="K14" s="639"/>
      <c r="L14" s="640"/>
      <c r="M14" s="189"/>
      <c r="N14" s="177"/>
      <c r="O14" s="177"/>
      <c r="P14" s="383"/>
      <c r="Q14" s="383"/>
      <c r="R14" s="177"/>
    </row>
    <row r="15" spans="1:18" s="188" customFormat="1" ht="15.75" customHeight="1">
      <c r="A15" s="643"/>
      <c r="B15" s="644"/>
      <c r="C15" s="203" t="s">
        <v>205</v>
      </c>
      <c r="D15" s="639"/>
      <c r="E15" s="640"/>
      <c r="F15" s="640"/>
      <c r="G15" s="201"/>
      <c r="H15" s="201"/>
      <c r="I15" s="202"/>
      <c r="J15" s="199"/>
      <c r="K15" s="639"/>
      <c r="L15" s="640"/>
      <c r="M15" s="189"/>
      <c r="O15" s="198"/>
      <c r="P15" s="384"/>
      <c r="Q15" s="384"/>
      <c r="R15" s="198"/>
    </row>
    <row r="16" spans="1:18" s="188" customFormat="1" ht="15.75" customHeight="1">
      <c r="A16" s="643"/>
      <c r="B16" s="644"/>
      <c r="C16" s="203" t="s">
        <v>210</v>
      </c>
      <c r="D16" s="639"/>
      <c r="E16" s="640"/>
      <c r="F16" s="640"/>
      <c r="G16" s="199"/>
      <c r="H16" s="201"/>
      <c r="I16" s="202"/>
      <c r="J16" s="199"/>
      <c r="K16" s="639"/>
      <c r="L16" s="640"/>
      <c r="O16" s="198"/>
      <c r="P16" s="384"/>
      <c r="Q16" s="384"/>
      <c r="R16" s="198"/>
    </row>
    <row r="17" spans="1:18" s="188" customFormat="1" ht="15.75" customHeight="1">
      <c r="A17" s="643"/>
      <c r="B17" s="644"/>
      <c r="C17" s="203" t="s">
        <v>211</v>
      </c>
      <c r="D17" s="639"/>
      <c r="E17" s="640"/>
      <c r="F17" s="640"/>
      <c r="G17" s="199"/>
      <c r="H17" s="201"/>
      <c r="I17" s="202"/>
      <c r="J17" s="199"/>
      <c r="K17" s="639"/>
      <c r="L17" s="640"/>
      <c r="O17" s="198"/>
      <c r="P17" s="384"/>
      <c r="Q17" s="384"/>
      <c r="R17" s="198"/>
    </row>
    <row r="18" spans="1:18" s="198" customFormat="1" ht="15.75" customHeight="1">
      <c r="A18" s="641" t="s">
        <v>188</v>
      </c>
      <c r="B18" s="641"/>
      <c r="C18" s="206" t="s">
        <v>47</v>
      </c>
      <c r="D18" s="641" t="s">
        <v>12</v>
      </c>
      <c r="E18" s="642"/>
      <c r="F18" s="642"/>
      <c r="G18" s="206" t="s">
        <v>46</v>
      </c>
      <c r="H18" s="206" t="s">
        <v>374</v>
      </c>
      <c r="I18" s="206" t="s">
        <v>375</v>
      </c>
      <c r="J18" s="159" t="s">
        <v>332</v>
      </c>
      <c r="K18" s="641" t="s">
        <v>50</v>
      </c>
      <c r="L18" s="642"/>
      <c r="M18" s="207"/>
      <c r="N18" s="188"/>
      <c r="P18" s="384"/>
      <c r="Q18" s="384"/>
    </row>
    <row r="19" spans="1:18" s="188" customFormat="1" ht="15.75" customHeight="1">
      <c r="A19" s="643">
        <v>4</v>
      </c>
      <c r="B19" s="644" t="s">
        <v>156</v>
      </c>
      <c r="C19" s="199">
        <v>1</v>
      </c>
      <c r="D19" s="639" t="s">
        <v>629</v>
      </c>
      <c r="E19" s="640"/>
      <c r="F19" s="640"/>
      <c r="G19" s="199">
        <v>5</v>
      </c>
      <c r="H19" s="201">
        <v>2966.2202100119753</v>
      </c>
      <c r="I19" s="202">
        <v>593.24404200239496</v>
      </c>
      <c r="J19" s="220">
        <v>-6.0307587229544879E-2</v>
      </c>
      <c r="K19" s="639" t="s">
        <v>427</v>
      </c>
      <c r="L19" s="640"/>
      <c r="N19" s="198"/>
      <c r="O19" s="198"/>
      <c r="P19" s="384"/>
      <c r="Q19" s="384"/>
      <c r="R19" s="198"/>
    </row>
    <row r="20" spans="1:18" s="188" customFormat="1" ht="15.75" customHeight="1">
      <c r="A20" s="643"/>
      <c r="B20" s="644"/>
      <c r="C20" s="199">
        <v>2</v>
      </c>
      <c r="D20" s="639" t="s">
        <v>596</v>
      </c>
      <c r="E20" s="640"/>
      <c r="F20" s="640"/>
      <c r="G20" s="199">
        <v>6</v>
      </c>
      <c r="H20" s="201">
        <v>2961.6418775921857</v>
      </c>
      <c r="I20" s="202">
        <v>493.60697959869776</v>
      </c>
      <c r="J20" s="220">
        <v>0</v>
      </c>
      <c r="K20" s="639" t="s">
        <v>427</v>
      </c>
      <c r="L20" s="640"/>
      <c r="O20" s="198"/>
      <c r="P20" s="384"/>
      <c r="Q20" s="384"/>
      <c r="R20" s="198"/>
    </row>
    <row r="21" spans="1:18" s="188" customFormat="1" ht="15.75" customHeight="1">
      <c r="A21" s="643"/>
      <c r="B21" s="644"/>
      <c r="C21" s="199">
        <v>3</v>
      </c>
      <c r="D21" s="639" t="s">
        <v>578</v>
      </c>
      <c r="E21" s="640"/>
      <c r="F21" s="640"/>
      <c r="G21" s="199">
        <v>6</v>
      </c>
      <c r="H21" s="201">
        <v>2354.7348409049814</v>
      </c>
      <c r="I21" s="202">
        <v>392.45580681749692</v>
      </c>
      <c r="J21" s="220">
        <v>0.54850743539054747</v>
      </c>
      <c r="K21" s="639" t="s">
        <v>427</v>
      </c>
      <c r="L21" s="640"/>
      <c r="O21" s="198"/>
      <c r="P21" s="384"/>
      <c r="Q21" s="384"/>
      <c r="R21" s="198"/>
    </row>
    <row r="22" spans="1:18" s="188" customFormat="1" ht="15.75" customHeight="1">
      <c r="A22" s="643"/>
      <c r="B22" s="644"/>
      <c r="C22" s="199">
        <v>4</v>
      </c>
      <c r="D22" s="639" t="s">
        <v>579</v>
      </c>
      <c r="E22" s="640"/>
      <c r="F22" s="640"/>
      <c r="G22" s="199">
        <v>6</v>
      </c>
      <c r="H22" s="201">
        <v>2351.5642285625245</v>
      </c>
      <c r="I22" s="202">
        <v>391.92737142708739</v>
      </c>
      <c r="J22" s="220">
        <v>0.25096054197439344</v>
      </c>
      <c r="K22" s="639" t="s">
        <v>427</v>
      </c>
      <c r="L22" s="640"/>
      <c r="O22" s="198"/>
      <c r="P22" s="384"/>
      <c r="Q22" s="384"/>
      <c r="R22" s="198"/>
    </row>
    <row r="23" spans="1:18" s="188" customFormat="1" ht="15.75" customHeight="1">
      <c r="A23" s="643"/>
      <c r="B23" s="644"/>
      <c r="C23" s="199">
        <v>5</v>
      </c>
      <c r="D23" s="639" t="s">
        <v>613</v>
      </c>
      <c r="E23" s="640"/>
      <c r="F23" s="640"/>
      <c r="G23" s="199">
        <v>20</v>
      </c>
      <c r="H23" s="201">
        <v>1897.3883422374979</v>
      </c>
      <c r="I23" s="202">
        <v>94.869417111874881</v>
      </c>
      <c r="J23" s="220">
        <v>-2.4084328022851764E-2</v>
      </c>
      <c r="K23" s="639" t="s">
        <v>427</v>
      </c>
      <c r="L23" s="640"/>
      <c r="O23" s="198"/>
      <c r="P23" s="384"/>
      <c r="Q23" s="384"/>
      <c r="R23" s="198"/>
    </row>
    <row r="24" spans="1:18" s="188" customFormat="1" ht="15.75" customHeight="1">
      <c r="A24" s="643"/>
      <c r="B24" s="644"/>
      <c r="C24" s="203" t="s">
        <v>204</v>
      </c>
      <c r="D24" s="639"/>
      <c r="E24" s="640"/>
      <c r="F24" s="640"/>
      <c r="G24" s="199"/>
      <c r="H24" s="201"/>
      <c r="I24" s="202"/>
      <c r="J24" s="199"/>
      <c r="K24" s="639"/>
      <c r="L24" s="640"/>
      <c r="O24" s="198"/>
      <c r="P24" s="384"/>
      <c r="Q24" s="384"/>
      <c r="R24" s="198"/>
    </row>
    <row r="25" spans="1:18" s="188" customFormat="1" ht="15.75" customHeight="1">
      <c r="A25" s="643"/>
      <c r="B25" s="644"/>
      <c r="C25" s="203" t="s">
        <v>209</v>
      </c>
      <c r="D25" s="639"/>
      <c r="E25" s="640"/>
      <c r="F25" s="640"/>
      <c r="G25" s="199"/>
      <c r="H25" s="201"/>
      <c r="I25" s="202"/>
      <c r="J25" s="199"/>
      <c r="K25" s="639"/>
      <c r="L25" s="640"/>
      <c r="O25" s="198"/>
      <c r="P25" s="384"/>
      <c r="Q25" s="384"/>
      <c r="R25" s="198"/>
    </row>
    <row r="26" spans="1:18" s="188" customFormat="1" ht="15.75" customHeight="1">
      <c r="A26" s="643"/>
      <c r="B26" s="644"/>
      <c r="C26" s="203" t="s">
        <v>205</v>
      </c>
      <c r="D26" s="639"/>
      <c r="E26" s="640"/>
      <c r="F26" s="640"/>
      <c r="G26" s="199"/>
      <c r="H26" s="201"/>
      <c r="I26" s="202"/>
      <c r="J26" s="199"/>
      <c r="K26" s="639"/>
      <c r="L26" s="640"/>
      <c r="O26" s="198"/>
      <c r="P26" s="384"/>
      <c r="Q26" s="384"/>
      <c r="R26" s="198"/>
    </row>
    <row r="27" spans="1:18" s="188" customFormat="1" ht="15.75" customHeight="1">
      <c r="A27" s="643"/>
      <c r="B27" s="644"/>
      <c r="C27" s="203" t="s">
        <v>210</v>
      </c>
      <c r="D27" s="639"/>
      <c r="E27" s="640"/>
      <c r="F27" s="640"/>
      <c r="G27" s="199"/>
      <c r="H27" s="201"/>
      <c r="I27" s="202"/>
      <c r="J27" s="199"/>
      <c r="K27" s="639"/>
      <c r="L27" s="640"/>
      <c r="O27" s="198"/>
      <c r="P27" s="384"/>
      <c r="Q27" s="384"/>
      <c r="R27" s="198"/>
    </row>
    <row r="28" spans="1:18" s="188" customFormat="1" ht="15.75" customHeight="1">
      <c r="A28" s="643"/>
      <c r="B28" s="644"/>
      <c r="C28" s="203" t="s">
        <v>211</v>
      </c>
      <c r="D28" s="639"/>
      <c r="E28" s="640"/>
      <c r="F28" s="640"/>
      <c r="G28" s="199"/>
      <c r="H28" s="201"/>
      <c r="I28" s="202"/>
      <c r="J28" s="199"/>
      <c r="K28" s="639"/>
      <c r="L28" s="640"/>
      <c r="O28" s="198"/>
      <c r="P28" s="384"/>
      <c r="Q28" s="384"/>
      <c r="R28" s="198"/>
    </row>
    <row r="29" spans="1:18" s="188" customFormat="1" ht="15.75" customHeight="1">
      <c r="A29" s="645" t="s">
        <v>766</v>
      </c>
      <c r="B29" s="645"/>
      <c r="C29" s="645"/>
      <c r="D29" s="645"/>
      <c r="E29" s="645"/>
      <c r="F29" s="645"/>
      <c r="G29" s="645"/>
      <c r="H29" s="645"/>
      <c r="I29" s="645"/>
      <c r="J29" s="645"/>
      <c r="K29" s="645"/>
      <c r="L29" s="645"/>
    </row>
    <row r="30" spans="1:18" s="189" customFormat="1" ht="15.75" customHeight="1">
      <c r="A30" s="645"/>
      <c r="B30" s="645"/>
      <c r="C30" s="645"/>
      <c r="D30" s="645"/>
      <c r="E30" s="645"/>
      <c r="F30" s="645"/>
      <c r="G30" s="645"/>
      <c r="H30" s="645"/>
      <c r="I30" s="645"/>
      <c r="J30" s="645"/>
      <c r="K30" s="645"/>
      <c r="L30" s="645"/>
    </row>
    <row r="31" spans="1:18" s="177" customFormat="1" ht="16.350000000000001" customHeight="1">
      <c r="A31" s="643" t="s">
        <v>162</v>
      </c>
      <c r="B31" s="169">
        <v>1</v>
      </c>
      <c r="C31" s="169">
        <v>2</v>
      </c>
      <c r="D31" s="190">
        <v>3</v>
      </c>
      <c r="E31" s="190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s="188" customFormat="1" ht="16.350000000000001" customHeight="1">
      <c r="A32" s="643"/>
      <c r="B32" s="194" t="s">
        <v>206</v>
      </c>
      <c r="C32" s="194" t="s">
        <v>155</v>
      </c>
      <c r="D32" s="193" t="s">
        <v>207</v>
      </c>
      <c r="E32" s="193" t="s">
        <v>156</v>
      </c>
      <c r="F32" s="194" t="s">
        <v>348</v>
      </c>
      <c r="G32" s="195" t="s">
        <v>136</v>
      </c>
      <c r="H32" s="196" t="s">
        <v>208</v>
      </c>
      <c r="I32" s="195" t="s">
        <v>373</v>
      </c>
      <c r="J32" s="195" t="s">
        <v>142</v>
      </c>
      <c r="K32" s="197"/>
      <c r="L32" s="197"/>
      <c r="M32" s="189"/>
      <c r="N32" s="198"/>
      <c r="O32" s="198"/>
      <c r="P32" s="198"/>
      <c r="Q32" s="198"/>
      <c r="R32" s="198"/>
    </row>
    <row r="33" spans="1:18" s="177" customFormat="1" ht="15.75" customHeight="1">
      <c r="A33" s="644" t="s">
        <v>188</v>
      </c>
      <c r="B33" s="644"/>
      <c r="C33" s="159" t="s">
        <v>47</v>
      </c>
      <c r="D33" s="644" t="s">
        <v>12</v>
      </c>
      <c r="E33" s="646"/>
      <c r="F33" s="646"/>
      <c r="G33" s="159" t="s">
        <v>46</v>
      </c>
      <c r="H33" s="159" t="s">
        <v>374</v>
      </c>
      <c r="I33" s="159" t="s">
        <v>375</v>
      </c>
      <c r="J33" s="159" t="s">
        <v>332</v>
      </c>
      <c r="K33" s="644" t="s">
        <v>51</v>
      </c>
      <c r="L33" s="646"/>
      <c r="M33" s="192"/>
      <c r="N33" s="188"/>
      <c r="O33" s="198"/>
      <c r="P33" s="384"/>
      <c r="Q33" s="384"/>
      <c r="R33" s="198"/>
    </row>
    <row r="34" spans="1:18" s="188" customFormat="1" ht="15.75" customHeight="1">
      <c r="A34" s="643">
        <v>3</v>
      </c>
      <c r="B34" s="644" t="s">
        <v>377</v>
      </c>
      <c r="C34" s="199">
        <v>1</v>
      </c>
      <c r="D34" s="639" t="s">
        <v>347</v>
      </c>
      <c r="E34" s="640"/>
      <c r="F34" s="640"/>
      <c r="G34" s="199">
        <v>23</v>
      </c>
      <c r="H34" s="201">
        <v>2786.9038461538466</v>
      </c>
      <c r="I34" s="202">
        <v>121.16973244147157</v>
      </c>
      <c r="J34" s="220">
        <f>I34-I8</f>
        <v>1.7772499239890891</v>
      </c>
      <c r="K34" s="639" t="s">
        <v>803</v>
      </c>
      <c r="L34" s="640"/>
      <c r="M34" s="189"/>
      <c r="O34" s="198"/>
      <c r="P34" s="384"/>
      <c r="Q34" s="384"/>
      <c r="R34" s="198"/>
    </row>
    <row r="35" spans="1:18" s="188" customFormat="1" ht="15.75" customHeight="1">
      <c r="A35" s="643"/>
      <c r="B35" s="644"/>
      <c r="C35" s="199">
        <v>2</v>
      </c>
      <c r="D35" s="639" t="s">
        <v>774</v>
      </c>
      <c r="E35" s="640"/>
      <c r="F35" s="640"/>
      <c r="G35" s="199">
        <v>23.571428571428573</v>
      </c>
      <c r="H35" s="201">
        <v>2484.3517944536766</v>
      </c>
      <c r="I35" s="202">
        <v>105.60709033354688</v>
      </c>
      <c r="J35" s="220"/>
      <c r="K35" s="647" t="s">
        <v>804</v>
      </c>
      <c r="L35" s="640"/>
      <c r="M35" s="189"/>
      <c r="O35" s="198"/>
      <c r="P35" s="384"/>
      <c r="Q35" s="384"/>
      <c r="R35" s="198"/>
    </row>
    <row r="36" spans="1:18" s="188" customFormat="1" ht="15.75" customHeight="1">
      <c r="A36" s="643"/>
      <c r="B36" s="644"/>
      <c r="C36" s="199">
        <v>3</v>
      </c>
      <c r="D36" s="639"/>
      <c r="E36" s="640"/>
      <c r="F36" s="640"/>
      <c r="G36" s="199"/>
      <c r="H36" s="201"/>
      <c r="I36" s="202"/>
      <c r="J36" s="199"/>
      <c r="K36" s="639"/>
      <c r="L36" s="640"/>
      <c r="M36" s="189"/>
      <c r="O36" s="198"/>
      <c r="P36" s="384"/>
      <c r="Q36" s="384"/>
      <c r="R36" s="198"/>
    </row>
    <row r="37" spans="1:18" s="188" customFormat="1" ht="15.75" customHeight="1">
      <c r="A37" s="643"/>
      <c r="B37" s="644"/>
      <c r="C37" s="199">
        <v>4</v>
      </c>
      <c r="D37" s="639"/>
      <c r="E37" s="640"/>
      <c r="F37" s="640"/>
      <c r="G37" s="199"/>
      <c r="H37" s="201"/>
      <c r="I37" s="202"/>
      <c r="J37" s="199"/>
      <c r="K37" s="639"/>
      <c r="L37" s="640"/>
      <c r="M37" s="189"/>
      <c r="O37" s="198"/>
      <c r="P37" s="384"/>
      <c r="Q37" s="384"/>
      <c r="R37" s="198"/>
    </row>
    <row r="38" spans="1:18" s="188" customFormat="1" ht="15.75" customHeight="1">
      <c r="A38" s="643"/>
      <c r="B38" s="644"/>
      <c r="C38" s="199">
        <v>5</v>
      </c>
      <c r="D38" s="639"/>
      <c r="E38" s="640"/>
      <c r="F38" s="640"/>
      <c r="G38" s="199"/>
      <c r="H38" s="201"/>
      <c r="I38" s="202"/>
      <c r="J38" s="199"/>
      <c r="K38" s="639"/>
      <c r="L38" s="640"/>
      <c r="M38" s="189"/>
      <c r="O38" s="198"/>
      <c r="P38" s="384"/>
      <c r="Q38" s="384"/>
      <c r="R38" s="198"/>
    </row>
    <row r="39" spans="1:18" s="188" customFormat="1" ht="15.75" customHeight="1">
      <c r="A39" s="643"/>
      <c r="B39" s="644"/>
      <c r="C39" s="203" t="s">
        <v>204</v>
      </c>
      <c r="D39" s="639"/>
      <c r="E39" s="640"/>
      <c r="F39" s="640"/>
      <c r="G39" s="199"/>
      <c r="H39" s="201"/>
      <c r="I39" s="202"/>
      <c r="J39" s="199"/>
      <c r="K39" s="639"/>
      <c r="L39" s="640"/>
      <c r="M39" s="189"/>
      <c r="O39" s="198"/>
      <c r="P39" s="384"/>
      <c r="Q39" s="384"/>
      <c r="R39" s="198"/>
    </row>
    <row r="40" spans="1:18" s="188" customFormat="1" ht="15.75" customHeight="1">
      <c r="A40" s="643"/>
      <c r="B40" s="644"/>
      <c r="C40" s="203" t="s">
        <v>209</v>
      </c>
      <c r="D40" s="639"/>
      <c r="E40" s="640"/>
      <c r="F40" s="640"/>
      <c r="G40" s="199"/>
      <c r="H40" s="201"/>
      <c r="I40" s="202"/>
      <c r="J40" s="199"/>
      <c r="K40" s="639"/>
      <c r="L40" s="640"/>
      <c r="M40" s="189"/>
      <c r="N40" s="177"/>
      <c r="O40" s="177"/>
      <c r="P40" s="383"/>
      <c r="Q40" s="383"/>
      <c r="R40" s="177"/>
    </row>
    <row r="41" spans="1:18" s="188" customFormat="1" ht="15.75" customHeight="1">
      <c r="A41" s="643"/>
      <c r="B41" s="644"/>
      <c r="C41" s="203" t="s">
        <v>205</v>
      </c>
      <c r="D41" s="639"/>
      <c r="E41" s="640"/>
      <c r="F41" s="640"/>
      <c r="G41" s="201"/>
      <c r="H41" s="201"/>
      <c r="I41" s="202"/>
      <c r="J41" s="199"/>
      <c r="K41" s="639"/>
      <c r="L41" s="640"/>
      <c r="M41" s="189"/>
      <c r="O41" s="198"/>
      <c r="P41" s="384"/>
      <c r="Q41" s="384"/>
      <c r="R41" s="198"/>
    </row>
    <row r="42" spans="1:18" s="188" customFormat="1" ht="15.75" customHeight="1">
      <c r="A42" s="643"/>
      <c r="B42" s="644"/>
      <c r="C42" s="203" t="s">
        <v>210</v>
      </c>
      <c r="D42" s="639"/>
      <c r="E42" s="640"/>
      <c r="F42" s="640"/>
      <c r="G42" s="199"/>
      <c r="H42" s="201"/>
      <c r="I42" s="202"/>
      <c r="J42" s="199"/>
      <c r="K42" s="639"/>
      <c r="L42" s="640"/>
      <c r="O42" s="198"/>
      <c r="P42" s="384"/>
      <c r="Q42" s="384"/>
      <c r="R42" s="198"/>
    </row>
    <row r="43" spans="1:18" s="188" customFormat="1" ht="15.75" customHeight="1">
      <c r="A43" s="643"/>
      <c r="B43" s="644"/>
      <c r="C43" s="203" t="s">
        <v>211</v>
      </c>
      <c r="D43" s="639"/>
      <c r="E43" s="640"/>
      <c r="F43" s="640"/>
      <c r="G43" s="199"/>
      <c r="H43" s="201"/>
      <c r="I43" s="202"/>
      <c r="J43" s="199"/>
      <c r="K43" s="639"/>
      <c r="L43" s="640"/>
      <c r="O43" s="198"/>
      <c r="P43" s="384"/>
      <c r="Q43" s="384"/>
      <c r="R43" s="198"/>
    </row>
    <row r="44" spans="1:18" s="198" customFormat="1" ht="15.75" customHeight="1">
      <c r="A44" s="641" t="s">
        <v>188</v>
      </c>
      <c r="B44" s="641"/>
      <c r="C44" s="206" t="s">
        <v>47</v>
      </c>
      <c r="D44" s="641" t="s">
        <v>12</v>
      </c>
      <c r="E44" s="642"/>
      <c r="F44" s="642"/>
      <c r="G44" s="206" t="s">
        <v>46</v>
      </c>
      <c r="H44" s="206" t="s">
        <v>374</v>
      </c>
      <c r="I44" s="206" t="s">
        <v>375</v>
      </c>
      <c r="J44" s="159" t="s">
        <v>332</v>
      </c>
      <c r="K44" s="641" t="s">
        <v>50</v>
      </c>
      <c r="L44" s="642"/>
      <c r="M44" s="207"/>
      <c r="N44" s="188"/>
      <c r="P44" s="384"/>
      <c r="Q44" s="384"/>
    </row>
    <row r="45" spans="1:18" s="188" customFormat="1" ht="15.75" customHeight="1">
      <c r="A45" s="643">
        <v>4</v>
      </c>
      <c r="B45" s="644" t="s">
        <v>156</v>
      </c>
      <c r="C45" s="199">
        <v>1</v>
      </c>
      <c r="D45" s="639" t="s">
        <v>629</v>
      </c>
      <c r="E45" s="640"/>
      <c r="F45" s="640"/>
      <c r="G45" s="199">
        <v>5</v>
      </c>
      <c r="H45" s="201">
        <v>2967.1553528691161</v>
      </c>
      <c r="I45" s="202">
        <v>593.43107057382326</v>
      </c>
      <c r="J45" s="220">
        <f>I45-I19</f>
        <v>0.18702857142829998</v>
      </c>
      <c r="K45" s="639" t="s">
        <v>427</v>
      </c>
      <c r="L45" s="640"/>
      <c r="N45" s="198"/>
      <c r="O45" s="198"/>
      <c r="P45" s="384"/>
      <c r="Q45" s="384"/>
      <c r="R45" s="198"/>
    </row>
    <row r="46" spans="1:18" s="188" customFormat="1" ht="15.75" customHeight="1">
      <c r="A46" s="643"/>
      <c r="B46" s="644"/>
      <c r="C46" s="199">
        <v>2</v>
      </c>
      <c r="D46" s="639" t="s">
        <v>579</v>
      </c>
      <c r="E46" s="640"/>
      <c r="F46" s="640"/>
      <c r="G46" s="199">
        <v>6</v>
      </c>
      <c r="H46" s="201">
        <v>3221.7612967161626</v>
      </c>
      <c r="I46" s="202">
        <v>536.96021611936044</v>
      </c>
      <c r="J46" s="220">
        <f>I46-I22</f>
        <v>145.03284469227304</v>
      </c>
      <c r="K46" s="647" t="s">
        <v>805</v>
      </c>
      <c r="L46" s="640"/>
      <c r="O46" s="198"/>
      <c r="P46" s="384"/>
      <c r="Q46" s="384"/>
      <c r="R46" s="198"/>
    </row>
    <row r="47" spans="1:18" s="188" customFormat="1" ht="15.75" customHeight="1">
      <c r="A47" s="643"/>
      <c r="B47" s="644"/>
      <c r="C47" s="199">
        <v>3</v>
      </c>
      <c r="D47" s="639" t="s">
        <v>578</v>
      </c>
      <c r="E47" s="640"/>
      <c r="F47" s="640"/>
      <c r="G47" s="199">
        <v>6</v>
      </c>
      <c r="H47" s="201">
        <v>3221.004969973023</v>
      </c>
      <c r="I47" s="202">
        <v>536.83416166217046</v>
      </c>
      <c r="J47" s="220">
        <f>I47-I21</f>
        <v>144.37835484467354</v>
      </c>
      <c r="K47" s="647" t="s">
        <v>805</v>
      </c>
      <c r="L47" s="640"/>
      <c r="O47" s="198"/>
      <c r="P47" s="384"/>
      <c r="Q47" s="384"/>
      <c r="R47" s="198"/>
    </row>
    <row r="48" spans="1:18" s="188" customFormat="1" ht="15.75" customHeight="1">
      <c r="A48" s="643"/>
      <c r="B48" s="644"/>
      <c r="C48" s="199">
        <v>4</v>
      </c>
      <c r="D48" s="639" t="s">
        <v>596</v>
      </c>
      <c r="E48" s="640"/>
      <c r="F48" s="640"/>
      <c r="G48" s="199">
        <v>6</v>
      </c>
      <c r="H48" s="201">
        <v>2961.6418775921857</v>
      </c>
      <c r="I48" s="202">
        <v>493.60697959869776</v>
      </c>
      <c r="J48" s="220">
        <f>I48-I20</f>
        <v>0</v>
      </c>
      <c r="K48" s="639" t="s">
        <v>427</v>
      </c>
      <c r="L48" s="640"/>
      <c r="O48" s="198"/>
      <c r="P48" s="384"/>
      <c r="Q48" s="384"/>
      <c r="R48" s="198"/>
    </row>
    <row r="49" spans="1:18" s="188" customFormat="1" ht="15.75" customHeight="1">
      <c r="A49" s="643"/>
      <c r="B49" s="644"/>
      <c r="C49" s="199">
        <v>5</v>
      </c>
      <c r="D49" s="639" t="s">
        <v>613</v>
      </c>
      <c r="E49" s="640"/>
      <c r="F49" s="640"/>
      <c r="G49" s="199">
        <v>20</v>
      </c>
      <c r="H49" s="201">
        <v>1896.8483422374977</v>
      </c>
      <c r="I49" s="202">
        <v>94.84241711187488</v>
      </c>
      <c r="J49" s="220">
        <f>I49-I23</f>
        <v>-2.7000000000001023E-2</v>
      </c>
      <c r="K49" s="639" t="s">
        <v>427</v>
      </c>
      <c r="L49" s="640"/>
      <c r="O49" s="198"/>
      <c r="P49" s="384"/>
      <c r="Q49" s="384"/>
      <c r="R49" s="198"/>
    </row>
    <row r="50" spans="1:18" s="188" customFormat="1" ht="15.75" customHeight="1">
      <c r="A50" s="643"/>
      <c r="B50" s="644"/>
      <c r="C50" s="203" t="s">
        <v>204</v>
      </c>
      <c r="D50" s="639"/>
      <c r="E50" s="640"/>
      <c r="F50" s="640"/>
      <c r="G50" s="199"/>
      <c r="H50" s="201"/>
      <c r="I50" s="202"/>
      <c r="J50" s="199"/>
      <c r="K50" s="639"/>
      <c r="L50" s="640"/>
      <c r="O50" s="198"/>
      <c r="P50" s="384"/>
      <c r="Q50" s="384"/>
      <c r="R50" s="198"/>
    </row>
    <row r="51" spans="1:18" s="188" customFormat="1" ht="15.75" customHeight="1">
      <c r="A51" s="643"/>
      <c r="B51" s="644"/>
      <c r="C51" s="203" t="s">
        <v>209</v>
      </c>
      <c r="D51" s="639"/>
      <c r="E51" s="640"/>
      <c r="F51" s="640"/>
      <c r="G51" s="199"/>
      <c r="H51" s="201"/>
      <c r="I51" s="202"/>
      <c r="J51" s="199"/>
      <c r="K51" s="639"/>
      <c r="L51" s="640"/>
      <c r="O51" s="198"/>
      <c r="P51" s="384"/>
      <c r="Q51" s="384"/>
      <c r="R51" s="198"/>
    </row>
    <row r="52" spans="1:18" s="188" customFormat="1" ht="15.75" customHeight="1">
      <c r="A52" s="643"/>
      <c r="B52" s="644"/>
      <c r="C52" s="203" t="s">
        <v>205</v>
      </c>
      <c r="D52" s="639"/>
      <c r="E52" s="640"/>
      <c r="F52" s="640"/>
      <c r="G52" s="199"/>
      <c r="H52" s="201"/>
      <c r="I52" s="202"/>
      <c r="J52" s="199"/>
      <c r="K52" s="639"/>
      <c r="L52" s="640"/>
      <c r="O52" s="198"/>
      <c r="P52" s="384"/>
      <c r="Q52" s="384"/>
      <c r="R52" s="198"/>
    </row>
    <row r="53" spans="1:18" s="188" customFormat="1" ht="15.75" customHeight="1">
      <c r="A53" s="643"/>
      <c r="B53" s="644"/>
      <c r="C53" s="203" t="s">
        <v>210</v>
      </c>
      <c r="D53" s="639"/>
      <c r="E53" s="640"/>
      <c r="F53" s="640"/>
      <c r="G53" s="199"/>
      <c r="H53" s="201"/>
      <c r="I53" s="202"/>
      <c r="J53" s="199"/>
      <c r="K53" s="639"/>
      <c r="L53" s="640"/>
      <c r="O53" s="198"/>
      <c r="P53" s="384"/>
      <c r="Q53" s="384"/>
      <c r="R53" s="198"/>
    </row>
    <row r="54" spans="1:18" s="188" customFormat="1" ht="15.75" customHeight="1">
      <c r="A54" s="643"/>
      <c r="B54" s="644"/>
      <c r="C54" s="203" t="s">
        <v>211</v>
      </c>
      <c r="D54" s="639"/>
      <c r="E54" s="640"/>
      <c r="F54" s="640"/>
      <c r="G54" s="199"/>
      <c r="H54" s="201"/>
      <c r="I54" s="202"/>
      <c r="J54" s="199"/>
      <c r="K54" s="639"/>
      <c r="L54" s="640"/>
      <c r="O54" s="198"/>
      <c r="P54" s="384"/>
      <c r="Q54" s="384"/>
      <c r="R54" s="198"/>
    </row>
    <row r="55" spans="1:18" s="188" customFormat="1" ht="15.75" customHeight="1">
      <c r="A55" s="645" t="s">
        <v>771</v>
      </c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</row>
    <row r="56" spans="1:18" s="189" customFormat="1" ht="15.75" customHeight="1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</row>
    <row r="57" spans="1:18" s="177" customFormat="1" ht="16.350000000000001" customHeight="1">
      <c r="A57" s="643" t="s">
        <v>162</v>
      </c>
      <c r="B57" s="169">
        <v>1</v>
      </c>
      <c r="C57" s="169">
        <v>2</v>
      </c>
      <c r="D57" s="190">
        <v>3</v>
      </c>
      <c r="E57" s="190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s="188" customFormat="1" ht="16.350000000000001" customHeight="1">
      <c r="A58" s="643"/>
      <c r="B58" s="194" t="s">
        <v>206</v>
      </c>
      <c r="C58" s="194" t="s">
        <v>155</v>
      </c>
      <c r="D58" s="193" t="s">
        <v>207</v>
      </c>
      <c r="E58" s="193" t="s">
        <v>156</v>
      </c>
      <c r="F58" s="194" t="s">
        <v>348</v>
      </c>
      <c r="G58" s="195" t="s">
        <v>136</v>
      </c>
      <c r="H58" s="196" t="s">
        <v>208</v>
      </c>
      <c r="I58" s="195" t="s">
        <v>373</v>
      </c>
      <c r="J58" s="195" t="s">
        <v>142</v>
      </c>
      <c r="K58" s="197"/>
      <c r="L58" s="197"/>
      <c r="M58" s="189"/>
      <c r="N58" s="198"/>
      <c r="O58" s="198"/>
      <c r="P58" s="198"/>
      <c r="Q58" s="198"/>
      <c r="R58" s="198"/>
    </row>
    <row r="59" spans="1:18" s="177" customFormat="1" ht="15.75" customHeight="1">
      <c r="A59" s="644" t="s">
        <v>188</v>
      </c>
      <c r="B59" s="644"/>
      <c r="C59" s="159" t="s">
        <v>47</v>
      </c>
      <c r="D59" s="644" t="s">
        <v>12</v>
      </c>
      <c r="E59" s="646"/>
      <c r="F59" s="646"/>
      <c r="G59" s="159" t="s">
        <v>46</v>
      </c>
      <c r="H59" s="159" t="s">
        <v>374</v>
      </c>
      <c r="I59" s="159" t="s">
        <v>375</v>
      </c>
      <c r="J59" s="159" t="s">
        <v>332</v>
      </c>
      <c r="K59" s="644" t="s">
        <v>51</v>
      </c>
      <c r="L59" s="646"/>
      <c r="M59" s="192"/>
      <c r="N59" s="188"/>
      <c r="O59" s="198"/>
      <c r="P59" s="384"/>
      <c r="Q59" s="384"/>
      <c r="R59" s="198"/>
    </row>
    <row r="60" spans="1:18" s="188" customFormat="1" ht="15.75" customHeight="1">
      <c r="A60" s="643">
        <v>3</v>
      </c>
      <c r="B60" s="644" t="s">
        <v>377</v>
      </c>
      <c r="C60" s="199">
        <v>1</v>
      </c>
      <c r="D60" s="639" t="s">
        <v>347</v>
      </c>
      <c r="E60" s="640"/>
      <c r="F60" s="640"/>
      <c r="G60" s="199">
        <v>21.571428571428573</v>
      </c>
      <c r="H60" s="201">
        <v>2568.1236263736259</v>
      </c>
      <c r="I60" s="202">
        <v>119.01864595032293</v>
      </c>
      <c r="J60" s="220">
        <f>I60-I34</f>
        <v>-2.1510864911486323</v>
      </c>
      <c r="K60" s="639"/>
      <c r="L60" s="640"/>
      <c r="M60" s="189"/>
      <c r="O60" s="198"/>
      <c r="P60" s="384"/>
      <c r="Q60" s="384"/>
      <c r="R60" s="198"/>
    </row>
    <row r="61" spans="1:18" s="188" customFormat="1" ht="15.75" customHeight="1">
      <c r="A61" s="643"/>
      <c r="B61" s="644"/>
      <c r="C61" s="199">
        <v>2</v>
      </c>
      <c r="D61" s="639" t="s">
        <v>774</v>
      </c>
      <c r="E61" s="640"/>
      <c r="F61" s="640"/>
      <c r="G61" s="199">
        <v>22</v>
      </c>
      <c r="H61" s="201">
        <v>2484.1730769230758</v>
      </c>
      <c r="I61" s="202">
        <v>112.916958041958</v>
      </c>
      <c r="J61" s="220">
        <f>I61-I35</f>
        <v>7.3098677084111188</v>
      </c>
      <c r="K61" s="639"/>
      <c r="L61" s="640"/>
      <c r="M61" s="189"/>
      <c r="O61" s="198"/>
      <c r="P61" s="384"/>
      <c r="Q61" s="384"/>
      <c r="R61" s="198"/>
    </row>
    <row r="62" spans="1:18" s="188" customFormat="1" ht="15.75" customHeight="1">
      <c r="A62" s="643"/>
      <c r="B62" s="644"/>
      <c r="C62" s="199">
        <v>3</v>
      </c>
      <c r="D62" s="639"/>
      <c r="E62" s="640"/>
      <c r="F62" s="640"/>
      <c r="G62" s="199"/>
      <c r="H62" s="201"/>
      <c r="I62" s="202"/>
      <c r="J62" s="199"/>
      <c r="K62" s="639"/>
      <c r="L62" s="640"/>
      <c r="M62" s="189"/>
      <c r="O62" s="198"/>
      <c r="P62" s="384"/>
      <c r="Q62" s="384"/>
      <c r="R62" s="198"/>
    </row>
    <row r="63" spans="1:18" s="188" customFormat="1" ht="15.75" customHeight="1">
      <c r="A63" s="643"/>
      <c r="B63" s="644"/>
      <c r="C63" s="199">
        <v>4</v>
      </c>
      <c r="D63" s="639"/>
      <c r="E63" s="640"/>
      <c r="F63" s="640"/>
      <c r="G63" s="199"/>
      <c r="H63" s="201"/>
      <c r="I63" s="202"/>
      <c r="J63" s="199"/>
      <c r="K63" s="639"/>
      <c r="L63" s="640"/>
      <c r="M63" s="189"/>
      <c r="O63" s="198"/>
      <c r="P63" s="384"/>
      <c r="Q63" s="384"/>
      <c r="R63" s="198"/>
    </row>
    <row r="64" spans="1:18" s="188" customFormat="1" ht="15.75" customHeight="1">
      <c r="A64" s="643"/>
      <c r="B64" s="644"/>
      <c r="C64" s="199">
        <v>5</v>
      </c>
      <c r="D64" s="639"/>
      <c r="E64" s="640"/>
      <c r="F64" s="640"/>
      <c r="G64" s="199"/>
      <c r="H64" s="201"/>
      <c r="I64" s="202"/>
      <c r="J64" s="199"/>
      <c r="K64" s="639"/>
      <c r="L64" s="640"/>
      <c r="M64" s="189"/>
      <c r="O64" s="198"/>
      <c r="P64" s="384"/>
      <c r="Q64" s="384"/>
      <c r="R64" s="198"/>
    </row>
    <row r="65" spans="1:18" s="188" customFormat="1" ht="15.75" customHeight="1">
      <c r="A65" s="643"/>
      <c r="B65" s="644"/>
      <c r="C65" s="203" t="s">
        <v>204</v>
      </c>
      <c r="D65" s="639"/>
      <c r="E65" s="640"/>
      <c r="F65" s="640"/>
      <c r="G65" s="199"/>
      <c r="H65" s="201"/>
      <c r="I65" s="202"/>
      <c r="J65" s="199"/>
      <c r="K65" s="639"/>
      <c r="L65" s="640"/>
      <c r="M65" s="189"/>
      <c r="O65" s="198"/>
      <c r="P65" s="384"/>
      <c r="Q65" s="384"/>
      <c r="R65" s="198"/>
    </row>
    <row r="66" spans="1:18" s="188" customFormat="1" ht="15.75" customHeight="1">
      <c r="A66" s="643"/>
      <c r="B66" s="644"/>
      <c r="C66" s="203" t="s">
        <v>209</v>
      </c>
      <c r="D66" s="639"/>
      <c r="E66" s="640"/>
      <c r="F66" s="640"/>
      <c r="G66" s="199"/>
      <c r="H66" s="201"/>
      <c r="I66" s="202"/>
      <c r="J66" s="199"/>
      <c r="K66" s="639"/>
      <c r="L66" s="640"/>
      <c r="M66" s="189"/>
      <c r="N66" s="177"/>
      <c r="O66" s="177"/>
      <c r="P66" s="383"/>
      <c r="Q66" s="383"/>
      <c r="R66" s="177"/>
    </row>
    <row r="67" spans="1:18" s="188" customFormat="1" ht="15.75" customHeight="1">
      <c r="A67" s="643"/>
      <c r="B67" s="644"/>
      <c r="C67" s="203" t="s">
        <v>205</v>
      </c>
      <c r="D67" s="639"/>
      <c r="E67" s="640"/>
      <c r="F67" s="640"/>
      <c r="G67" s="201"/>
      <c r="H67" s="201"/>
      <c r="I67" s="202"/>
      <c r="J67" s="199"/>
      <c r="K67" s="639"/>
      <c r="L67" s="640"/>
      <c r="M67" s="189"/>
      <c r="O67" s="198"/>
      <c r="P67" s="384"/>
      <c r="Q67" s="384"/>
      <c r="R67" s="198"/>
    </row>
    <row r="68" spans="1:18" s="188" customFormat="1" ht="15.75" customHeight="1">
      <c r="A68" s="643"/>
      <c r="B68" s="644"/>
      <c r="C68" s="203" t="s">
        <v>210</v>
      </c>
      <c r="D68" s="639"/>
      <c r="E68" s="640"/>
      <c r="F68" s="640"/>
      <c r="G68" s="199"/>
      <c r="H68" s="201"/>
      <c r="I68" s="202"/>
      <c r="J68" s="199"/>
      <c r="K68" s="639"/>
      <c r="L68" s="640"/>
      <c r="O68" s="198"/>
      <c r="P68" s="384"/>
      <c r="Q68" s="384"/>
      <c r="R68" s="198"/>
    </row>
    <row r="69" spans="1:18" s="188" customFormat="1" ht="15.75" customHeight="1">
      <c r="A69" s="643"/>
      <c r="B69" s="644"/>
      <c r="C69" s="203" t="s">
        <v>211</v>
      </c>
      <c r="D69" s="639"/>
      <c r="E69" s="640"/>
      <c r="F69" s="640"/>
      <c r="G69" s="199"/>
      <c r="H69" s="201"/>
      <c r="I69" s="202"/>
      <c r="J69" s="199"/>
      <c r="K69" s="639"/>
      <c r="L69" s="640"/>
      <c r="O69" s="198"/>
      <c r="P69" s="384"/>
      <c r="Q69" s="384"/>
      <c r="R69" s="198"/>
    </row>
    <row r="70" spans="1:18" s="198" customFormat="1" ht="15.75" customHeight="1">
      <c r="A70" s="641" t="s">
        <v>188</v>
      </c>
      <c r="B70" s="641"/>
      <c r="C70" s="206" t="s">
        <v>47</v>
      </c>
      <c r="D70" s="641" t="s">
        <v>12</v>
      </c>
      <c r="E70" s="642"/>
      <c r="F70" s="642"/>
      <c r="G70" s="206" t="s">
        <v>46</v>
      </c>
      <c r="H70" s="206" t="s">
        <v>374</v>
      </c>
      <c r="I70" s="206" t="s">
        <v>375</v>
      </c>
      <c r="J70" s="159" t="s">
        <v>332</v>
      </c>
      <c r="K70" s="641" t="s">
        <v>50</v>
      </c>
      <c r="L70" s="642"/>
      <c r="M70" s="207"/>
      <c r="N70" s="188"/>
      <c r="P70" s="384"/>
      <c r="Q70" s="384"/>
    </row>
    <row r="71" spans="1:18" s="188" customFormat="1" ht="15.75" customHeight="1">
      <c r="A71" s="643">
        <v>4</v>
      </c>
      <c r="B71" s="644" t="s">
        <v>156</v>
      </c>
      <c r="C71" s="199">
        <v>1</v>
      </c>
      <c r="D71" s="639" t="s">
        <v>629</v>
      </c>
      <c r="E71" s="640"/>
      <c r="F71" s="640"/>
      <c r="G71" s="199">
        <v>5</v>
      </c>
      <c r="H71" s="201">
        <v>2967.8099528691168</v>
      </c>
      <c r="I71" s="202">
        <v>593.56199057382344</v>
      </c>
      <c r="J71" s="220">
        <f>I71-I45</f>
        <v>0.13092000000017379</v>
      </c>
      <c r="K71" s="639"/>
      <c r="L71" s="640"/>
      <c r="N71" s="198"/>
      <c r="O71" s="198"/>
      <c r="P71" s="384"/>
      <c r="Q71" s="384"/>
      <c r="R71" s="198"/>
    </row>
    <row r="72" spans="1:18" s="188" customFormat="1" ht="15.75" customHeight="1">
      <c r="A72" s="643"/>
      <c r="B72" s="644"/>
      <c r="C72" s="199">
        <v>2</v>
      </c>
      <c r="D72" s="639" t="s">
        <v>579</v>
      </c>
      <c r="E72" s="640"/>
      <c r="F72" s="640"/>
      <c r="G72" s="199">
        <v>6</v>
      </c>
      <c r="H72" s="201">
        <v>3248.0228571428565</v>
      </c>
      <c r="I72" s="202">
        <v>541.33714285714279</v>
      </c>
      <c r="J72" s="220">
        <f>I72-I46</f>
        <v>4.3769267377823553</v>
      </c>
      <c r="K72" s="639"/>
      <c r="L72" s="640"/>
      <c r="O72" s="198"/>
      <c r="P72" s="384"/>
      <c r="Q72" s="384"/>
      <c r="R72" s="198"/>
    </row>
    <row r="73" spans="1:18" s="188" customFormat="1" ht="15.75" customHeight="1">
      <c r="A73" s="643"/>
      <c r="B73" s="644"/>
      <c r="C73" s="199">
        <v>3</v>
      </c>
      <c r="D73" s="639" t="s">
        <v>578</v>
      </c>
      <c r="E73" s="640"/>
      <c r="F73" s="640"/>
      <c r="G73" s="199">
        <v>6</v>
      </c>
      <c r="H73" s="201">
        <v>3247.1485714285727</v>
      </c>
      <c r="I73" s="202">
        <v>541.19142857142867</v>
      </c>
      <c r="J73" s="220">
        <f>I73-I47</f>
        <v>4.3572669092582146</v>
      </c>
      <c r="K73" s="639"/>
      <c r="L73" s="640"/>
      <c r="O73" s="198"/>
      <c r="P73" s="384"/>
      <c r="Q73" s="384"/>
      <c r="R73" s="198"/>
    </row>
    <row r="74" spans="1:18" s="188" customFormat="1" ht="15.75" customHeight="1">
      <c r="A74" s="643"/>
      <c r="B74" s="644"/>
      <c r="C74" s="199">
        <v>4</v>
      </c>
      <c r="D74" s="639" t="s">
        <v>596</v>
      </c>
      <c r="E74" s="640"/>
      <c r="F74" s="640"/>
      <c r="G74" s="199">
        <v>6</v>
      </c>
      <c r="H74" s="201">
        <v>2961.6418775921857</v>
      </c>
      <c r="I74" s="202">
        <v>493.60697959869771</v>
      </c>
      <c r="J74" s="220">
        <f>I74-I48</f>
        <v>0</v>
      </c>
      <c r="K74" s="639"/>
      <c r="L74" s="640"/>
      <c r="O74" s="198"/>
      <c r="P74" s="384"/>
      <c r="Q74" s="384"/>
      <c r="R74" s="198"/>
    </row>
    <row r="75" spans="1:18" s="188" customFormat="1" ht="15.75" customHeight="1">
      <c r="A75" s="643"/>
      <c r="B75" s="644"/>
      <c r="C75" s="199">
        <v>5</v>
      </c>
      <c r="D75" s="639" t="s">
        <v>613</v>
      </c>
      <c r="E75" s="640"/>
      <c r="F75" s="640"/>
      <c r="G75" s="199">
        <v>20</v>
      </c>
      <c r="H75" s="201">
        <v>1893.9683422374978</v>
      </c>
      <c r="I75" s="202">
        <v>94.698417111874875</v>
      </c>
      <c r="J75" s="220">
        <f>I75-I49</f>
        <v>-0.14400000000000546</v>
      </c>
      <c r="K75" s="639"/>
      <c r="L75" s="640"/>
      <c r="O75" s="198"/>
      <c r="P75" s="384"/>
      <c r="Q75" s="384"/>
      <c r="R75" s="198"/>
    </row>
    <row r="76" spans="1:18" s="188" customFormat="1" ht="15.75" customHeight="1">
      <c r="A76" s="643"/>
      <c r="B76" s="644"/>
      <c r="C76" s="203" t="s">
        <v>204</v>
      </c>
      <c r="D76" s="639"/>
      <c r="E76" s="640"/>
      <c r="F76" s="640"/>
      <c r="G76" s="199"/>
      <c r="H76" s="201"/>
      <c r="I76" s="202"/>
      <c r="J76" s="199"/>
      <c r="K76" s="639"/>
      <c r="L76" s="640"/>
      <c r="O76" s="198"/>
      <c r="P76" s="384"/>
      <c r="Q76" s="384"/>
      <c r="R76" s="198"/>
    </row>
    <row r="77" spans="1:18" s="188" customFormat="1" ht="15.75" customHeight="1">
      <c r="A77" s="643"/>
      <c r="B77" s="644"/>
      <c r="C77" s="203" t="s">
        <v>209</v>
      </c>
      <c r="D77" s="639"/>
      <c r="E77" s="640"/>
      <c r="F77" s="640"/>
      <c r="G77" s="199"/>
      <c r="H77" s="201"/>
      <c r="I77" s="202"/>
      <c r="J77" s="199"/>
      <c r="K77" s="639"/>
      <c r="L77" s="640"/>
      <c r="O77" s="198"/>
      <c r="P77" s="384"/>
      <c r="Q77" s="384"/>
      <c r="R77" s="198"/>
    </row>
    <row r="78" spans="1:18" s="188" customFormat="1" ht="15.75" customHeight="1">
      <c r="A78" s="643"/>
      <c r="B78" s="644"/>
      <c r="C78" s="203" t="s">
        <v>205</v>
      </c>
      <c r="D78" s="639"/>
      <c r="E78" s="640"/>
      <c r="F78" s="640"/>
      <c r="G78" s="199"/>
      <c r="H78" s="201"/>
      <c r="I78" s="202"/>
      <c r="J78" s="199"/>
      <c r="K78" s="639"/>
      <c r="L78" s="640"/>
      <c r="O78" s="198"/>
      <c r="P78" s="384"/>
      <c r="Q78" s="384"/>
      <c r="R78" s="198"/>
    </row>
    <row r="79" spans="1:18" s="188" customFormat="1" ht="15.75" customHeight="1">
      <c r="A79" s="643"/>
      <c r="B79" s="644"/>
      <c r="C79" s="203" t="s">
        <v>210</v>
      </c>
      <c r="D79" s="639"/>
      <c r="E79" s="640"/>
      <c r="F79" s="640"/>
      <c r="G79" s="199"/>
      <c r="H79" s="201"/>
      <c r="I79" s="202"/>
      <c r="J79" s="199"/>
      <c r="K79" s="639"/>
      <c r="L79" s="640"/>
      <c r="O79" s="198"/>
      <c r="P79" s="384"/>
      <c r="Q79" s="384"/>
      <c r="R79" s="198"/>
    </row>
    <row r="80" spans="1:18" s="188" customFormat="1" ht="15.75" customHeight="1">
      <c r="A80" s="643"/>
      <c r="B80" s="644"/>
      <c r="C80" s="203" t="s">
        <v>211</v>
      </c>
      <c r="D80" s="639"/>
      <c r="E80" s="640"/>
      <c r="F80" s="640"/>
      <c r="G80" s="199"/>
      <c r="H80" s="201"/>
      <c r="I80" s="202"/>
      <c r="J80" s="199"/>
      <c r="K80" s="639"/>
      <c r="L80" s="640"/>
      <c r="O80" s="198"/>
      <c r="P80" s="384"/>
      <c r="Q80" s="384"/>
      <c r="R80" s="198"/>
    </row>
    <row r="81" spans="1:18" s="188" customFormat="1" ht="15.75" customHeight="1">
      <c r="A81" s="645" t="s">
        <v>827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</row>
    <row r="82" spans="1:18" s="189" customFormat="1" ht="15.75" customHeight="1">
      <c r="A82" s="645"/>
      <c r="B82" s="645"/>
      <c r="C82" s="645"/>
      <c r="D82" s="645"/>
      <c r="E82" s="645"/>
      <c r="F82" s="645"/>
      <c r="G82" s="645"/>
      <c r="H82" s="645"/>
      <c r="I82" s="645"/>
      <c r="J82" s="645"/>
      <c r="K82" s="645"/>
      <c r="L82" s="645"/>
    </row>
    <row r="83" spans="1:18" s="177" customFormat="1" ht="16.350000000000001" customHeight="1">
      <c r="A83" s="643" t="s">
        <v>162</v>
      </c>
      <c r="B83" s="169">
        <v>1</v>
      </c>
      <c r="C83" s="169">
        <v>2</v>
      </c>
      <c r="D83" s="190">
        <v>3</v>
      </c>
      <c r="E83" s="190">
        <v>4</v>
      </c>
      <c r="F83" s="169">
        <v>5</v>
      </c>
      <c r="G83" s="169">
        <v>6</v>
      </c>
      <c r="H83" s="169">
        <v>7</v>
      </c>
      <c r="I83" s="169">
        <v>8</v>
      </c>
      <c r="J83" s="169">
        <v>9</v>
      </c>
      <c r="K83" s="191"/>
      <c r="L83" s="191"/>
      <c r="M83" s="192"/>
    </row>
    <row r="84" spans="1:18" s="188" customFormat="1" ht="16.350000000000001" customHeight="1">
      <c r="A84" s="643"/>
      <c r="B84" s="194" t="s">
        <v>206</v>
      </c>
      <c r="C84" s="194" t="s">
        <v>155</v>
      </c>
      <c r="D84" s="193" t="s">
        <v>207</v>
      </c>
      <c r="E84" s="193" t="s">
        <v>156</v>
      </c>
      <c r="F84" s="194" t="s">
        <v>348</v>
      </c>
      <c r="G84" s="195" t="s">
        <v>136</v>
      </c>
      <c r="H84" s="196" t="s">
        <v>208</v>
      </c>
      <c r="I84" s="195" t="s">
        <v>373</v>
      </c>
      <c r="J84" s="195" t="s">
        <v>142</v>
      </c>
      <c r="K84" s="197"/>
      <c r="L84" s="197"/>
      <c r="M84" s="189"/>
      <c r="N84" s="198"/>
      <c r="O84" s="198"/>
      <c r="P84" s="198"/>
      <c r="Q84" s="198"/>
      <c r="R84" s="198"/>
    </row>
    <row r="85" spans="1:18" s="177" customFormat="1" ht="15.75" customHeight="1">
      <c r="A85" s="644" t="s">
        <v>188</v>
      </c>
      <c r="B85" s="644"/>
      <c r="C85" s="159" t="s">
        <v>47</v>
      </c>
      <c r="D85" s="644" t="s">
        <v>12</v>
      </c>
      <c r="E85" s="646"/>
      <c r="F85" s="646"/>
      <c r="G85" s="159" t="s">
        <v>46</v>
      </c>
      <c r="H85" s="159" t="s">
        <v>374</v>
      </c>
      <c r="I85" s="159" t="s">
        <v>375</v>
      </c>
      <c r="J85" s="159" t="s">
        <v>332</v>
      </c>
      <c r="K85" s="644" t="s">
        <v>51</v>
      </c>
      <c r="L85" s="646"/>
      <c r="M85" s="192"/>
      <c r="N85" s="188"/>
      <c r="O85" s="198"/>
      <c r="P85" s="384"/>
      <c r="Q85" s="384"/>
      <c r="R85" s="198"/>
    </row>
    <row r="86" spans="1:18" s="188" customFormat="1" ht="15.75" customHeight="1">
      <c r="A86" s="643">
        <v>3</v>
      </c>
      <c r="B86" s="644" t="s">
        <v>377</v>
      </c>
      <c r="C86" s="199">
        <v>1</v>
      </c>
      <c r="D86" s="639"/>
      <c r="E86" s="640"/>
      <c r="F86" s="640"/>
      <c r="G86" s="199"/>
      <c r="H86" s="201"/>
      <c r="I86" s="202"/>
      <c r="J86" s="220">
        <f>I86-I60</f>
        <v>-119.01864595032293</v>
      </c>
      <c r="K86" s="639"/>
      <c r="L86" s="640"/>
      <c r="M86" s="189"/>
      <c r="O86" s="198"/>
      <c r="P86" s="384"/>
      <c r="Q86" s="384"/>
      <c r="R86" s="198"/>
    </row>
    <row r="87" spans="1:18" s="188" customFormat="1" ht="15.75" customHeight="1">
      <c r="A87" s="643"/>
      <c r="B87" s="644"/>
      <c r="C87" s="199">
        <v>2</v>
      </c>
      <c r="D87" s="639"/>
      <c r="E87" s="640"/>
      <c r="F87" s="640"/>
      <c r="G87" s="199"/>
      <c r="H87" s="201"/>
      <c r="I87" s="202"/>
      <c r="J87" s="220"/>
      <c r="K87" s="639"/>
      <c r="L87" s="640"/>
      <c r="M87" s="189"/>
      <c r="O87" s="198"/>
      <c r="P87" s="384"/>
      <c r="Q87" s="384"/>
      <c r="R87" s="198"/>
    </row>
    <row r="88" spans="1:18" s="188" customFormat="1" ht="15.75" customHeight="1">
      <c r="A88" s="643"/>
      <c r="B88" s="644"/>
      <c r="C88" s="199">
        <v>3</v>
      </c>
      <c r="D88" s="639"/>
      <c r="E88" s="640"/>
      <c r="F88" s="640"/>
      <c r="G88" s="199"/>
      <c r="H88" s="201"/>
      <c r="I88" s="202"/>
      <c r="J88" s="199"/>
      <c r="K88" s="639"/>
      <c r="L88" s="640"/>
      <c r="M88" s="189"/>
      <c r="O88" s="198"/>
      <c r="P88" s="384"/>
      <c r="Q88" s="384"/>
      <c r="R88" s="198"/>
    </row>
    <row r="89" spans="1:18" s="188" customFormat="1" ht="15.75" customHeight="1">
      <c r="A89" s="643"/>
      <c r="B89" s="644"/>
      <c r="C89" s="199">
        <v>4</v>
      </c>
      <c r="D89" s="639"/>
      <c r="E89" s="640"/>
      <c r="F89" s="640"/>
      <c r="G89" s="199"/>
      <c r="H89" s="201"/>
      <c r="I89" s="202"/>
      <c r="J89" s="199"/>
      <c r="K89" s="639"/>
      <c r="L89" s="640"/>
      <c r="M89" s="189"/>
      <c r="O89" s="198"/>
      <c r="P89" s="384"/>
      <c r="Q89" s="384"/>
      <c r="R89" s="198"/>
    </row>
    <row r="90" spans="1:18" s="188" customFormat="1" ht="15.75" customHeight="1">
      <c r="A90" s="643"/>
      <c r="B90" s="644"/>
      <c r="C90" s="199">
        <v>5</v>
      </c>
      <c r="D90" s="639"/>
      <c r="E90" s="640"/>
      <c r="F90" s="640"/>
      <c r="G90" s="199"/>
      <c r="H90" s="201"/>
      <c r="I90" s="202"/>
      <c r="J90" s="199"/>
      <c r="K90" s="639"/>
      <c r="L90" s="640"/>
      <c r="M90" s="189"/>
      <c r="O90" s="198"/>
      <c r="P90" s="384"/>
      <c r="Q90" s="384"/>
      <c r="R90" s="198"/>
    </row>
    <row r="91" spans="1:18" s="188" customFormat="1" ht="15.75" customHeight="1">
      <c r="A91" s="643"/>
      <c r="B91" s="644"/>
      <c r="C91" s="203" t="s">
        <v>204</v>
      </c>
      <c r="D91" s="639"/>
      <c r="E91" s="640"/>
      <c r="F91" s="640"/>
      <c r="G91" s="199"/>
      <c r="H91" s="201"/>
      <c r="I91" s="202"/>
      <c r="J91" s="199"/>
      <c r="K91" s="639"/>
      <c r="L91" s="640"/>
      <c r="M91" s="189"/>
      <c r="O91" s="198"/>
      <c r="P91" s="384"/>
      <c r="Q91" s="384"/>
      <c r="R91" s="198"/>
    </row>
    <row r="92" spans="1:18" s="188" customFormat="1" ht="15.75" customHeight="1">
      <c r="A92" s="643"/>
      <c r="B92" s="644"/>
      <c r="C92" s="203" t="s">
        <v>209</v>
      </c>
      <c r="D92" s="639"/>
      <c r="E92" s="640"/>
      <c r="F92" s="640"/>
      <c r="G92" s="199"/>
      <c r="H92" s="201"/>
      <c r="I92" s="202"/>
      <c r="J92" s="199"/>
      <c r="K92" s="639"/>
      <c r="L92" s="640"/>
      <c r="M92" s="189"/>
      <c r="N92" s="177"/>
      <c r="O92" s="177"/>
      <c r="P92" s="383"/>
      <c r="Q92" s="383"/>
      <c r="R92" s="177"/>
    </row>
    <row r="93" spans="1:18" s="188" customFormat="1" ht="15.75" customHeight="1">
      <c r="A93" s="643"/>
      <c r="B93" s="644"/>
      <c r="C93" s="203" t="s">
        <v>205</v>
      </c>
      <c r="D93" s="639"/>
      <c r="E93" s="640"/>
      <c r="F93" s="640"/>
      <c r="G93" s="201"/>
      <c r="H93" s="201"/>
      <c r="I93" s="202"/>
      <c r="J93" s="199"/>
      <c r="K93" s="639"/>
      <c r="L93" s="640"/>
      <c r="M93" s="189"/>
      <c r="O93" s="198"/>
      <c r="P93" s="384"/>
      <c r="Q93" s="384"/>
      <c r="R93" s="198"/>
    </row>
    <row r="94" spans="1:18" s="188" customFormat="1" ht="15.75" customHeight="1">
      <c r="A94" s="643"/>
      <c r="B94" s="644"/>
      <c r="C94" s="203" t="s">
        <v>210</v>
      </c>
      <c r="D94" s="639"/>
      <c r="E94" s="640"/>
      <c r="F94" s="640"/>
      <c r="G94" s="199"/>
      <c r="H94" s="201"/>
      <c r="I94" s="202"/>
      <c r="J94" s="199"/>
      <c r="K94" s="639"/>
      <c r="L94" s="640"/>
      <c r="O94" s="198"/>
      <c r="P94" s="384"/>
      <c r="Q94" s="384"/>
      <c r="R94" s="198"/>
    </row>
    <row r="95" spans="1:18" s="188" customFormat="1" ht="15.75" customHeight="1">
      <c r="A95" s="643"/>
      <c r="B95" s="644"/>
      <c r="C95" s="203" t="s">
        <v>211</v>
      </c>
      <c r="D95" s="639"/>
      <c r="E95" s="640"/>
      <c r="F95" s="640"/>
      <c r="G95" s="199"/>
      <c r="H95" s="201"/>
      <c r="I95" s="202"/>
      <c r="J95" s="199"/>
      <c r="K95" s="639"/>
      <c r="L95" s="640"/>
      <c r="O95" s="198"/>
      <c r="P95" s="384"/>
      <c r="Q95" s="384"/>
      <c r="R95" s="198"/>
    </row>
    <row r="96" spans="1:18" s="198" customFormat="1" ht="15.75" customHeight="1">
      <c r="A96" s="641" t="s">
        <v>188</v>
      </c>
      <c r="B96" s="641"/>
      <c r="C96" s="206" t="s">
        <v>47</v>
      </c>
      <c r="D96" s="641" t="s">
        <v>12</v>
      </c>
      <c r="E96" s="642"/>
      <c r="F96" s="642"/>
      <c r="G96" s="206" t="s">
        <v>46</v>
      </c>
      <c r="H96" s="206" t="s">
        <v>374</v>
      </c>
      <c r="I96" s="206" t="s">
        <v>375</v>
      </c>
      <c r="J96" s="159" t="s">
        <v>332</v>
      </c>
      <c r="K96" s="641" t="s">
        <v>50</v>
      </c>
      <c r="L96" s="642"/>
      <c r="M96" s="207"/>
      <c r="N96" s="188"/>
      <c r="P96" s="384"/>
      <c r="Q96" s="384"/>
    </row>
    <row r="97" spans="1:18" s="188" customFormat="1" ht="15.75" customHeight="1">
      <c r="A97" s="643">
        <v>4</v>
      </c>
      <c r="B97" s="644" t="s">
        <v>156</v>
      </c>
      <c r="C97" s="199">
        <v>1</v>
      </c>
      <c r="D97" s="639"/>
      <c r="E97" s="640"/>
      <c r="F97" s="640"/>
      <c r="G97" s="199"/>
      <c r="H97" s="201"/>
      <c r="I97" s="202"/>
      <c r="J97" s="220">
        <f>I97-I71</f>
        <v>-593.56199057382344</v>
      </c>
      <c r="K97" s="639"/>
      <c r="L97" s="640"/>
      <c r="N97" s="198"/>
      <c r="O97" s="198"/>
      <c r="P97" s="384"/>
      <c r="Q97" s="384"/>
      <c r="R97" s="198"/>
    </row>
    <row r="98" spans="1:18" s="188" customFormat="1" ht="15.75" customHeight="1">
      <c r="A98" s="643"/>
      <c r="B98" s="644"/>
      <c r="C98" s="199">
        <v>2</v>
      </c>
      <c r="D98" s="639"/>
      <c r="E98" s="640"/>
      <c r="F98" s="640"/>
      <c r="G98" s="199"/>
      <c r="H98" s="201"/>
      <c r="I98" s="202"/>
      <c r="J98" s="220">
        <f>I98-I72</f>
        <v>-541.33714285714279</v>
      </c>
      <c r="K98" s="639"/>
      <c r="L98" s="640"/>
      <c r="O98" s="198"/>
      <c r="P98" s="384"/>
      <c r="Q98" s="384"/>
      <c r="R98" s="198"/>
    </row>
    <row r="99" spans="1:18" s="188" customFormat="1" ht="15.75" customHeight="1">
      <c r="A99" s="643"/>
      <c r="B99" s="644"/>
      <c r="C99" s="199">
        <v>3</v>
      </c>
      <c r="D99" s="639"/>
      <c r="E99" s="640"/>
      <c r="F99" s="640"/>
      <c r="G99" s="199"/>
      <c r="H99" s="201"/>
      <c r="I99" s="202"/>
      <c r="J99" s="220">
        <f>I99-I73</f>
        <v>-541.19142857142867</v>
      </c>
      <c r="K99" s="639"/>
      <c r="L99" s="640"/>
      <c r="O99" s="198"/>
      <c r="P99" s="384"/>
      <c r="Q99" s="384"/>
      <c r="R99" s="198"/>
    </row>
    <row r="100" spans="1:18" s="188" customFormat="1" ht="15.75" customHeight="1">
      <c r="A100" s="643"/>
      <c r="B100" s="644"/>
      <c r="C100" s="199">
        <v>4</v>
      </c>
      <c r="D100" s="639"/>
      <c r="E100" s="640"/>
      <c r="F100" s="640"/>
      <c r="G100" s="199"/>
      <c r="H100" s="201"/>
      <c r="I100" s="202"/>
      <c r="J100" s="220">
        <f>I100-I74</f>
        <v>-493.60697959869771</v>
      </c>
      <c r="K100" s="639"/>
      <c r="L100" s="640"/>
      <c r="O100" s="198"/>
      <c r="P100" s="384"/>
      <c r="Q100" s="384"/>
      <c r="R100" s="198"/>
    </row>
    <row r="101" spans="1:18" s="188" customFormat="1" ht="15.75" customHeight="1">
      <c r="A101" s="643"/>
      <c r="B101" s="644"/>
      <c r="C101" s="199">
        <v>5</v>
      </c>
      <c r="D101" s="639"/>
      <c r="E101" s="640"/>
      <c r="F101" s="640"/>
      <c r="G101" s="199"/>
      <c r="H101" s="201"/>
      <c r="I101" s="202"/>
      <c r="J101" s="220">
        <f>I101-I75</f>
        <v>-94.698417111874875</v>
      </c>
      <c r="K101" s="639"/>
      <c r="L101" s="640"/>
      <c r="O101" s="198"/>
      <c r="P101" s="384"/>
      <c r="Q101" s="384"/>
      <c r="R101" s="198"/>
    </row>
    <row r="102" spans="1:18" s="188" customFormat="1" ht="15.75" customHeight="1">
      <c r="A102" s="643"/>
      <c r="B102" s="644"/>
      <c r="C102" s="203" t="s">
        <v>204</v>
      </c>
      <c r="D102" s="639"/>
      <c r="E102" s="640"/>
      <c r="F102" s="640"/>
      <c r="G102" s="199"/>
      <c r="H102" s="201"/>
      <c r="I102" s="202"/>
      <c r="J102" s="199"/>
      <c r="K102" s="639"/>
      <c r="L102" s="640"/>
      <c r="O102" s="198"/>
      <c r="P102" s="384"/>
      <c r="Q102" s="384"/>
      <c r="R102" s="198"/>
    </row>
    <row r="103" spans="1:18" s="188" customFormat="1" ht="15.75" customHeight="1">
      <c r="A103" s="643"/>
      <c r="B103" s="644"/>
      <c r="C103" s="203" t="s">
        <v>209</v>
      </c>
      <c r="D103" s="639"/>
      <c r="E103" s="640"/>
      <c r="F103" s="640"/>
      <c r="G103" s="199"/>
      <c r="H103" s="201"/>
      <c r="I103" s="202"/>
      <c r="J103" s="199"/>
      <c r="K103" s="639"/>
      <c r="L103" s="640"/>
      <c r="O103" s="198"/>
      <c r="P103" s="384"/>
      <c r="Q103" s="384"/>
      <c r="R103" s="198"/>
    </row>
    <row r="104" spans="1:18" s="188" customFormat="1" ht="15.75" customHeight="1">
      <c r="A104" s="643"/>
      <c r="B104" s="644"/>
      <c r="C104" s="203" t="s">
        <v>205</v>
      </c>
      <c r="D104" s="639"/>
      <c r="E104" s="640"/>
      <c r="F104" s="640"/>
      <c r="G104" s="199"/>
      <c r="H104" s="201"/>
      <c r="I104" s="202"/>
      <c r="J104" s="199"/>
      <c r="K104" s="639"/>
      <c r="L104" s="640"/>
      <c r="O104" s="198"/>
      <c r="P104" s="384"/>
      <c r="Q104" s="384"/>
      <c r="R104" s="198"/>
    </row>
    <row r="105" spans="1:18" s="188" customFormat="1" ht="15.75" customHeight="1">
      <c r="A105" s="643"/>
      <c r="B105" s="644"/>
      <c r="C105" s="203" t="s">
        <v>210</v>
      </c>
      <c r="D105" s="639"/>
      <c r="E105" s="640"/>
      <c r="F105" s="640"/>
      <c r="G105" s="199"/>
      <c r="H105" s="201"/>
      <c r="I105" s="202"/>
      <c r="J105" s="199"/>
      <c r="K105" s="639"/>
      <c r="L105" s="640"/>
      <c r="O105" s="198"/>
      <c r="P105" s="384"/>
      <c r="Q105" s="384"/>
      <c r="R105" s="198"/>
    </row>
    <row r="106" spans="1:18" s="188" customFormat="1" ht="15.75" customHeight="1">
      <c r="A106" s="643"/>
      <c r="B106" s="644"/>
      <c r="C106" s="203" t="s">
        <v>211</v>
      </c>
      <c r="D106" s="639"/>
      <c r="E106" s="640"/>
      <c r="F106" s="640"/>
      <c r="G106" s="199"/>
      <c r="H106" s="201"/>
      <c r="I106" s="202"/>
      <c r="J106" s="199"/>
      <c r="K106" s="639"/>
      <c r="L106" s="640"/>
      <c r="O106" s="198"/>
      <c r="P106" s="384"/>
      <c r="Q106" s="384"/>
      <c r="R106" s="198"/>
    </row>
  </sheetData>
  <mergeCells count="209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27:F27"/>
    <mergeCell ref="K27:L27"/>
    <mergeCell ref="D28:F28"/>
    <mergeCell ref="K28:L28"/>
    <mergeCell ref="K16:L16"/>
    <mergeCell ref="D17:F17"/>
    <mergeCell ref="K17:L17"/>
    <mergeCell ref="D51:F51"/>
    <mergeCell ref="K51:L51"/>
    <mergeCell ref="D52:F52"/>
    <mergeCell ref="K52:L52"/>
    <mergeCell ref="D53:F53"/>
    <mergeCell ref="K53:L53"/>
    <mergeCell ref="D54:F54"/>
    <mergeCell ref="K54:L5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A1:L2"/>
    <mergeCell ref="K40:L40"/>
    <mergeCell ref="D41:F41"/>
    <mergeCell ref="K41:L41"/>
    <mergeCell ref="D42:F4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A97:A106"/>
    <mergeCell ref="K105:L105"/>
    <mergeCell ref="D105:F105"/>
    <mergeCell ref="K104:L104"/>
    <mergeCell ref="D104:F104"/>
    <mergeCell ref="K103:L103"/>
    <mergeCell ref="D103:F103"/>
    <mergeCell ref="K102:L102"/>
    <mergeCell ref="D102:F102"/>
    <mergeCell ref="K101:L101"/>
    <mergeCell ref="D101:F101"/>
    <mergeCell ref="K100:L100"/>
    <mergeCell ref="D100:F100"/>
    <mergeCell ref="K99:L99"/>
    <mergeCell ref="D99:F99"/>
    <mergeCell ref="K98:L98"/>
    <mergeCell ref="D98:F98"/>
    <mergeCell ref="K97:L97"/>
    <mergeCell ref="D97:F97"/>
    <mergeCell ref="D89:F89"/>
    <mergeCell ref="K88:L88"/>
    <mergeCell ref="D88:F88"/>
    <mergeCell ref="K87:L87"/>
    <mergeCell ref="D87:F87"/>
    <mergeCell ref="K86:L86"/>
    <mergeCell ref="K106:L106"/>
    <mergeCell ref="D106:F106"/>
    <mergeCell ref="B97:B106"/>
    <mergeCell ref="D86:F86"/>
    <mergeCell ref="K85:L85"/>
    <mergeCell ref="D85:F85"/>
    <mergeCell ref="A85:B85"/>
    <mergeCell ref="A83:A84"/>
    <mergeCell ref="A81:L82"/>
    <mergeCell ref="K96:L96"/>
    <mergeCell ref="D96:F96"/>
    <mergeCell ref="A96:B96"/>
    <mergeCell ref="K95:L95"/>
    <mergeCell ref="D95:F95"/>
    <mergeCell ref="B86:B95"/>
    <mergeCell ref="A86:A95"/>
    <mergeCell ref="K94:L94"/>
    <mergeCell ref="D94:F94"/>
    <mergeCell ref="K93:L93"/>
    <mergeCell ref="D93:F93"/>
    <mergeCell ref="K92:L92"/>
    <mergeCell ref="D92:F92"/>
    <mergeCell ref="K91:L91"/>
    <mergeCell ref="D91:F91"/>
    <mergeCell ref="K90:L90"/>
    <mergeCell ref="D90:F90"/>
    <mergeCell ref="K89:L8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S106"/>
  <sheetViews>
    <sheetView view="pageBreakPreview" topLeftCell="A35" zoomScaleNormal="60" zoomScaleSheetLayoutView="100" workbookViewId="0">
      <selection activeCell="J69" sqref="J69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36" t="s">
        <v>372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98"/>
    </row>
    <row r="2" spans="1:18" s="99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N2" s="189"/>
      <c r="O2" s="189"/>
      <c r="P2" s="189"/>
      <c r="Q2" s="189"/>
      <c r="R2" s="189"/>
    </row>
    <row r="3" spans="1:18" s="188" customFormat="1" ht="15.75" customHeight="1">
      <c r="A3" s="645" t="s">
        <v>670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</row>
    <row r="4" spans="1:18" s="189" customFormat="1" ht="15.75" customHeight="1">
      <c r="A4" s="645"/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</row>
    <row r="5" spans="1:18" s="105" customFormat="1" ht="16.350000000000001" customHeight="1">
      <c r="A5" s="643" t="s">
        <v>162</v>
      </c>
      <c r="B5" s="169">
        <v>1</v>
      </c>
      <c r="C5" s="169">
        <v>2</v>
      </c>
      <c r="D5" s="169">
        <v>3</v>
      </c>
      <c r="E5" s="169">
        <v>4</v>
      </c>
      <c r="F5" s="190">
        <v>5</v>
      </c>
      <c r="G5" s="190">
        <v>6</v>
      </c>
      <c r="H5" s="169">
        <v>7</v>
      </c>
      <c r="I5" s="169">
        <v>8</v>
      </c>
      <c r="J5" s="169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50000000000001" customHeight="1">
      <c r="A6" s="643"/>
      <c r="B6" s="194" t="s">
        <v>206</v>
      </c>
      <c r="C6" s="194" t="s">
        <v>155</v>
      </c>
      <c r="D6" s="194" t="s">
        <v>207</v>
      </c>
      <c r="E6" s="194" t="s">
        <v>156</v>
      </c>
      <c r="F6" s="193" t="s">
        <v>348</v>
      </c>
      <c r="G6" s="208" t="s">
        <v>136</v>
      </c>
      <c r="H6" s="196" t="s">
        <v>208</v>
      </c>
      <c r="I6" s="195" t="s">
        <v>373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644" t="s">
        <v>188</v>
      </c>
      <c r="B7" s="644"/>
      <c r="C7" s="159" t="s">
        <v>47</v>
      </c>
      <c r="D7" s="644" t="s">
        <v>12</v>
      </c>
      <c r="E7" s="646"/>
      <c r="F7" s="646"/>
      <c r="G7" s="159" t="s">
        <v>46</v>
      </c>
      <c r="H7" s="159" t="s">
        <v>374</v>
      </c>
      <c r="I7" s="159" t="s">
        <v>375</v>
      </c>
      <c r="J7" s="159" t="s">
        <v>332</v>
      </c>
      <c r="K7" s="644" t="s">
        <v>51</v>
      </c>
      <c r="L7" s="646"/>
      <c r="M7" s="126"/>
      <c r="N7" s="188"/>
      <c r="O7" s="385"/>
      <c r="P7" s="384"/>
      <c r="Q7" s="384"/>
      <c r="R7" s="198"/>
    </row>
    <row r="8" spans="1:18" ht="15.75" customHeight="1">
      <c r="A8" s="643">
        <v>5</v>
      </c>
      <c r="B8" s="644" t="s">
        <v>348</v>
      </c>
      <c r="C8" s="199">
        <v>1</v>
      </c>
      <c r="D8" s="639" t="s">
        <v>566</v>
      </c>
      <c r="E8" s="640"/>
      <c r="F8" s="640"/>
      <c r="G8" s="199">
        <v>17.142857142857142</v>
      </c>
      <c r="H8" s="201">
        <v>1789.6285714285714</v>
      </c>
      <c r="I8" s="202">
        <v>104.43781512605041</v>
      </c>
      <c r="J8" s="351">
        <v>5.1028944911297884</v>
      </c>
      <c r="K8" s="647" t="s">
        <v>767</v>
      </c>
      <c r="L8" s="640"/>
      <c r="O8" s="385"/>
      <c r="P8" s="384"/>
      <c r="Q8" s="384"/>
      <c r="R8" s="198"/>
    </row>
    <row r="9" spans="1:18" ht="15.75" customHeight="1">
      <c r="A9" s="643"/>
      <c r="B9" s="644"/>
      <c r="C9" s="199">
        <v>2</v>
      </c>
      <c r="D9" s="639" t="s">
        <v>649</v>
      </c>
      <c r="E9" s="640"/>
      <c r="F9" s="640"/>
      <c r="G9" s="199">
        <v>18</v>
      </c>
      <c r="H9" s="201">
        <v>1789.8279990381252</v>
      </c>
      <c r="I9" s="202">
        <v>99.434888835451403</v>
      </c>
      <c r="J9" s="351"/>
      <c r="K9" s="639" t="s">
        <v>427</v>
      </c>
      <c r="L9" s="640"/>
      <c r="O9" s="385"/>
      <c r="P9" s="384"/>
      <c r="Q9" s="384"/>
      <c r="R9" s="198"/>
    </row>
    <row r="10" spans="1:18" ht="15.75" customHeight="1">
      <c r="A10" s="643"/>
      <c r="B10" s="644"/>
      <c r="C10" s="199">
        <v>3</v>
      </c>
      <c r="D10" s="639" t="s">
        <v>473</v>
      </c>
      <c r="E10" s="640"/>
      <c r="F10" s="640"/>
      <c r="G10" s="199">
        <v>19.142857142857142</v>
      </c>
      <c r="H10" s="201">
        <v>1789.247873556604</v>
      </c>
      <c r="I10" s="202">
        <v>93.499162067935472</v>
      </c>
      <c r="J10" s="351">
        <v>4.1015735362754526</v>
      </c>
      <c r="K10" s="647" t="s">
        <v>767</v>
      </c>
      <c r="L10" s="640"/>
      <c r="O10" s="385"/>
      <c r="P10" s="384"/>
      <c r="Q10" s="384"/>
      <c r="R10" s="198"/>
    </row>
    <row r="11" spans="1:18" ht="15.75" customHeight="1">
      <c r="A11" s="643"/>
      <c r="B11" s="644"/>
      <c r="C11" s="199">
        <v>4</v>
      </c>
      <c r="D11" s="639" t="s">
        <v>664</v>
      </c>
      <c r="E11" s="640"/>
      <c r="F11" s="640"/>
      <c r="G11" s="199">
        <v>20</v>
      </c>
      <c r="H11" s="201">
        <v>1790</v>
      </c>
      <c r="I11" s="202">
        <v>89.5</v>
      </c>
      <c r="J11" s="351">
        <v>2.178148621552495</v>
      </c>
      <c r="K11" s="639" t="s">
        <v>427</v>
      </c>
      <c r="L11" s="640"/>
      <c r="O11" s="385"/>
      <c r="P11" s="384"/>
      <c r="Q11" s="384"/>
      <c r="R11" s="198"/>
    </row>
    <row r="12" spans="1:18" ht="15.75" customHeight="1">
      <c r="A12" s="643"/>
      <c r="B12" s="644"/>
      <c r="C12" s="199">
        <v>5</v>
      </c>
      <c r="D12" s="639" t="s">
        <v>343</v>
      </c>
      <c r="E12" s="640"/>
      <c r="F12" s="640"/>
      <c r="G12" s="199">
        <v>23</v>
      </c>
      <c r="H12" s="201">
        <v>1793.8989699859656</v>
      </c>
      <c r="I12" s="202">
        <v>77.995607390694175</v>
      </c>
      <c r="J12" s="351">
        <v>1.3506362915578052E-2</v>
      </c>
      <c r="K12" s="639" t="s">
        <v>427</v>
      </c>
      <c r="L12" s="640"/>
      <c r="O12" s="385"/>
      <c r="P12" s="384"/>
      <c r="Q12" s="384"/>
      <c r="R12" s="198"/>
    </row>
    <row r="13" spans="1:18" ht="15.75" customHeight="1">
      <c r="A13" s="643"/>
      <c r="B13" s="644"/>
      <c r="C13" s="203" t="s">
        <v>204</v>
      </c>
      <c r="D13" s="639" t="s">
        <v>342</v>
      </c>
      <c r="E13" s="640"/>
      <c r="F13" s="640"/>
      <c r="G13" s="199">
        <v>24</v>
      </c>
      <c r="H13" s="201">
        <v>1791.7403014463873</v>
      </c>
      <c r="I13" s="202">
        <v>74.655845893599462</v>
      </c>
      <c r="J13" s="351">
        <v>0.32706467101320413</v>
      </c>
      <c r="K13" s="639" t="s">
        <v>427</v>
      </c>
      <c r="L13" s="640"/>
      <c r="O13" s="198"/>
      <c r="P13" s="384"/>
      <c r="Q13" s="384"/>
      <c r="R13" s="198"/>
    </row>
    <row r="14" spans="1:18" ht="15.75" customHeight="1">
      <c r="A14" s="643"/>
      <c r="B14" s="644"/>
      <c r="C14" s="203" t="s">
        <v>209</v>
      </c>
      <c r="D14" s="639" t="s">
        <v>472</v>
      </c>
      <c r="E14" s="640"/>
      <c r="F14" s="640"/>
      <c r="G14" s="199">
        <v>21</v>
      </c>
      <c r="H14" s="201">
        <v>1607.9855331561539</v>
      </c>
      <c r="I14" s="202">
        <v>76.570739674102569</v>
      </c>
      <c r="J14" s="351">
        <v>-4.2857142857101849E-2</v>
      </c>
      <c r="K14" s="639" t="s">
        <v>427</v>
      </c>
      <c r="L14" s="640"/>
      <c r="O14" s="385"/>
      <c r="P14" s="384"/>
      <c r="Q14" s="384"/>
      <c r="R14" s="198"/>
    </row>
    <row r="15" spans="1:18" ht="15.75" customHeight="1">
      <c r="A15" s="643"/>
      <c r="B15" s="644"/>
      <c r="C15" s="203" t="s">
        <v>205</v>
      </c>
      <c r="D15" s="639" t="s">
        <v>341</v>
      </c>
      <c r="E15" s="640"/>
      <c r="F15" s="640"/>
      <c r="G15" s="201">
        <v>23</v>
      </c>
      <c r="H15" s="201">
        <v>1790.0145229523434</v>
      </c>
      <c r="I15" s="202">
        <v>77.826718389232312</v>
      </c>
      <c r="J15" s="351">
        <v>-3.2298136645962927E-2</v>
      </c>
      <c r="K15" s="639" t="s">
        <v>427</v>
      </c>
      <c r="L15" s="640"/>
      <c r="N15" s="177"/>
      <c r="O15" s="386"/>
      <c r="P15" s="383"/>
      <c r="Q15" s="383"/>
      <c r="R15" s="177"/>
    </row>
    <row r="16" spans="1:18" ht="15.75" customHeight="1">
      <c r="A16" s="643"/>
      <c r="B16" s="644"/>
      <c r="C16" s="203" t="s">
        <v>210</v>
      </c>
      <c r="D16" s="639" t="s">
        <v>349</v>
      </c>
      <c r="E16" s="640"/>
      <c r="F16" s="640"/>
      <c r="G16" s="201">
        <v>23</v>
      </c>
      <c r="H16" s="201">
        <v>1790.3607611406537</v>
      </c>
      <c r="I16" s="202">
        <v>77.841772223506695</v>
      </c>
      <c r="J16" s="351">
        <v>-4.3478260869605379E-2</v>
      </c>
      <c r="K16" s="639" t="s">
        <v>427</v>
      </c>
      <c r="L16" s="640"/>
      <c r="M16" s="98"/>
      <c r="O16" s="385"/>
      <c r="P16" s="384"/>
      <c r="Q16" s="384"/>
      <c r="R16" s="198"/>
    </row>
    <row r="17" spans="1:18" ht="15.75" customHeight="1">
      <c r="A17" s="643"/>
      <c r="B17" s="644"/>
      <c r="C17" s="203" t="s">
        <v>211</v>
      </c>
      <c r="D17" s="639"/>
      <c r="E17" s="640"/>
      <c r="F17" s="640"/>
      <c r="G17" s="201"/>
      <c r="H17" s="201"/>
      <c r="I17" s="202"/>
      <c r="J17" s="199"/>
      <c r="K17" s="639"/>
      <c r="L17" s="640"/>
      <c r="M17" s="98"/>
      <c r="O17" s="385"/>
      <c r="P17" s="384"/>
      <c r="Q17" s="384"/>
      <c r="R17" s="198"/>
    </row>
    <row r="18" spans="1:18" s="103" customFormat="1" ht="15.75" customHeight="1">
      <c r="A18" s="641" t="s">
        <v>188</v>
      </c>
      <c r="B18" s="641"/>
      <c r="C18" s="206" t="s">
        <v>47</v>
      </c>
      <c r="D18" s="641" t="s">
        <v>12</v>
      </c>
      <c r="E18" s="642"/>
      <c r="F18" s="642"/>
      <c r="G18" s="206" t="s">
        <v>46</v>
      </c>
      <c r="H18" s="206" t="s">
        <v>374</v>
      </c>
      <c r="I18" s="206" t="s">
        <v>375</v>
      </c>
      <c r="J18" s="159" t="s">
        <v>332</v>
      </c>
      <c r="K18" s="641" t="s">
        <v>51</v>
      </c>
      <c r="L18" s="642"/>
      <c r="M18" s="127"/>
      <c r="N18" s="188"/>
      <c r="O18" s="385"/>
      <c r="P18" s="384"/>
      <c r="Q18" s="384"/>
      <c r="R18" s="198"/>
    </row>
    <row r="19" spans="1:18" ht="15.75" customHeight="1">
      <c r="A19" s="643">
        <v>6</v>
      </c>
      <c r="B19" s="644" t="s">
        <v>136</v>
      </c>
      <c r="C19" s="199">
        <v>1</v>
      </c>
      <c r="D19" s="639" t="s">
        <v>580</v>
      </c>
      <c r="E19" s="640"/>
      <c r="F19" s="640"/>
      <c r="G19" s="199">
        <v>20</v>
      </c>
      <c r="H19" s="201">
        <v>1791.5170144394017</v>
      </c>
      <c r="I19" s="202">
        <v>89.57585072197007</v>
      </c>
      <c r="J19" s="351">
        <v>-3.1428571428548935E-2</v>
      </c>
      <c r="K19" s="639" t="s">
        <v>427</v>
      </c>
      <c r="L19" s="640"/>
      <c r="M19" s="98"/>
      <c r="N19" s="198"/>
      <c r="O19" s="198"/>
      <c r="P19" s="384"/>
      <c r="Q19" s="384"/>
      <c r="R19" s="198"/>
    </row>
    <row r="20" spans="1:18" ht="15.75" customHeight="1">
      <c r="A20" s="643"/>
      <c r="B20" s="644"/>
      <c r="C20" s="199">
        <v>2</v>
      </c>
      <c r="D20" s="639" t="s">
        <v>437</v>
      </c>
      <c r="E20" s="640"/>
      <c r="F20" s="640"/>
      <c r="G20" s="201">
        <v>20</v>
      </c>
      <c r="H20" s="201">
        <v>1787.2952118528442</v>
      </c>
      <c r="I20" s="202">
        <v>89.364760592642227</v>
      </c>
      <c r="J20" s="351">
        <v>-2.3601977567281551E-2</v>
      </c>
      <c r="K20" s="639" t="s">
        <v>427</v>
      </c>
      <c r="L20" s="640"/>
      <c r="M20" s="98"/>
      <c r="O20" s="198"/>
      <c r="P20" s="384"/>
      <c r="Q20" s="384"/>
      <c r="R20" s="198"/>
    </row>
    <row r="21" spans="1:18" ht="15.75" customHeight="1">
      <c r="A21" s="643"/>
      <c r="B21" s="644"/>
      <c r="C21" s="199">
        <v>3</v>
      </c>
      <c r="D21" s="639" t="s">
        <v>435</v>
      </c>
      <c r="E21" s="640"/>
      <c r="F21" s="640"/>
      <c r="G21" s="201">
        <v>22</v>
      </c>
      <c r="H21" s="201">
        <v>1788.3167970196664</v>
      </c>
      <c r="I21" s="202">
        <v>81.287127137257571</v>
      </c>
      <c r="J21" s="351">
        <v>5.6590013053082089E-2</v>
      </c>
      <c r="K21" s="639" t="s">
        <v>427</v>
      </c>
      <c r="L21" s="640"/>
      <c r="M21" s="98"/>
      <c r="O21" s="198"/>
      <c r="P21" s="384"/>
      <c r="Q21" s="384"/>
      <c r="R21" s="198"/>
    </row>
    <row r="22" spans="1:18" ht="15.75" customHeight="1">
      <c r="A22" s="643"/>
      <c r="B22" s="644"/>
      <c r="C22" s="199">
        <v>4</v>
      </c>
      <c r="D22" s="639" t="s">
        <v>433</v>
      </c>
      <c r="E22" s="640"/>
      <c r="F22" s="640"/>
      <c r="G22" s="199">
        <v>23</v>
      </c>
      <c r="H22" s="201">
        <v>1795.6290322028235</v>
      </c>
      <c r="I22" s="202">
        <v>78.070827487079285</v>
      </c>
      <c r="J22" s="351">
        <v>-9.2968631972141225E-2</v>
      </c>
      <c r="K22" s="639" t="s">
        <v>427</v>
      </c>
      <c r="L22" s="640"/>
      <c r="M22" s="98"/>
      <c r="O22" s="198"/>
      <c r="P22" s="384"/>
      <c r="Q22" s="384"/>
      <c r="R22" s="198"/>
    </row>
    <row r="23" spans="1:18" ht="15.75" customHeight="1">
      <c r="A23" s="643"/>
      <c r="B23" s="644"/>
      <c r="C23" s="199">
        <v>5</v>
      </c>
      <c r="D23" s="639" t="s">
        <v>350</v>
      </c>
      <c r="E23" s="640"/>
      <c r="F23" s="640"/>
      <c r="G23" s="201">
        <v>23</v>
      </c>
      <c r="H23" s="201">
        <v>1794.9906582798924</v>
      </c>
      <c r="I23" s="202">
        <v>78.043072099125752</v>
      </c>
      <c r="J23" s="351">
        <v>4.9689440993603284E-3</v>
      </c>
      <c r="K23" s="639" t="s">
        <v>427</v>
      </c>
      <c r="L23" s="640"/>
      <c r="M23" s="98"/>
      <c r="O23" s="198"/>
      <c r="P23" s="384"/>
      <c r="Q23" s="384"/>
      <c r="R23" s="198"/>
    </row>
    <row r="24" spans="1:18" ht="15.75" customHeight="1">
      <c r="A24" s="643"/>
      <c r="B24" s="644"/>
      <c r="C24" s="203" t="s">
        <v>204</v>
      </c>
      <c r="D24" s="639" t="s">
        <v>508</v>
      </c>
      <c r="E24" s="640"/>
      <c r="F24" s="640"/>
      <c r="G24" s="199">
        <v>25</v>
      </c>
      <c r="H24" s="201">
        <v>1788.1971759908881</v>
      </c>
      <c r="I24" s="202">
        <v>71.52788703963553</v>
      </c>
      <c r="J24" s="351">
        <v>5.4494503816187034E-3</v>
      </c>
      <c r="K24" s="639" t="s">
        <v>427</v>
      </c>
      <c r="L24" s="640"/>
      <c r="M24" s="98"/>
      <c r="O24" s="198"/>
      <c r="P24" s="384"/>
      <c r="Q24" s="384"/>
      <c r="R24" s="198"/>
    </row>
    <row r="25" spans="1:18" ht="15.75" customHeight="1">
      <c r="A25" s="643"/>
      <c r="B25" s="644"/>
      <c r="C25" s="203" t="s">
        <v>209</v>
      </c>
      <c r="D25" s="639" t="s">
        <v>710</v>
      </c>
      <c r="E25" s="640"/>
      <c r="F25" s="640"/>
      <c r="G25" s="199">
        <v>24</v>
      </c>
      <c r="H25" s="201">
        <v>1729.233504034891</v>
      </c>
      <c r="I25" s="202">
        <v>72.051396001453796</v>
      </c>
      <c r="J25" s="351"/>
      <c r="K25" s="639" t="s">
        <v>584</v>
      </c>
      <c r="L25" s="640"/>
      <c r="M25" s="98"/>
      <c r="O25" s="198"/>
      <c r="P25" s="384"/>
      <c r="Q25" s="384"/>
      <c r="R25" s="198"/>
    </row>
    <row r="26" spans="1:18" ht="15.75" customHeight="1">
      <c r="A26" s="643"/>
      <c r="B26" s="644"/>
      <c r="C26" s="203" t="s">
        <v>205</v>
      </c>
      <c r="D26" s="639" t="s">
        <v>351</v>
      </c>
      <c r="E26" s="640"/>
      <c r="F26" s="640"/>
      <c r="G26" s="199">
        <v>24</v>
      </c>
      <c r="H26" s="201">
        <v>1796.9259582202544</v>
      </c>
      <c r="I26" s="202">
        <v>74.871914925843953</v>
      </c>
      <c r="J26" s="351">
        <v>-1.9047619047569242E-2</v>
      </c>
      <c r="K26" s="639" t="s">
        <v>427</v>
      </c>
      <c r="L26" s="640"/>
      <c r="M26" s="98"/>
      <c r="O26" s="198"/>
      <c r="P26" s="384"/>
      <c r="Q26" s="384"/>
      <c r="R26" s="198"/>
    </row>
    <row r="27" spans="1:18" ht="15.75" customHeight="1">
      <c r="A27" s="643"/>
      <c r="B27" s="644"/>
      <c r="C27" s="203" t="s">
        <v>210</v>
      </c>
      <c r="D27" s="639" t="s">
        <v>352</v>
      </c>
      <c r="E27" s="640"/>
      <c r="F27" s="640"/>
      <c r="G27" s="199">
        <v>23</v>
      </c>
      <c r="H27" s="201">
        <v>1787.2314929140468</v>
      </c>
      <c r="I27" s="202">
        <v>77.705717083219426</v>
      </c>
      <c r="J27" s="351">
        <v>-4.5679272417444849E-2</v>
      </c>
      <c r="K27" s="639" t="s">
        <v>427</v>
      </c>
      <c r="L27" s="640"/>
      <c r="M27" s="98"/>
      <c r="O27" s="198"/>
      <c r="P27" s="384"/>
      <c r="Q27" s="384"/>
      <c r="R27" s="198"/>
    </row>
    <row r="28" spans="1:18" ht="15.75" customHeight="1">
      <c r="A28" s="643"/>
      <c r="B28" s="644"/>
      <c r="C28" s="203" t="s">
        <v>211</v>
      </c>
      <c r="D28" s="639" t="s">
        <v>353</v>
      </c>
      <c r="E28" s="640"/>
      <c r="F28" s="640"/>
      <c r="G28" s="199">
        <v>23</v>
      </c>
      <c r="H28" s="201">
        <v>1791.0903867752415</v>
      </c>
      <c r="I28" s="202">
        <v>77.873495077184415</v>
      </c>
      <c r="J28" s="351">
        <v>-1.490683229815204E-2</v>
      </c>
      <c r="K28" s="639" t="s">
        <v>427</v>
      </c>
      <c r="L28" s="640"/>
      <c r="M28" s="98"/>
      <c r="O28" s="198"/>
      <c r="P28" s="384"/>
      <c r="Q28" s="384"/>
      <c r="R28" s="198"/>
    </row>
    <row r="29" spans="1:18" s="188" customFormat="1" ht="15.75" customHeight="1">
      <c r="A29" s="645" t="s">
        <v>766</v>
      </c>
      <c r="B29" s="645"/>
      <c r="C29" s="645"/>
      <c r="D29" s="645"/>
      <c r="E29" s="645"/>
      <c r="F29" s="645"/>
      <c r="G29" s="645"/>
      <c r="H29" s="645"/>
      <c r="I29" s="645"/>
      <c r="J29" s="645"/>
      <c r="K29" s="645"/>
      <c r="L29" s="645"/>
    </row>
    <row r="30" spans="1:18" s="189" customFormat="1" ht="15.75" customHeight="1">
      <c r="A30" s="645"/>
      <c r="B30" s="645"/>
      <c r="C30" s="645"/>
      <c r="D30" s="645"/>
      <c r="E30" s="645"/>
      <c r="F30" s="645"/>
      <c r="G30" s="645"/>
      <c r="H30" s="645"/>
      <c r="I30" s="645"/>
      <c r="J30" s="645"/>
      <c r="K30" s="645"/>
      <c r="L30" s="645"/>
    </row>
    <row r="31" spans="1:18" s="105" customFormat="1" ht="16.350000000000001" customHeight="1">
      <c r="A31" s="643" t="s">
        <v>162</v>
      </c>
      <c r="B31" s="169">
        <v>1</v>
      </c>
      <c r="C31" s="169">
        <v>2</v>
      </c>
      <c r="D31" s="169">
        <v>3</v>
      </c>
      <c r="E31" s="169">
        <v>4</v>
      </c>
      <c r="F31" s="190">
        <v>5</v>
      </c>
      <c r="G31" s="190">
        <v>6</v>
      </c>
      <c r="H31" s="169">
        <v>7</v>
      </c>
      <c r="I31" s="169">
        <v>8</v>
      </c>
      <c r="J31" s="169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50000000000001" customHeight="1">
      <c r="A32" s="643"/>
      <c r="B32" s="194" t="s">
        <v>206</v>
      </c>
      <c r="C32" s="194" t="s">
        <v>155</v>
      </c>
      <c r="D32" s="194" t="s">
        <v>207</v>
      </c>
      <c r="E32" s="194" t="s">
        <v>156</v>
      </c>
      <c r="F32" s="193" t="s">
        <v>348</v>
      </c>
      <c r="G32" s="208" t="s">
        <v>136</v>
      </c>
      <c r="H32" s="196" t="s">
        <v>208</v>
      </c>
      <c r="I32" s="195" t="s">
        <v>373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644" t="s">
        <v>188</v>
      </c>
      <c r="B33" s="644"/>
      <c r="C33" s="159" t="s">
        <v>47</v>
      </c>
      <c r="D33" s="644" t="s">
        <v>12</v>
      </c>
      <c r="E33" s="646"/>
      <c r="F33" s="646"/>
      <c r="G33" s="159" t="s">
        <v>46</v>
      </c>
      <c r="H33" s="159" t="s">
        <v>374</v>
      </c>
      <c r="I33" s="159" t="s">
        <v>375</v>
      </c>
      <c r="J33" s="159" t="s">
        <v>332</v>
      </c>
      <c r="K33" s="644" t="s">
        <v>51</v>
      </c>
      <c r="L33" s="646"/>
      <c r="M33" s="126"/>
      <c r="N33" s="188"/>
      <c r="O33" s="385"/>
      <c r="P33" s="384"/>
      <c r="Q33" s="384"/>
      <c r="R33" s="198"/>
    </row>
    <row r="34" spans="1:18" ht="15.75" customHeight="1">
      <c r="A34" s="643">
        <v>5</v>
      </c>
      <c r="B34" s="644" t="s">
        <v>348</v>
      </c>
      <c r="C34" s="199">
        <v>1</v>
      </c>
      <c r="D34" s="639" t="s">
        <v>566</v>
      </c>
      <c r="E34" s="640"/>
      <c r="F34" s="640"/>
      <c r="G34" s="201">
        <v>17</v>
      </c>
      <c r="H34" s="201">
        <v>1790</v>
      </c>
      <c r="I34" s="202">
        <v>105.29411764705881</v>
      </c>
      <c r="J34" s="351">
        <f>I34-I8</f>
        <v>0.8563025210084021</v>
      </c>
      <c r="K34" s="639" t="s">
        <v>427</v>
      </c>
      <c r="L34" s="640"/>
      <c r="O34" s="385"/>
      <c r="P34" s="384"/>
      <c r="Q34" s="384"/>
      <c r="R34" s="198"/>
    </row>
    <row r="35" spans="1:18" ht="15.75" customHeight="1">
      <c r="A35" s="643"/>
      <c r="B35" s="644"/>
      <c r="C35" s="199">
        <v>2</v>
      </c>
      <c r="D35" s="639" t="s">
        <v>649</v>
      </c>
      <c r="E35" s="640"/>
      <c r="F35" s="640"/>
      <c r="G35" s="201">
        <v>18</v>
      </c>
      <c r="H35" s="201">
        <v>1789.5994276095537</v>
      </c>
      <c r="I35" s="202">
        <v>99.42219042275299</v>
      </c>
      <c r="J35" s="351">
        <f>I35-I9</f>
        <v>-1.2698412698412653E-2</v>
      </c>
      <c r="K35" s="639" t="s">
        <v>427</v>
      </c>
      <c r="L35" s="640"/>
      <c r="O35" s="385"/>
      <c r="P35" s="384"/>
      <c r="Q35" s="384"/>
      <c r="R35" s="198"/>
    </row>
    <row r="36" spans="1:18" ht="15.75" customHeight="1">
      <c r="A36" s="643"/>
      <c r="B36" s="644"/>
      <c r="C36" s="199">
        <v>3</v>
      </c>
      <c r="D36" s="639" t="s">
        <v>473</v>
      </c>
      <c r="E36" s="640"/>
      <c r="F36" s="640"/>
      <c r="G36" s="201">
        <v>19</v>
      </c>
      <c r="H36" s="201">
        <v>1790</v>
      </c>
      <c r="I36" s="202">
        <v>94.21052631578948</v>
      </c>
      <c r="J36" s="351">
        <f>I36-I10</f>
        <v>0.7113642478540072</v>
      </c>
      <c r="K36" s="639" t="s">
        <v>427</v>
      </c>
      <c r="L36" s="640"/>
      <c r="O36" s="385"/>
      <c r="P36" s="384"/>
      <c r="Q36" s="384"/>
      <c r="R36" s="198"/>
    </row>
    <row r="37" spans="1:18" ht="15.75" customHeight="1">
      <c r="A37" s="643"/>
      <c r="B37" s="644"/>
      <c r="C37" s="199">
        <v>4</v>
      </c>
      <c r="D37" s="639" t="s">
        <v>664</v>
      </c>
      <c r="E37" s="640"/>
      <c r="F37" s="640"/>
      <c r="G37" s="201">
        <v>20</v>
      </c>
      <c r="H37" s="201">
        <v>1790</v>
      </c>
      <c r="I37" s="202">
        <v>89.5</v>
      </c>
      <c r="J37" s="351">
        <f>I37-I11</f>
        <v>0</v>
      </c>
      <c r="K37" s="639" t="s">
        <v>427</v>
      </c>
      <c r="L37" s="640"/>
      <c r="O37" s="385"/>
      <c r="P37" s="384"/>
      <c r="Q37" s="384"/>
      <c r="R37" s="198"/>
    </row>
    <row r="38" spans="1:18" ht="15.75" customHeight="1">
      <c r="A38" s="643"/>
      <c r="B38" s="644"/>
      <c r="C38" s="199">
        <v>5</v>
      </c>
      <c r="D38" s="639" t="s">
        <v>343</v>
      </c>
      <c r="E38" s="640"/>
      <c r="F38" s="640"/>
      <c r="G38" s="201">
        <v>23</v>
      </c>
      <c r="H38" s="201">
        <v>1794.6703985573934</v>
      </c>
      <c r="I38" s="202">
        <v>78.029147763364932</v>
      </c>
      <c r="J38" s="351">
        <f>I38-I12</f>
        <v>3.3540372670756824E-2</v>
      </c>
      <c r="K38" s="639" t="s">
        <v>427</v>
      </c>
      <c r="L38" s="640"/>
      <c r="O38" s="385"/>
      <c r="P38" s="384"/>
      <c r="Q38" s="384"/>
      <c r="R38" s="198"/>
    </row>
    <row r="39" spans="1:18" ht="15.75" customHeight="1">
      <c r="A39" s="643"/>
      <c r="B39" s="644"/>
      <c r="C39" s="203" t="s">
        <v>204</v>
      </c>
      <c r="D39" s="639" t="s">
        <v>775</v>
      </c>
      <c r="E39" s="640"/>
      <c r="F39" s="640"/>
      <c r="G39" s="201">
        <v>21</v>
      </c>
      <c r="H39" s="201">
        <v>1282.5625923806451</v>
      </c>
      <c r="I39" s="202">
        <v>61.074409160983102</v>
      </c>
      <c r="J39" s="351"/>
      <c r="K39" s="647" t="s">
        <v>806</v>
      </c>
      <c r="L39" s="640"/>
      <c r="O39" s="198"/>
      <c r="P39" s="384"/>
      <c r="Q39" s="384"/>
      <c r="R39" s="198"/>
    </row>
    <row r="40" spans="1:18" ht="15.75" customHeight="1">
      <c r="A40" s="643"/>
      <c r="B40" s="644"/>
      <c r="C40" s="203" t="s">
        <v>209</v>
      </c>
      <c r="D40" s="639" t="s">
        <v>342</v>
      </c>
      <c r="E40" s="640"/>
      <c r="F40" s="640"/>
      <c r="G40" s="201">
        <v>24</v>
      </c>
      <c r="H40" s="201">
        <v>1790.1688728749584</v>
      </c>
      <c r="I40" s="202">
        <v>74.590369703123272</v>
      </c>
      <c r="J40" s="351">
        <f>I40-I13</f>
        <v>-6.5476190476189799E-2</v>
      </c>
      <c r="K40" s="639" t="s">
        <v>427</v>
      </c>
      <c r="L40" s="640"/>
      <c r="O40" s="385"/>
      <c r="P40" s="384"/>
      <c r="Q40" s="384"/>
      <c r="R40" s="198"/>
    </row>
    <row r="41" spans="1:18" ht="15.75" customHeight="1">
      <c r="A41" s="643"/>
      <c r="B41" s="644"/>
      <c r="C41" s="203" t="s">
        <v>205</v>
      </c>
      <c r="D41" s="639" t="s">
        <v>341</v>
      </c>
      <c r="E41" s="640"/>
      <c r="F41" s="640"/>
      <c r="G41" s="201">
        <v>23</v>
      </c>
      <c r="H41" s="201">
        <v>1789.4606744690827</v>
      </c>
      <c r="I41" s="202">
        <v>77.802638020394923</v>
      </c>
      <c r="J41" s="351">
        <f>I41-I15</f>
        <v>-2.4080368837388733E-2</v>
      </c>
      <c r="K41" s="639" t="s">
        <v>427</v>
      </c>
      <c r="L41" s="640"/>
      <c r="N41" s="177"/>
      <c r="O41" s="386"/>
      <c r="P41" s="383"/>
      <c r="Q41" s="383"/>
      <c r="R41" s="177"/>
    </row>
    <row r="42" spans="1:18" ht="15.75" customHeight="1">
      <c r="A42" s="643"/>
      <c r="B42" s="644"/>
      <c r="C42" s="203" t="s">
        <v>210</v>
      </c>
      <c r="D42" s="639" t="s">
        <v>349</v>
      </c>
      <c r="E42" s="640"/>
      <c r="F42" s="640"/>
      <c r="G42" s="201">
        <v>23</v>
      </c>
      <c r="H42" s="201">
        <v>1791.4464754263674</v>
      </c>
      <c r="I42" s="202">
        <v>77.888977192450753</v>
      </c>
      <c r="J42" s="351">
        <f>I42-I16</f>
        <v>4.7204968944058123E-2</v>
      </c>
      <c r="K42" s="639" t="s">
        <v>427</v>
      </c>
      <c r="L42" s="640"/>
      <c r="M42" s="98"/>
      <c r="O42" s="385"/>
      <c r="P42" s="384"/>
      <c r="Q42" s="384"/>
      <c r="R42" s="198"/>
    </row>
    <row r="43" spans="1:18" ht="15.75" customHeight="1">
      <c r="A43" s="643"/>
      <c r="B43" s="644"/>
      <c r="C43" s="203" t="s">
        <v>211</v>
      </c>
      <c r="D43" s="639"/>
      <c r="E43" s="640"/>
      <c r="F43" s="640"/>
      <c r="G43" s="201"/>
      <c r="H43" s="201"/>
      <c r="I43" s="202"/>
      <c r="J43" s="199"/>
      <c r="K43" s="639"/>
      <c r="L43" s="640"/>
      <c r="M43" s="98"/>
      <c r="O43" s="385"/>
      <c r="P43" s="384"/>
      <c r="Q43" s="384"/>
      <c r="R43" s="198"/>
    </row>
    <row r="44" spans="1:18" s="103" customFormat="1" ht="15.75" customHeight="1">
      <c r="A44" s="641" t="s">
        <v>188</v>
      </c>
      <c r="B44" s="641"/>
      <c r="C44" s="206" t="s">
        <v>47</v>
      </c>
      <c r="D44" s="641" t="s">
        <v>12</v>
      </c>
      <c r="E44" s="642"/>
      <c r="F44" s="642"/>
      <c r="G44" s="206" t="s">
        <v>46</v>
      </c>
      <c r="H44" s="206" t="s">
        <v>374</v>
      </c>
      <c r="I44" s="206" t="s">
        <v>375</v>
      </c>
      <c r="J44" s="159" t="s">
        <v>332</v>
      </c>
      <c r="K44" s="641" t="s">
        <v>51</v>
      </c>
      <c r="L44" s="642"/>
      <c r="M44" s="127"/>
      <c r="N44" s="188"/>
      <c r="O44" s="385"/>
      <c r="P44" s="384"/>
      <c r="Q44" s="384"/>
      <c r="R44" s="198"/>
    </row>
    <row r="45" spans="1:18" ht="15.75" customHeight="1">
      <c r="A45" s="643">
        <v>6</v>
      </c>
      <c r="B45" s="644" t="s">
        <v>136</v>
      </c>
      <c r="C45" s="199">
        <v>1</v>
      </c>
      <c r="D45" s="639" t="s">
        <v>580</v>
      </c>
      <c r="E45" s="640"/>
      <c r="F45" s="640"/>
      <c r="G45" s="199">
        <v>20</v>
      </c>
      <c r="H45" s="201">
        <v>1791.9455858679733</v>
      </c>
      <c r="I45" s="202">
        <v>89.597279293398643</v>
      </c>
      <c r="J45" s="351">
        <f t="shared" ref="J45:J53" si="0">I45-I19</f>
        <v>2.1428571428572241E-2</v>
      </c>
      <c r="K45" s="639" t="s">
        <v>427</v>
      </c>
      <c r="L45" s="640"/>
      <c r="M45" s="98"/>
      <c r="N45" s="198"/>
      <c r="O45" s="198"/>
      <c r="P45" s="384"/>
      <c r="Q45" s="384"/>
      <c r="R45" s="198"/>
    </row>
    <row r="46" spans="1:18" ht="15.75" customHeight="1">
      <c r="A46" s="643"/>
      <c r="B46" s="644"/>
      <c r="C46" s="199">
        <v>2</v>
      </c>
      <c r="D46" s="639" t="s">
        <v>437</v>
      </c>
      <c r="E46" s="640"/>
      <c r="F46" s="640"/>
      <c r="G46" s="201">
        <v>20</v>
      </c>
      <c r="H46" s="201">
        <v>1789.5201174019098</v>
      </c>
      <c r="I46" s="202">
        <v>89.476005870095491</v>
      </c>
      <c r="J46" s="351">
        <f t="shared" si="0"/>
        <v>0.11124527745326418</v>
      </c>
      <c r="K46" s="639" t="s">
        <v>427</v>
      </c>
      <c r="L46" s="640"/>
      <c r="M46" s="98"/>
      <c r="O46" s="198"/>
      <c r="P46" s="384"/>
      <c r="Q46" s="384"/>
      <c r="R46" s="198"/>
    </row>
    <row r="47" spans="1:18" ht="15.75" customHeight="1">
      <c r="A47" s="643"/>
      <c r="B47" s="644"/>
      <c r="C47" s="199">
        <v>3</v>
      </c>
      <c r="D47" s="639" t="s">
        <v>435</v>
      </c>
      <c r="E47" s="640"/>
      <c r="F47" s="640"/>
      <c r="G47" s="201">
        <v>22</v>
      </c>
      <c r="H47" s="201">
        <v>1789.9796763500092</v>
      </c>
      <c r="I47" s="202">
        <v>81.362712561364063</v>
      </c>
      <c r="J47" s="351">
        <f t="shared" si="0"/>
        <v>7.5585424106492383E-2</v>
      </c>
      <c r="K47" s="639" t="s">
        <v>427</v>
      </c>
      <c r="L47" s="640"/>
      <c r="M47" s="98"/>
      <c r="O47" s="198"/>
      <c r="P47" s="384"/>
      <c r="Q47" s="384"/>
      <c r="R47" s="198"/>
    </row>
    <row r="48" spans="1:18" ht="15.75" customHeight="1">
      <c r="A48" s="643"/>
      <c r="B48" s="644"/>
      <c r="C48" s="199">
        <v>4</v>
      </c>
      <c r="D48" s="639" t="s">
        <v>433</v>
      </c>
      <c r="E48" s="640"/>
      <c r="F48" s="640"/>
      <c r="G48" s="199">
        <v>23</v>
      </c>
      <c r="H48" s="201">
        <v>1795.143317917109</v>
      </c>
      <c r="I48" s="202">
        <v>78.049709474656908</v>
      </c>
      <c r="J48" s="351">
        <f t="shared" si="0"/>
        <v>-2.1118012422377319E-2</v>
      </c>
      <c r="K48" s="639" t="s">
        <v>427</v>
      </c>
      <c r="L48" s="640"/>
      <c r="M48" s="98"/>
      <c r="O48" s="198"/>
      <c r="P48" s="384"/>
      <c r="Q48" s="384"/>
      <c r="R48" s="198"/>
    </row>
    <row r="49" spans="1:18" ht="15.75" customHeight="1">
      <c r="A49" s="643"/>
      <c r="B49" s="644"/>
      <c r="C49" s="199">
        <v>5</v>
      </c>
      <c r="D49" s="639" t="s">
        <v>350</v>
      </c>
      <c r="E49" s="640"/>
      <c r="F49" s="640"/>
      <c r="G49" s="201">
        <v>23</v>
      </c>
      <c r="H49" s="201">
        <v>1793.5620868513204</v>
      </c>
      <c r="I49" s="202">
        <v>77.980960297883513</v>
      </c>
      <c r="J49" s="351">
        <f t="shared" si="0"/>
        <v>-6.2111801242238585E-2</v>
      </c>
      <c r="K49" s="639" t="s">
        <v>427</v>
      </c>
      <c r="L49" s="640"/>
      <c r="M49" s="98"/>
      <c r="O49" s="198"/>
      <c r="P49" s="384"/>
      <c r="Q49" s="384"/>
      <c r="R49" s="198"/>
    </row>
    <row r="50" spans="1:18" ht="15.75" customHeight="1">
      <c r="A50" s="643"/>
      <c r="B50" s="644"/>
      <c r="C50" s="203" t="s">
        <v>204</v>
      </c>
      <c r="D50" s="639" t="s">
        <v>508</v>
      </c>
      <c r="E50" s="640"/>
      <c r="F50" s="640"/>
      <c r="G50" s="199">
        <v>25</v>
      </c>
      <c r="H50" s="201">
        <v>1790.8431649766985</v>
      </c>
      <c r="I50" s="202">
        <v>71.633726599067941</v>
      </c>
      <c r="J50" s="351">
        <f t="shared" si="0"/>
        <v>0.10583955943241108</v>
      </c>
      <c r="K50" s="639" t="s">
        <v>427</v>
      </c>
      <c r="L50" s="640"/>
      <c r="M50" s="98"/>
      <c r="O50" s="198"/>
      <c r="P50" s="384"/>
      <c r="Q50" s="384"/>
      <c r="R50" s="198"/>
    </row>
    <row r="51" spans="1:18" ht="15.75" customHeight="1">
      <c r="A51" s="643"/>
      <c r="B51" s="644"/>
      <c r="C51" s="203" t="s">
        <v>209</v>
      </c>
      <c r="D51" s="639" t="s">
        <v>710</v>
      </c>
      <c r="E51" s="640"/>
      <c r="F51" s="640"/>
      <c r="G51" s="199">
        <v>24</v>
      </c>
      <c r="H51" s="201">
        <v>1789.145631177269</v>
      </c>
      <c r="I51" s="202">
        <v>74.547734632386209</v>
      </c>
      <c r="J51" s="351">
        <f t="shared" si="0"/>
        <v>2.4963386309324136</v>
      </c>
      <c r="K51" s="639" t="s">
        <v>427</v>
      </c>
      <c r="L51" s="640"/>
      <c r="M51" s="98"/>
      <c r="O51" s="198"/>
      <c r="P51" s="384"/>
      <c r="Q51" s="384"/>
      <c r="R51" s="198"/>
    </row>
    <row r="52" spans="1:18" ht="15.75" customHeight="1">
      <c r="A52" s="643"/>
      <c r="B52" s="644"/>
      <c r="C52" s="203" t="s">
        <v>205</v>
      </c>
      <c r="D52" s="639" t="s">
        <v>351</v>
      </c>
      <c r="E52" s="640"/>
      <c r="F52" s="640"/>
      <c r="G52" s="199">
        <v>24</v>
      </c>
      <c r="H52" s="201">
        <v>1797.3831010773981</v>
      </c>
      <c r="I52" s="202">
        <v>74.890962544891607</v>
      </c>
      <c r="J52" s="351">
        <f t="shared" si="0"/>
        <v>1.9047619047654507E-2</v>
      </c>
      <c r="K52" s="639" t="s">
        <v>427</v>
      </c>
      <c r="L52" s="640"/>
      <c r="M52" s="98"/>
      <c r="O52" s="198"/>
      <c r="P52" s="384"/>
      <c r="Q52" s="384"/>
      <c r="R52" s="198"/>
    </row>
    <row r="53" spans="1:18" ht="15.75" customHeight="1">
      <c r="A53" s="643"/>
      <c r="B53" s="644"/>
      <c r="C53" s="203" t="s">
        <v>210</v>
      </c>
      <c r="D53" s="639" t="s">
        <v>352</v>
      </c>
      <c r="E53" s="640"/>
      <c r="F53" s="640"/>
      <c r="G53" s="199">
        <v>23</v>
      </c>
      <c r="H53" s="201">
        <v>1790.4281604436248</v>
      </c>
      <c r="I53" s="202">
        <v>77.844702627983679</v>
      </c>
      <c r="J53" s="351">
        <f t="shared" si="0"/>
        <v>0.13898554476425318</v>
      </c>
      <c r="K53" s="639" t="s">
        <v>427</v>
      </c>
      <c r="L53" s="640"/>
      <c r="M53" s="98"/>
      <c r="O53" s="198"/>
      <c r="P53" s="384"/>
      <c r="Q53" s="384"/>
      <c r="R53" s="198"/>
    </row>
    <row r="54" spans="1:18" ht="15.75" customHeight="1">
      <c r="A54" s="643"/>
      <c r="B54" s="644"/>
      <c r="C54" s="203" t="s">
        <v>211</v>
      </c>
      <c r="D54" s="639"/>
      <c r="E54" s="640"/>
      <c r="F54" s="640"/>
      <c r="G54" s="199"/>
      <c r="H54" s="201"/>
      <c r="I54" s="202"/>
      <c r="J54" s="351"/>
      <c r="K54" s="639"/>
      <c r="L54" s="640"/>
      <c r="M54" s="98"/>
      <c r="O54" s="198"/>
      <c r="P54" s="384"/>
      <c r="Q54" s="384"/>
      <c r="R54" s="198"/>
    </row>
    <row r="55" spans="1:18" s="188" customFormat="1" ht="15.75" customHeight="1">
      <c r="A55" s="645" t="s">
        <v>771</v>
      </c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</row>
    <row r="56" spans="1:18" s="189" customFormat="1" ht="15.75" customHeight="1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</row>
    <row r="57" spans="1:18" s="105" customFormat="1" ht="16.350000000000001" customHeight="1">
      <c r="A57" s="643" t="s">
        <v>162</v>
      </c>
      <c r="B57" s="169">
        <v>1</v>
      </c>
      <c r="C57" s="169">
        <v>2</v>
      </c>
      <c r="D57" s="169">
        <v>3</v>
      </c>
      <c r="E57" s="169">
        <v>4</v>
      </c>
      <c r="F57" s="190">
        <v>5</v>
      </c>
      <c r="G57" s="190">
        <v>6</v>
      </c>
      <c r="H57" s="169">
        <v>7</v>
      </c>
      <c r="I57" s="169">
        <v>8</v>
      </c>
      <c r="J57" s="169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50000000000001" customHeight="1">
      <c r="A58" s="643"/>
      <c r="B58" s="194" t="s">
        <v>206</v>
      </c>
      <c r="C58" s="194" t="s">
        <v>155</v>
      </c>
      <c r="D58" s="194" t="s">
        <v>207</v>
      </c>
      <c r="E58" s="194" t="s">
        <v>156</v>
      </c>
      <c r="F58" s="193" t="s">
        <v>348</v>
      </c>
      <c r="G58" s="208" t="s">
        <v>136</v>
      </c>
      <c r="H58" s="196" t="s">
        <v>208</v>
      </c>
      <c r="I58" s="195" t="s">
        <v>373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644" t="s">
        <v>188</v>
      </c>
      <c r="B59" s="644"/>
      <c r="C59" s="159" t="s">
        <v>47</v>
      </c>
      <c r="D59" s="644" t="s">
        <v>12</v>
      </c>
      <c r="E59" s="646"/>
      <c r="F59" s="646"/>
      <c r="G59" s="159" t="s">
        <v>46</v>
      </c>
      <c r="H59" s="159" t="s">
        <v>374</v>
      </c>
      <c r="I59" s="159" t="s">
        <v>375</v>
      </c>
      <c r="J59" s="159" t="s">
        <v>332</v>
      </c>
      <c r="K59" s="644" t="s">
        <v>51</v>
      </c>
      <c r="L59" s="646"/>
      <c r="M59" s="126"/>
      <c r="N59" s="188"/>
      <c r="O59" s="385"/>
      <c r="P59" s="384"/>
      <c r="Q59" s="384"/>
      <c r="R59" s="198"/>
    </row>
    <row r="60" spans="1:18" ht="15.75" customHeight="1">
      <c r="A60" s="643">
        <v>5</v>
      </c>
      <c r="B60" s="644" t="s">
        <v>348</v>
      </c>
      <c r="C60" s="199">
        <v>1</v>
      </c>
      <c r="D60" s="639" t="s">
        <v>566</v>
      </c>
      <c r="E60" s="640"/>
      <c r="F60" s="640"/>
      <c r="G60" s="201">
        <v>17</v>
      </c>
      <c r="H60" s="201">
        <v>1790</v>
      </c>
      <c r="I60" s="202">
        <v>105.29411764705881</v>
      </c>
      <c r="J60" s="351">
        <f>I60-I34</f>
        <v>0</v>
      </c>
      <c r="K60" s="647"/>
      <c r="L60" s="640"/>
      <c r="O60" s="385"/>
      <c r="P60" s="384"/>
      <c r="Q60" s="384"/>
      <c r="R60" s="198"/>
    </row>
    <row r="61" spans="1:18" ht="15.75" customHeight="1">
      <c r="A61" s="643"/>
      <c r="B61" s="644"/>
      <c r="C61" s="199">
        <v>2</v>
      </c>
      <c r="D61" s="639" t="s">
        <v>649</v>
      </c>
      <c r="E61" s="640"/>
      <c r="F61" s="640"/>
      <c r="G61" s="201">
        <v>18</v>
      </c>
      <c r="H61" s="201">
        <v>1788.5137133238395</v>
      </c>
      <c r="I61" s="202">
        <v>99.361872962435527</v>
      </c>
      <c r="J61" s="351">
        <f>I61-I35</f>
        <v>-6.0317460317463656E-2</v>
      </c>
      <c r="K61" s="639"/>
      <c r="L61" s="640"/>
      <c r="O61" s="385"/>
      <c r="P61" s="384"/>
      <c r="Q61" s="384"/>
      <c r="R61" s="198"/>
    </row>
    <row r="62" spans="1:18" ht="15.75" customHeight="1">
      <c r="A62" s="643"/>
      <c r="B62" s="644"/>
      <c r="C62" s="199">
        <v>3</v>
      </c>
      <c r="D62" s="639" t="s">
        <v>473</v>
      </c>
      <c r="E62" s="640"/>
      <c r="F62" s="640"/>
      <c r="G62" s="201">
        <v>19</v>
      </c>
      <c r="H62" s="201">
        <v>1790</v>
      </c>
      <c r="I62" s="202">
        <v>94.21052631578948</v>
      </c>
      <c r="J62" s="351">
        <f>I62-I36</f>
        <v>0</v>
      </c>
      <c r="K62" s="647"/>
      <c r="L62" s="640"/>
      <c r="O62" s="385"/>
      <c r="P62" s="384"/>
      <c r="Q62" s="384"/>
      <c r="R62" s="198"/>
    </row>
    <row r="63" spans="1:18" ht="15.75" customHeight="1">
      <c r="A63" s="643"/>
      <c r="B63" s="644"/>
      <c r="C63" s="199">
        <v>4</v>
      </c>
      <c r="D63" s="639" t="s">
        <v>664</v>
      </c>
      <c r="E63" s="640"/>
      <c r="F63" s="640"/>
      <c r="G63" s="201">
        <v>20</v>
      </c>
      <c r="H63" s="201">
        <v>1790</v>
      </c>
      <c r="I63" s="202">
        <v>89.5</v>
      </c>
      <c r="J63" s="351">
        <f>I63-I37</f>
        <v>0</v>
      </c>
      <c r="K63" s="639"/>
      <c r="L63" s="640"/>
      <c r="O63" s="385"/>
      <c r="P63" s="384"/>
      <c r="Q63" s="384"/>
      <c r="R63" s="198"/>
    </row>
    <row r="64" spans="1:18" ht="15.75" customHeight="1">
      <c r="A64" s="643"/>
      <c r="B64" s="644"/>
      <c r="C64" s="199">
        <v>5</v>
      </c>
      <c r="D64" s="639" t="s">
        <v>343</v>
      </c>
      <c r="E64" s="640"/>
      <c r="F64" s="640"/>
      <c r="G64" s="201">
        <v>23</v>
      </c>
      <c r="H64" s="201">
        <v>1795.0132557002505</v>
      </c>
      <c r="I64" s="202">
        <v>78.044054595663056</v>
      </c>
      <c r="J64" s="351">
        <f>I64-I38</f>
        <v>1.4906832298123618E-2</v>
      </c>
      <c r="K64" s="639"/>
      <c r="L64" s="640"/>
      <c r="O64" s="385"/>
      <c r="P64" s="384"/>
      <c r="Q64" s="384"/>
      <c r="R64" s="198"/>
    </row>
    <row r="65" spans="1:18" ht="15.75" customHeight="1">
      <c r="A65" s="643"/>
      <c r="B65" s="644"/>
      <c r="C65" s="203" t="s">
        <v>204</v>
      </c>
      <c r="D65" s="639" t="s">
        <v>342</v>
      </c>
      <c r="E65" s="640"/>
      <c r="F65" s="640"/>
      <c r="G65" s="201">
        <v>24</v>
      </c>
      <c r="H65" s="201">
        <v>1789.0260157321027</v>
      </c>
      <c r="I65" s="202">
        <v>74.542750655504278</v>
      </c>
      <c r="J65" s="351">
        <f>I65-I40</f>
        <v>-4.7619047618994159E-2</v>
      </c>
      <c r="K65" s="639"/>
      <c r="L65" s="640"/>
      <c r="O65" s="198"/>
      <c r="P65" s="384"/>
      <c r="Q65" s="384"/>
      <c r="R65" s="198"/>
    </row>
    <row r="66" spans="1:18" ht="15.75" customHeight="1">
      <c r="A66" s="643"/>
      <c r="B66" s="644"/>
      <c r="C66" s="203" t="s">
        <v>209</v>
      </c>
      <c r="D66" s="639" t="s">
        <v>775</v>
      </c>
      <c r="E66" s="640"/>
      <c r="F66" s="640"/>
      <c r="G66" s="201">
        <v>21</v>
      </c>
      <c r="H66" s="201">
        <v>1593.4397803180686</v>
      </c>
      <c r="I66" s="202">
        <v>75.878084777050873</v>
      </c>
      <c r="J66" s="351">
        <f>I66-I39</f>
        <v>14.803675616067771</v>
      </c>
      <c r="K66" s="639"/>
      <c r="L66" s="640"/>
      <c r="O66" s="385"/>
      <c r="P66" s="384"/>
      <c r="Q66" s="384"/>
      <c r="R66" s="198"/>
    </row>
    <row r="67" spans="1:18" ht="15.75" customHeight="1">
      <c r="A67" s="643"/>
      <c r="B67" s="644"/>
      <c r="C67" s="203" t="s">
        <v>205</v>
      </c>
      <c r="D67" s="639" t="s">
        <v>341</v>
      </c>
      <c r="E67" s="640"/>
      <c r="F67" s="640"/>
      <c r="G67" s="201">
        <v>23</v>
      </c>
      <c r="H67" s="201">
        <v>1791.1952881066375</v>
      </c>
      <c r="I67" s="202">
        <v>77.878056004636392</v>
      </c>
      <c r="J67" s="351">
        <f>I67-I41</f>
        <v>7.5417984241468616E-2</v>
      </c>
      <c r="K67" s="639"/>
      <c r="L67" s="640"/>
      <c r="N67" s="177"/>
      <c r="O67" s="386"/>
      <c r="P67" s="383"/>
      <c r="Q67" s="383"/>
      <c r="R67" s="177"/>
    </row>
    <row r="68" spans="1:18" ht="15.75" customHeight="1">
      <c r="A68" s="643"/>
      <c r="B68" s="644"/>
      <c r="C68" s="203" t="s">
        <v>210</v>
      </c>
      <c r="D68" s="639" t="s">
        <v>349</v>
      </c>
      <c r="E68" s="640"/>
      <c r="F68" s="640"/>
      <c r="G68" s="201">
        <v>23</v>
      </c>
      <c r="H68" s="201">
        <v>1792.4464754263661</v>
      </c>
      <c r="I68" s="202">
        <v>77.932455453320273</v>
      </c>
      <c r="J68" s="351">
        <f>I68-I42</f>
        <v>4.3478260869520113E-2</v>
      </c>
      <c r="K68" s="639"/>
      <c r="L68" s="640"/>
      <c r="M68" s="98"/>
      <c r="O68" s="385"/>
      <c r="P68" s="384"/>
      <c r="Q68" s="384"/>
      <c r="R68" s="198"/>
    </row>
    <row r="69" spans="1:18" ht="15.75" customHeight="1">
      <c r="A69" s="643"/>
      <c r="B69" s="644"/>
      <c r="C69" s="203" t="s">
        <v>211</v>
      </c>
      <c r="D69" s="639"/>
      <c r="E69" s="640"/>
      <c r="F69" s="640"/>
      <c r="G69" s="201"/>
      <c r="H69" s="201"/>
      <c r="I69" s="202"/>
      <c r="J69" s="199"/>
      <c r="K69" s="639"/>
      <c r="L69" s="640"/>
      <c r="M69" s="98"/>
      <c r="O69" s="385"/>
      <c r="P69" s="384"/>
      <c r="Q69" s="384"/>
      <c r="R69" s="198"/>
    </row>
    <row r="70" spans="1:18" s="103" customFormat="1" ht="15.75" customHeight="1">
      <c r="A70" s="641" t="s">
        <v>188</v>
      </c>
      <c r="B70" s="641"/>
      <c r="C70" s="206" t="s">
        <v>47</v>
      </c>
      <c r="D70" s="641" t="s">
        <v>12</v>
      </c>
      <c r="E70" s="642"/>
      <c r="F70" s="642"/>
      <c r="G70" s="206" t="s">
        <v>46</v>
      </c>
      <c r="H70" s="206" t="s">
        <v>374</v>
      </c>
      <c r="I70" s="206" t="s">
        <v>375</v>
      </c>
      <c r="J70" s="159" t="s">
        <v>332</v>
      </c>
      <c r="K70" s="641" t="s">
        <v>51</v>
      </c>
      <c r="L70" s="642"/>
      <c r="M70" s="127"/>
      <c r="N70" s="188"/>
      <c r="O70" s="385"/>
      <c r="P70" s="384"/>
      <c r="Q70" s="384"/>
      <c r="R70" s="198"/>
    </row>
    <row r="71" spans="1:18" ht="15.75" customHeight="1">
      <c r="A71" s="643">
        <v>6</v>
      </c>
      <c r="B71" s="644" t="s">
        <v>136</v>
      </c>
      <c r="C71" s="199">
        <v>1</v>
      </c>
      <c r="D71" s="639" t="s">
        <v>580</v>
      </c>
      <c r="E71" s="640"/>
      <c r="F71" s="640"/>
      <c r="G71" s="199">
        <v>20</v>
      </c>
      <c r="H71" s="201">
        <v>1794.8884430108296</v>
      </c>
      <c r="I71" s="202">
        <v>89.744422150541482</v>
      </c>
      <c r="J71" s="351">
        <f t="shared" ref="J71:J76" si="1">I71-I45</f>
        <v>0.14714285714283903</v>
      </c>
      <c r="K71" s="639"/>
      <c r="L71" s="640"/>
      <c r="M71" s="98"/>
      <c r="N71" s="198"/>
      <c r="O71" s="198"/>
      <c r="P71" s="384"/>
      <c r="Q71" s="384"/>
      <c r="R71" s="198"/>
    </row>
    <row r="72" spans="1:18" ht="15.75" customHeight="1">
      <c r="A72" s="643"/>
      <c r="B72" s="644"/>
      <c r="C72" s="199">
        <v>2</v>
      </c>
      <c r="D72" s="639" t="s">
        <v>437</v>
      </c>
      <c r="E72" s="640"/>
      <c r="F72" s="640"/>
      <c r="G72" s="201">
        <v>20</v>
      </c>
      <c r="H72" s="201">
        <v>1791.0344031161947</v>
      </c>
      <c r="I72" s="202">
        <v>89.551720155809718</v>
      </c>
      <c r="J72" s="351">
        <f t="shared" si="1"/>
        <v>7.5714285714227003E-2</v>
      </c>
      <c r="K72" s="639"/>
      <c r="L72" s="640"/>
      <c r="M72" s="98"/>
      <c r="O72" s="198"/>
      <c r="P72" s="384"/>
      <c r="Q72" s="384"/>
      <c r="R72" s="198"/>
    </row>
    <row r="73" spans="1:18" ht="15.75" customHeight="1">
      <c r="A73" s="643"/>
      <c r="B73" s="644"/>
      <c r="C73" s="199">
        <v>3</v>
      </c>
      <c r="D73" s="639" t="s">
        <v>435</v>
      </c>
      <c r="E73" s="640"/>
      <c r="F73" s="640"/>
      <c r="G73" s="201">
        <v>22</v>
      </c>
      <c r="H73" s="201">
        <v>1791.608247778581</v>
      </c>
      <c r="I73" s="202">
        <v>81.436738535390063</v>
      </c>
      <c r="J73" s="351">
        <f t="shared" si="1"/>
        <v>7.4025974026000085E-2</v>
      </c>
      <c r="K73" s="639"/>
      <c r="L73" s="640"/>
      <c r="M73" s="98"/>
      <c r="O73" s="198"/>
      <c r="P73" s="384"/>
      <c r="Q73" s="384"/>
      <c r="R73" s="198"/>
    </row>
    <row r="74" spans="1:18" ht="15.75" customHeight="1">
      <c r="A74" s="643"/>
      <c r="B74" s="644"/>
      <c r="C74" s="199">
        <v>4</v>
      </c>
      <c r="D74" s="639" t="s">
        <v>433</v>
      </c>
      <c r="E74" s="640"/>
      <c r="F74" s="640"/>
      <c r="G74" s="199">
        <v>23</v>
      </c>
      <c r="H74" s="201">
        <v>1794.8290322028229</v>
      </c>
      <c r="I74" s="202">
        <v>78.036044878383606</v>
      </c>
      <c r="J74" s="351">
        <f t="shared" si="1"/>
        <v>-1.3664596273301299E-2</v>
      </c>
      <c r="K74" s="639"/>
      <c r="L74" s="640"/>
      <c r="M74" s="98"/>
      <c r="O74" s="198"/>
      <c r="P74" s="384"/>
      <c r="Q74" s="384"/>
      <c r="R74" s="198"/>
    </row>
    <row r="75" spans="1:18" ht="15.75" customHeight="1">
      <c r="A75" s="643"/>
      <c r="B75" s="644"/>
      <c r="C75" s="199">
        <v>5</v>
      </c>
      <c r="D75" s="639" t="s">
        <v>350</v>
      </c>
      <c r="E75" s="640"/>
      <c r="F75" s="640"/>
      <c r="G75" s="201">
        <v>23</v>
      </c>
      <c r="H75" s="201">
        <v>1793.1620868513201</v>
      </c>
      <c r="I75" s="202">
        <v>77.96356899353566</v>
      </c>
      <c r="J75" s="351">
        <f t="shared" si="1"/>
        <v>-1.739130434785352E-2</v>
      </c>
      <c r="K75" s="639"/>
      <c r="L75" s="640"/>
      <c r="M75" s="98"/>
      <c r="O75" s="198"/>
      <c r="P75" s="384"/>
      <c r="Q75" s="384"/>
      <c r="R75" s="198"/>
    </row>
    <row r="76" spans="1:18" ht="15.75" customHeight="1">
      <c r="A76" s="643"/>
      <c r="B76" s="644"/>
      <c r="C76" s="203" t="s">
        <v>204</v>
      </c>
      <c r="D76" s="639" t="s">
        <v>508</v>
      </c>
      <c r="E76" s="640"/>
      <c r="F76" s="640"/>
      <c r="G76" s="199">
        <v>25</v>
      </c>
      <c r="H76" s="201">
        <v>1791.614593548127</v>
      </c>
      <c r="I76" s="202">
        <v>71.6645837419251</v>
      </c>
      <c r="J76" s="351">
        <f t="shared" si="1"/>
        <v>3.0857142857158237E-2</v>
      </c>
      <c r="K76" s="639"/>
      <c r="L76" s="640"/>
      <c r="M76" s="98"/>
      <c r="O76" s="198"/>
      <c r="P76" s="384"/>
      <c r="Q76" s="384"/>
      <c r="R76" s="198"/>
    </row>
    <row r="77" spans="1:18" ht="15.75" customHeight="1">
      <c r="A77" s="643"/>
      <c r="B77" s="644"/>
      <c r="C77" s="203" t="s">
        <v>209</v>
      </c>
      <c r="D77" s="639" t="s">
        <v>710</v>
      </c>
      <c r="E77" s="640"/>
      <c r="F77" s="640"/>
      <c r="G77" s="199">
        <v>24</v>
      </c>
      <c r="H77" s="201">
        <v>1787.770488950031</v>
      </c>
      <c r="I77" s="202">
        <v>74.49043703958462</v>
      </c>
      <c r="J77" s="351"/>
      <c r="K77" s="639"/>
      <c r="L77" s="640"/>
      <c r="M77" s="98"/>
      <c r="O77" s="198"/>
      <c r="P77" s="384"/>
      <c r="Q77" s="384"/>
      <c r="R77" s="198"/>
    </row>
    <row r="78" spans="1:18" ht="15.75" customHeight="1">
      <c r="A78" s="643"/>
      <c r="B78" s="644"/>
      <c r="C78" s="203" t="s">
        <v>205</v>
      </c>
      <c r="D78" s="639" t="s">
        <v>351</v>
      </c>
      <c r="E78" s="640"/>
      <c r="F78" s="640"/>
      <c r="G78" s="199">
        <v>24</v>
      </c>
      <c r="H78" s="201">
        <v>1796.0116725059713</v>
      </c>
      <c r="I78" s="202">
        <v>74.8338196877488</v>
      </c>
      <c r="J78" s="351">
        <f>I78-I51</f>
        <v>0.28608505536259088</v>
      </c>
      <c r="K78" s="639"/>
      <c r="L78" s="640"/>
      <c r="M78" s="98"/>
      <c r="O78" s="198"/>
      <c r="P78" s="384"/>
      <c r="Q78" s="384"/>
      <c r="R78" s="198"/>
    </row>
    <row r="79" spans="1:18" ht="15.75" customHeight="1">
      <c r="A79" s="643"/>
      <c r="B79" s="644"/>
      <c r="C79" s="203" t="s">
        <v>210</v>
      </c>
      <c r="D79" s="639" t="s">
        <v>352</v>
      </c>
      <c r="E79" s="640"/>
      <c r="F79" s="640"/>
      <c r="G79" s="199">
        <v>23</v>
      </c>
      <c r="H79" s="201">
        <v>1792.7094895686553</v>
      </c>
      <c r="I79" s="202">
        <v>77.943890850811087</v>
      </c>
      <c r="J79" s="351">
        <f>I79-I52</f>
        <v>3.0529283059194796</v>
      </c>
      <c r="K79" s="639"/>
      <c r="L79" s="640"/>
      <c r="M79" s="98"/>
      <c r="O79" s="198"/>
      <c r="P79" s="384"/>
      <c r="Q79" s="384"/>
      <c r="R79" s="198"/>
    </row>
    <row r="80" spans="1:18" ht="15.75" customHeight="1">
      <c r="A80" s="643"/>
      <c r="B80" s="644"/>
      <c r="C80" s="203" t="s">
        <v>211</v>
      </c>
      <c r="D80" s="639"/>
      <c r="E80" s="640"/>
      <c r="F80" s="640"/>
      <c r="G80" s="199"/>
      <c r="H80" s="201"/>
      <c r="I80" s="202"/>
      <c r="J80" s="351">
        <f>I80-I53</f>
        <v>-77.844702627983679</v>
      </c>
      <c r="K80" s="639"/>
      <c r="L80" s="640"/>
      <c r="M80" s="98"/>
      <c r="O80" s="198"/>
      <c r="P80" s="384"/>
      <c r="Q80" s="384"/>
      <c r="R80" s="198"/>
    </row>
    <row r="81" spans="1:19" ht="15.75" customHeight="1">
      <c r="A81" s="645" t="s">
        <v>827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188"/>
      <c r="N81" s="178"/>
      <c r="O81" s="178"/>
      <c r="P81" s="178"/>
      <c r="Q81" s="178"/>
      <c r="R81" s="178"/>
      <c r="S81" s="188"/>
    </row>
    <row r="82" spans="1:19" s="99" customFormat="1" ht="15.75" customHeight="1">
      <c r="A82" s="645"/>
      <c r="B82" s="645"/>
      <c r="C82" s="645"/>
      <c r="D82" s="645"/>
      <c r="E82" s="645"/>
      <c r="F82" s="645"/>
      <c r="G82" s="645"/>
      <c r="H82" s="645"/>
      <c r="I82" s="645"/>
      <c r="J82" s="645"/>
      <c r="K82" s="645"/>
      <c r="L82" s="645"/>
      <c r="M82" s="189"/>
      <c r="N82" s="525"/>
      <c r="O82" s="525"/>
      <c r="P82" s="525"/>
      <c r="Q82" s="525"/>
      <c r="R82" s="525"/>
      <c r="S82" s="189"/>
    </row>
    <row r="83" spans="1:19" s="105" customFormat="1" ht="15.75" customHeight="1">
      <c r="A83" s="654" t="s">
        <v>162</v>
      </c>
      <c r="B83" s="169">
        <v>1</v>
      </c>
      <c r="C83" s="169">
        <v>2</v>
      </c>
      <c r="D83" s="169">
        <v>3</v>
      </c>
      <c r="E83" s="169">
        <v>4</v>
      </c>
      <c r="F83" s="190">
        <v>5</v>
      </c>
      <c r="G83" s="190">
        <v>6</v>
      </c>
      <c r="H83" s="169">
        <v>7</v>
      </c>
      <c r="I83" s="169">
        <v>8</v>
      </c>
      <c r="J83" s="169">
        <v>9</v>
      </c>
      <c r="K83" s="191"/>
      <c r="L83" s="191"/>
      <c r="M83" s="192"/>
      <c r="N83" s="178"/>
      <c r="O83" s="178"/>
      <c r="P83" s="178"/>
      <c r="Q83" s="178"/>
      <c r="R83" s="178"/>
      <c r="S83" s="177"/>
    </row>
    <row r="84" spans="1:19" ht="15.75" customHeight="1">
      <c r="A84" s="656"/>
      <c r="B84" s="194" t="s">
        <v>206</v>
      </c>
      <c r="C84" s="194" t="s">
        <v>155</v>
      </c>
      <c r="D84" s="194" t="s">
        <v>207</v>
      </c>
      <c r="E84" s="194" t="s">
        <v>156</v>
      </c>
      <c r="F84" s="193" t="s">
        <v>348</v>
      </c>
      <c r="G84" s="208" t="s">
        <v>136</v>
      </c>
      <c r="H84" s="196" t="s">
        <v>208</v>
      </c>
      <c r="I84" s="195" t="s">
        <v>373</v>
      </c>
      <c r="J84" s="195" t="s">
        <v>142</v>
      </c>
      <c r="K84" s="197"/>
      <c r="L84" s="197"/>
      <c r="M84" s="189"/>
      <c r="N84" s="178"/>
      <c r="O84" s="178"/>
      <c r="P84" s="178"/>
      <c r="Q84" s="178"/>
      <c r="R84" s="178"/>
      <c r="S84" s="188"/>
    </row>
    <row r="85" spans="1:19" s="105" customFormat="1" ht="14.25">
      <c r="A85" s="660" t="s">
        <v>188</v>
      </c>
      <c r="B85" s="661"/>
      <c r="C85" s="159" t="s">
        <v>47</v>
      </c>
      <c r="D85" s="660" t="s">
        <v>12</v>
      </c>
      <c r="E85" s="662"/>
      <c r="F85" s="661"/>
      <c r="G85" s="159" t="s">
        <v>46</v>
      </c>
      <c r="H85" s="159" t="s">
        <v>374</v>
      </c>
      <c r="I85" s="159" t="s">
        <v>375</v>
      </c>
      <c r="J85" s="159" t="s">
        <v>332</v>
      </c>
      <c r="K85" s="660" t="s">
        <v>51</v>
      </c>
      <c r="L85" s="661"/>
      <c r="M85" s="192"/>
      <c r="N85" s="178"/>
      <c r="O85" s="526"/>
      <c r="P85" s="526"/>
      <c r="Q85" s="526"/>
      <c r="R85" s="178"/>
      <c r="S85" s="177"/>
    </row>
    <row r="86" spans="1:19" ht="13.5">
      <c r="A86" s="654">
        <v>5</v>
      </c>
      <c r="B86" s="657" t="s">
        <v>348</v>
      </c>
      <c r="C86" s="199">
        <v>1</v>
      </c>
      <c r="D86" s="648"/>
      <c r="E86" s="649"/>
      <c r="F86" s="650"/>
      <c r="G86" s="201"/>
      <c r="H86" s="201"/>
      <c r="I86" s="202"/>
      <c r="J86" s="351">
        <f>I86-I61</f>
        <v>-99.361872962435527</v>
      </c>
      <c r="K86" s="648"/>
      <c r="L86" s="650"/>
      <c r="N86" s="178"/>
      <c r="O86" s="178"/>
      <c r="P86" s="527"/>
      <c r="Q86" s="527"/>
      <c r="R86" s="178"/>
      <c r="S86" s="188"/>
    </row>
    <row r="87" spans="1:19" ht="13.5">
      <c r="A87" s="655"/>
      <c r="B87" s="658"/>
      <c r="C87" s="199">
        <v>2</v>
      </c>
      <c r="D87" s="648"/>
      <c r="E87" s="649"/>
      <c r="F87" s="650"/>
      <c r="G87" s="201"/>
      <c r="H87" s="201"/>
      <c r="I87" s="202"/>
      <c r="J87" s="351"/>
      <c r="K87" s="648"/>
      <c r="L87" s="650"/>
      <c r="N87" s="178"/>
      <c r="O87" s="178"/>
      <c r="P87" s="527"/>
      <c r="Q87" s="527"/>
      <c r="R87" s="178"/>
      <c r="S87" s="188"/>
    </row>
    <row r="88" spans="1:19" ht="13.5">
      <c r="A88" s="655"/>
      <c r="B88" s="658"/>
      <c r="C88" s="199">
        <v>3</v>
      </c>
      <c r="D88" s="648"/>
      <c r="E88" s="649"/>
      <c r="F88" s="650"/>
      <c r="G88" s="201"/>
      <c r="H88" s="201"/>
      <c r="I88" s="202"/>
      <c r="J88" s="351">
        <f t="shared" ref="J88:J94" si="2">I88-I62</f>
        <v>-94.21052631578948</v>
      </c>
      <c r="K88" s="648"/>
      <c r="L88" s="650"/>
      <c r="N88" s="178"/>
      <c r="O88" s="178"/>
      <c r="P88" s="527"/>
      <c r="Q88" s="527"/>
      <c r="R88" s="178"/>
      <c r="S88" s="188"/>
    </row>
    <row r="89" spans="1:19" ht="13.5">
      <c r="A89" s="655"/>
      <c r="B89" s="658"/>
      <c r="C89" s="199">
        <v>4</v>
      </c>
      <c r="D89" s="648"/>
      <c r="E89" s="649"/>
      <c r="F89" s="650"/>
      <c r="G89" s="201"/>
      <c r="H89" s="201"/>
      <c r="I89" s="202"/>
      <c r="J89" s="351">
        <f t="shared" si="2"/>
        <v>-89.5</v>
      </c>
      <c r="K89" s="648"/>
      <c r="L89" s="650"/>
      <c r="N89" s="178"/>
      <c r="O89" s="178"/>
      <c r="P89" s="527"/>
      <c r="Q89" s="527"/>
      <c r="R89" s="178"/>
      <c r="S89" s="188"/>
    </row>
    <row r="90" spans="1:19" ht="13.5">
      <c r="A90" s="655"/>
      <c r="B90" s="658"/>
      <c r="C90" s="199">
        <v>5</v>
      </c>
      <c r="D90" s="648"/>
      <c r="E90" s="649"/>
      <c r="F90" s="650"/>
      <c r="G90" s="201"/>
      <c r="H90" s="201"/>
      <c r="I90" s="202"/>
      <c r="J90" s="351">
        <f t="shared" si="2"/>
        <v>-78.044054595663056</v>
      </c>
      <c r="K90" s="648"/>
      <c r="L90" s="650"/>
      <c r="N90" s="178"/>
      <c r="O90" s="178"/>
      <c r="P90" s="527"/>
      <c r="Q90" s="527"/>
      <c r="R90" s="178"/>
      <c r="S90" s="188"/>
    </row>
    <row r="91" spans="1:19" ht="13.5">
      <c r="A91" s="655"/>
      <c r="B91" s="658"/>
      <c r="C91" s="203" t="s">
        <v>204</v>
      </c>
      <c r="D91" s="648"/>
      <c r="E91" s="649"/>
      <c r="F91" s="650"/>
      <c r="G91" s="201"/>
      <c r="H91" s="201"/>
      <c r="I91" s="202"/>
      <c r="J91" s="351">
        <f t="shared" si="2"/>
        <v>-74.542750655504278</v>
      </c>
      <c r="K91" s="648"/>
      <c r="L91" s="650"/>
      <c r="N91" s="178"/>
      <c r="O91" s="178"/>
      <c r="P91" s="527"/>
      <c r="Q91" s="527"/>
      <c r="R91" s="178"/>
      <c r="S91" s="188"/>
    </row>
    <row r="92" spans="1:19" ht="13.5">
      <c r="A92" s="655"/>
      <c r="B92" s="658"/>
      <c r="C92" s="203" t="s">
        <v>209</v>
      </c>
      <c r="D92" s="648"/>
      <c r="E92" s="649"/>
      <c r="F92" s="650"/>
      <c r="G92" s="201"/>
      <c r="H92" s="201"/>
      <c r="I92" s="202"/>
      <c r="J92" s="351">
        <f t="shared" si="2"/>
        <v>-75.878084777050873</v>
      </c>
      <c r="K92" s="648"/>
      <c r="L92" s="650"/>
      <c r="N92" s="178"/>
      <c r="O92" s="178"/>
      <c r="P92" s="527"/>
      <c r="Q92" s="527"/>
      <c r="R92" s="178"/>
      <c r="S92" s="188"/>
    </row>
    <row r="93" spans="1:19" ht="13.5">
      <c r="A93" s="655"/>
      <c r="B93" s="658"/>
      <c r="C93" s="203" t="s">
        <v>205</v>
      </c>
      <c r="D93" s="648"/>
      <c r="E93" s="649"/>
      <c r="F93" s="650"/>
      <c r="G93" s="201"/>
      <c r="H93" s="201"/>
      <c r="I93" s="202"/>
      <c r="J93" s="351">
        <f t="shared" si="2"/>
        <v>-77.878056004636392</v>
      </c>
      <c r="K93" s="648"/>
      <c r="L93" s="650"/>
      <c r="N93" s="178"/>
      <c r="O93" s="178"/>
      <c r="P93" s="527"/>
      <c r="Q93" s="527"/>
      <c r="R93" s="178"/>
      <c r="S93" s="188"/>
    </row>
    <row r="94" spans="1:19" ht="13.5">
      <c r="A94" s="655"/>
      <c r="B94" s="658"/>
      <c r="C94" s="203" t="s">
        <v>210</v>
      </c>
      <c r="D94" s="648"/>
      <c r="E94" s="649"/>
      <c r="F94" s="650"/>
      <c r="G94" s="201"/>
      <c r="H94" s="201"/>
      <c r="I94" s="202"/>
      <c r="J94" s="351">
        <f t="shared" si="2"/>
        <v>-77.932455453320273</v>
      </c>
      <c r="K94" s="648"/>
      <c r="L94" s="650"/>
      <c r="M94" s="98"/>
      <c r="N94" s="178"/>
      <c r="O94" s="178"/>
      <c r="P94" s="527"/>
      <c r="Q94" s="527"/>
      <c r="R94" s="178"/>
      <c r="S94" s="188"/>
    </row>
    <row r="95" spans="1:19" ht="13.5">
      <c r="A95" s="656"/>
      <c r="B95" s="659"/>
      <c r="C95" s="203" t="s">
        <v>211</v>
      </c>
      <c r="D95" s="648"/>
      <c r="E95" s="649"/>
      <c r="F95" s="650"/>
      <c r="G95" s="201"/>
      <c r="H95" s="201"/>
      <c r="I95" s="202"/>
      <c r="J95" s="199"/>
      <c r="K95" s="648"/>
      <c r="L95" s="650"/>
      <c r="M95" s="98"/>
      <c r="N95" s="178"/>
      <c r="O95" s="178"/>
      <c r="P95" s="527"/>
      <c r="Q95" s="527"/>
      <c r="R95" s="178"/>
      <c r="S95" s="188"/>
    </row>
    <row r="96" spans="1:19" s="103" customFormat="1" ht="14.25">
      <c r="A96" s="651" t="s">
        <v>188</v>
      </c>
      <c r="B96" s="652"/>
      <c r="C96" s="206" t="s">
        <v>47</v>
      </c>
      <c r="D96" s="651" t="s">
        <v>12</v>
      </c>
      <c r="E96" s="653"/>
      <c r="F96" s="652"/>
      <c r="G96" s="206" t="s">
        <v>46</v>
      </c>
      <c r="H96" s="206" t="s">
        <v>374</v>
      </c>
      <c r="I96" s="206" t="s">
        <v>375</v>
      </c>
      <c r="J96" s="159" t="s">
        <v>332</v>
      </c>
      <c r="K96" s="651" t="s">
        <v>51</v>
      </c>
      <c r="L96" s="652"/>
      <c r="M96" s="127"/>
      <c r="N96" s="178"/>
      <c r="O96" s="178"/>
      <c r="P96" s="527"/>
      <c r="Q96" s="527"/>
      <c r="R96" s="178"/>
      <c r="S96" s="198"/>
    </row>
    <row r="97" spans="1:19" ht="13.5">
      <c r="A97" s="654">
        <v>6</v>
      </c>
      <c r="B97" s="657" t="s">
        <v>136</v>
      </c>
      <c r="C97" s="199">
        <v>1</v>
      </c>
      <c r="D97" s="648"/>
      <c r="E97" s="649"/>
      <c r="F97" s="650"/>
      <c r="G97" s="199"/>
      <c r="H97" s="201"/>
      <c r="I97" s="202"/>
      <c r="J97" s="351">
        <f t="shared" ref="J97:J102" si="3">I97-I71</f>
        <v>-89.744422150541482</v>
      </c>
      <c r="K97" s="648"/>
      <c r="L97" s="650"/>
      <c r="M97" s="98"/>
      <c r="N97" s="178"/>
      <c r="O97" s="178"/>
      <c r="P97" s="527"/>
      <c r="Q97" s="527"/>
      <c r="R97" s="178"/>
      <c r="S97" s="188"/>
    </row>
    <row r="98" spans="1:19" ht="13.5">
      <c r="A98" s="655"/>
      <c r="B98" s="658"/>
      <c r="C98" s="199">
        <v>2</v>
      </c>
      <c r="D98" s="648"/>
      <c r="E98" s="649"/>
      <c r="F98" s="650"/>
      <c r="G98" s="201"/>
      <c r="H98" s="201"/>
      <c r="I98" s="202"/>
      <c r="J98" s="351">
        <f t="shared" si="3"/>
        <v>-89.551720155809718</v>
      </c>
      <c r="K98" s="648"/>
      <c r="L98" s="650"/>
      <c r="M98" s="98"/>
      <c r="N98" s="178"/>
      <c r="O98" s="178"/>
      <c r="P98" s="527"/>
      <c r="Q98" s="527"/>
      <c r="R98" s="178"/>
      <c r="S98" s="188"/>
    </row>
    <row r="99" spans="1:19" ht="13.5">
      <c r="A99" s="655"/>
      <c r="B99" s="658"/>
      <c r="C99" s="199">
        <v>3</v>
      </c>
      <c r="D99" s="648"/>
      <c r="E99" s="649"/>
      <c r="F99" s="650"/>
      <c r="G99" s="201"/>
      <c r="H99" s="201"/>
      <c r="I99" s="202"/>
      <c r="J99" s="351">
        <f t="shared" si="3"/>
        <v>-81.436738535390063</v>
      </c>
      <c r="K99" s="648"/>
      <c r="L99" s="650"/>
      <c r="M99" s="98"/>
      <c r="N99" s="178"/>
      <c r="O99" s="178"/>
      <c r="P99" s="527"/>
      <c r="Q99" s="527"/>
      <c r="R99" s="178"/>
      <c r="S99" s="188"/>
    </row>
    <row r="100" spans="1:19" ht="13.5">
      <c r="A100" s="655"/>
      <c r="B100" s="658"/>
      <c r="C100" s="199">
        <v>4</v>
      </c>
      <c r="D100" s="648"/>
      <c r="E100" s="649"/>
      <c r="F100" s="650"/>
      <c r="G100" s="199"/>
      <c r="H100" s="201"/>
      <c r="I100" s="202"/>
      <c r="J100" s="351">
        <f t="shared" si="3"/>
        <v>-78.036044878383606</v>
      </c>
      <c r="K100" s="648"/>
      <c r="L100" s="650"/>
      <c r="M100" s="98"/>
      <c r="N100" s="178"/>
      <c r="O100" s="178"/>
      <c r="P100" s="527"/>
      <c r="Q100" s="527"/>
      <c r="R100" s="178"/>
      <c r="S100" s="188"/>
    </row>
    <row r="101" spans="1:19" ht="13.5">
      <c r="A101" s="655"/>
      <c r="B101" s="658"/>
      <c r="C101" s="199">
        <v>5</v>
      </c>
      <c r="D101" s="648"/>
      <c r="E101" s="649"/>
      <c r="F101" s="650"/>
      <c r="G101" s="201"/>
      <c r="H101" s="201"/>
      <c r="I101" s="202"/>
      <c r="J101" s="351">
        <f t="shared" si="3"/>
        <v>-77.96356899353566</v>
      </c>
      <c r="K101" s="648"/>
      <c r="L101" s="650"/>
      <c r="M101" s="98"/>
      <c r="N101" s="178"/>
      <c r="O101" s="178"/>
      <c r="P101" s="527"/>
      <c r="Q101" s="527"/>
      <c r="R101" s="178"/>
      <c r="S101" s="188"/>
    </row>
    <row r="102" spans="1:19" ht="13.5">
      <c r="A102" s="655"/>
      <c r="B102" s="658"/>
      <c r="C102" s="203" t="s">
        <v>204</v>
      </c>
      <c r="D102" s="648"/>
      <c r="E102" s="649"/>
      <c r="F102" s="650"/>
      <c r="G102" s="199"/>
      <c r="H102" s="201"/>
      <c r="I102" s="202"/>
      <c r="J102" s="351">
        <f t="shared" si="3"/>
        <v>-71.6645837419251</v>
      </c>
      <c r="K102" s="648"/>
      <c r="L102" s="650"/>
      <c r="M102" s="98"/>
      <c r="N102" s="178"/>
      <c r="O102" s="178"/>
      <c r="P102" s="527"/>
      <c r="Q102" s="527"/>
      <c r="R102" s="178"/>
      <c r="S102" s="188"/>
    </row>
    <row r="103" spans="1:19" ht="13.5">
      <c r="A103" s="655"/>
      <c r="B103" s="658"/>
      <c r="C103" s="203" t="s">
        <v>209</v>
      </c>
      <c r="D103" s="648"/>
      <c r="E103" s="649"/>
      <c r="F103" s="650"/>
      <c r="G103" s="199"/>
      <c r="H103" s="201"/>
      <c r="I103" s="202"/>
      <c r="J103" s="351"/>
      <c r="K103" s="648"/>
      <c r="L103" s="650"/>
      <c r="M103" s="98"/>
      <c r="N103" s="178"/>
      <c r="O103" s="178"/>
      <c r="P103" s="527"/>
      <c r="Q103" s="527"/>
      <c r="R103" s="178"/>
      <c r="S103" s="188"/>
    </row>
    <row r="104" spans="1:19" ht="13.5">
      <c r="A104" s="655"/>
      <c r="B104" s="658"/>
      <c r="C104" s="203" t="s">
        <v>205</v>
      </c>
      <c r="D104" s="648"/>
      <c r="E104" s="649"/>
      <c r="F104" s="650"/>
      <c r="G104" s="199"/>
      <c r="H104" s="201"/>
      <c r="I104" s="202"/>
      <c r="J104" s="351">
        <f>I104-I77</f>
        <v>-74.49043703958462</v>
      </c>
      <c r="K104" s="648"/>
      <c r="L104" s="650"/>
      <c r="M104" s="98"/>
      <c r="N104" s="178"/>
      <c r="O104" s="178"/>
      <c r="P104" s="527"/>
      <c r="Q104" s="527"/>
      <c r="R104" s="178"/>
      <c r="S104" s="188"/>
    </row>
    <row r="105" spans="1:19" ht="13.5">
      <c r="A105" s="655"/>
      <c r="B105" s="658"/>
      <c r="C105" s="203" t="s">
        <v>210</v>
      </c>
      <c r="D105" s="648"/>
      <c r="E105" s="649"/>
      <c r="F105" s="650"/>
      <c r="G105" s="199"/>
      <c r="H105" s="201"/>
      <c r="I105" s="202"/>
      <c r="J105" s="351">
        <f>I105-I78</f>
        <v>-74.8338196877488</v>
      </c>
      <c r="K105" s="648"/>
      <c r="L105" s="650"/>
      <c r="M105" s="98"/>
      <c r="N105" s="178"/>
      <c r="O105" s="178"/>
      <c r="P105" s="527"/>
      <c r="Q105" s="527"/>
      <c r="R105" s="178"/>
      <c r="S105" s="188"/>
    </row>
    <row r="106" spans="1:19" ht="13.5">
      <c r="A106" s="656"/>
      <c r="B106" s="659"/>
      <c r="C106" s="203" t="s">
        <v>211</v>
      </c>
      <c r="D106" s="648"/>
      <c r="E106" s="649"/>
      <c r="F106" s="650"/>
      <c r="G106" s="199"/>
      <c r="H106" s="201"/>
      <c r="I106" s="202"/>
      <c r="J106" s="351">
        <f>I106-I79</f>
        <v>-77.943890850811087</v>
      </c>
      <c r="K106" s="648"/>
      <c r="L106" s="650"/>
      <c r="M106" s="98"/>
      <c r="N106" s="178"/>
      <c r="O106" s="178"/>
      <c r="P106" s="527"/>
      <c r="Q106" s="527"/>
      <c r="R106" s="178"/>
      <c r="S106" s="188"/>
    </row>
  </sheetData>
  <mergeCells count="209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68:F68"/>
    <mergeCell ref="D27:F27"/>
    <mergeCell ref="K27:L27"/>
    <mergeCell ref="D28:F28"/>
    <mergeCell ref="K28:L28"/>
    <mergeCell ref="K16:L16"/>
    <mergeCell ref="D17:F17"/>
    <mergeCell ref="K17:L17"/>
    <mergeCell ref="D51:F51"/>
    <mergeCell ref="K51:L51"/>
    <mergeCell ref="D52:F52"/>
    <mergeCell ref="K52:L52"/>
    <mergeCell ref="D53:F53"/>
    <mergeCell ref="K53:L53"/>
    <mergeCell ref="D54:F54"/>
    <mergeCell ref="K54:L5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A1:L2"/>
    <mergeCell ref="K40:L40"/>
    <mergeCell ref="D41:F41"/>
    <mergeCell ref="K41:L41"/>
    <mergeCell ref="D42:F4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2:L42"/>
    <mergeCell ref="D43:F43"/>
    <mergeCell ref="K43:L43"/>
    <mergeCell ref="K92:L92"/>
    <mergeCell ref="D93:F93"/>
    <mergeCell ref="K93:L93"/>
    <mergeCell ref="D94:F94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66:L66"/>
    <mergeCell ref="D67:F67"/>
    <mergeCell ref="K67:L67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S106"/>
  <sheetViews>
    <sheetView view="pageBreakPreview" topLeftCell="A47" zoomScale="110" zoomScaleNormal="60" zoomScaleSheetLayoutView="110" workbookViewId="0">
      <selection activeCell="J78" sqref="J78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36" t="s">
        <v>372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98"/>
    </row>
    <row r="2" spans="1:18" s="99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N2" s="189"/>
      <c r="O2" s="189"/>
      <c r="P2" s="189"/>
      <c r="Q2" s="189"/>
      <c r="R2" s="189"/>
    </row>
    <row r="3" spans="1:18" s="188" customFormat="1" ht="15.75" customHeight="1">
      <c r="A3" s="645" t="s">
        <v>670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</row>
    <row r="4" spans="1:18" s="189" customFormat="1" ht="15.75" customHeight="1">
      <c r="A4" s="645"/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</row>
    <row r="5" spans="1:18" s="105" customFormat="1" ht="16.350000000000001" customHeight="1">
      <c r="A5" s="654" t="s">
        <v>162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90">
        <v>7</v>
      </c>
      <c r="I5" s="190">
        <v>8</v>
      </c>
      <c r="J5" s="169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50000000000001" customHeight="1">
      <c r="A6" s="656"/>
      <c r="B6" s="194" t="s">
        <v>206</v>
      </c>
      <c r="C6" s="194" t="s">
        <v>155</v>
      </c>
      <c r="D6" s="194" t="s">
        <v>207</v>
      </c>
      <c r="E6" s="194" t="s">
        <v>156</v>
      </c>
      <c r="F6" s="194" t="s">
        <v>138</v>
      </c>
      <c r="G6" s="195" t="s">
        <v>136</v>
      </c>
      <c r="H6" s="193" t="s">
        <v>208</v>
      </c>
      <c r="I6" s="208" t="s">
        <v>373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660" t="s">
        <v>188</v>
      </c>
      <c r="B7" s="661"/>
      <c r="C7" s="159" t="s">
        <v>47</v>
      </c>
      <c r="D7" s="660" t="s">
        <v>12</v>
      </c>
      <c r="E7" s="662"/>
      <c r="F7" s="661"/>
      <c r="G7" s="159" t="s">
        <v>46</v>
      </c>
      <c r="H7" s="159" t="s">
        <v>374</v>
      </c>
      <c r="I7" s="159" t="s">
        <v>375</v>
      </c>
      <c r="J7" s="159" t="s">
        <v>332</v>
      </c>
      <c r="K7" s="660" t="s">
        <v>51</v>
      </c>
      <c r="L7" s="661"/>
      <c r="M7" s="126"/>
      <c r="N7" s="188"/>
      <c r="O7" s="198"/>
      <c r="P7" s="384"/>
      <c r="Q7" s="384"/>
      <c r="R7" s="198"/>
    </row>
    <row r="8" spans="1:18" ht="15">
      <c r="A8" s="654">
        <v>7</v>
      </c>
      <c r="B8" s="657" t="s">
        <v>378</v>
      </c>
      <c r="C8" s="199">
        <v>1</v>
      </c>
      <c r="D8" s="663"/>
      <c r="E8" s="640"/>
      <c r="F8" s="640"/>
      <c r="G8" s="199"/>
      <c r="H8" s="201"/>
      <c r="I8" s="202"/>
      <c r="J8" s="199"/>
      <c r="K8" s="648"/>
      <c r="L8" s="650"/>
      <c r="N8" s="387"/>
      <c r="O8" s="198"/>
      <c r="P8" s="384"/>
      <c r="Q8" s="384"/>
      <c r="R8" s="198"/>
    </row>
    <row r="9" spans="1:18" ht="15">
      <c r="A9" s="655"/>
      <c r="B9" s="658"/>
      <c r="C9" s="199">
        <v>2</v>
      </c>
      <c r="D9" s="663"/>
      <c r="E9" s="640"/>
      <c r="F9" s="640"/>
      <c r="G9" s="199"/>
      <c r="H9" s="201"/>
      <c r="I9" s="202"/>
      <c r="J9" s="199"/>
      <c r="K9" s="648"/>
      <c r="L9" s="650"/>
      <c r="O9" s="198"/>
      <c r="P9" s="384"/>
      <c r="Q9" s="384"/>
      <c r="R9" s="198"/>
    </row>
    <row r="10" spans="1:18" ht="13.5">
      <c r="A10" s="655"/>
      <c r="B10" s="658"/>
      <c r="C10" s="199">
        <v>3</v>
      </c>
      <c r="D10" s="648"/>
      <c r="E10" s="649"/>
      <c r="F10" s="650"/>
      <c r="G10" s="199"/>
      <c r="H10" s="201"/>
      <c r="I10" s="202"/>
      <c r="J10" s="199"/>
      <c r="K10" s="648"/>
      <c r="L10" s="650"/>
      <c r="O10" s="198"/>
      <c r="P10" s="384"/>
      <c r="Q10" s="384"/>
      <c r="R10" s="198"/>
    </row>
    <row r="11" spans="1:18" ht="13.5">
      <c r="A11" s="655"/>
      <c r="B11" s="658"/>
      <c r="C11" s="199">
        <v>4</v>
      </c>
      <c r="D11" s="648"/>
      <c r="E11" s="649"/>
      <c r="F11" s="650"/>
      <c r="G11" s="199"/>
      <c r="H11" s="201"/>
      <c r="I11" s="202"/>
      <c r="J11" s="199"/>
      <c r="K11" s="648"/>
      <c r="L11" s="650"/>
      <c r="O11" s="198"/>
      <c r="P11" s="384"/>
      <c r="Q11" s="384"/>
      <c r="R11" s="198"/>
    </row>
    <row r="12" spans="1:18" ht="13.5">
      <c r="A12" s="655"/>
      <c r="B12" s="658"/>
      <c r="C12" s="199">
        <v>5</v>
      </c>
      <c r="D12" s="648"/>
      <c r="E12" s="649"/>
      <c r="F12" s="650"/>
      <c r="G12" s="199"/>
      <c r="H12" s="201"/>
      <c r="I12" s="202"/>
      <c r="J12" s="199"/>
      <c r="K12" s="648"/>
      <c r="L12" s="650"/>
      <c r="N12" s="177"/>
      <c r="O12" s="198"/>
      <c r="P12" s="384"/>
      <c r="Q12" s="384"/>
      <c r="R12" s="198"/>
    </row>
    <row r="13" spans="1:18" ht="13.5">
      <c r="A13" s="655"/>
      <c r="B13" s="658"/>
      <c r="C13" s="203" t="s">
        <v>204</v>
      </c>
      <c r="D13" s="648"/>
      <c r="E13" s="649"/>
      <c r="F13" s="650"/>
      <c r="G13" s="199"/>
      <c r="H13" s="201"/>
      <c r="I13" s="202"/>
      <c r="J13" s="199"/>
      <c r="K13" s="648"/>
      <c r="L13" s="650"/>
      <c r="N13" s="387"/>
      <c r="O13" s="198"/>
      <c r="P13" s="384"/>
      <c r="Q13" s="384"/>
      <c r="R13" s="198"/>
    </row>
    <row r="14" spans="1:18" ht="13.5">
      <c r="A14" s="655"/>
      <c r="B14" s="658"/>
      <c r="C14" s="203" t="s">
        <v>209</v>
      </c>
      <c r="D14" s="648"/>
      <c r="E14" s="649"/>
      <c r="F14" s="650"/>
      <c r="G14" s="199"/>
      <c r="H14" s="201"/>
      <c r="I14" s="202"/>
      <c r="J14" s="199"/>
      <c r="K14" s="648"/>
      <c r="L14" s="650"/>
      <c r="O14" s="198"/>
      <c r="P14" s="384"/>
      <c r="Q14" s="384"/>
      <c r="R14" s="198"/>
    </row>
    <row r="15" spans="1:18" ht="13.5">
      <c r="A15" s="655"/>
      <c r="B15" s="658"/>
      <c r="C15" s="203" t="s">
        <v>205</v>
      </c>
      <c r="D15" s="648"/>
      <c r="E15" s="649"/>
      <c r="F15" s="650"/>
      <c r="G15" s="199"/>
      <c r="H15" s="201"/>
      <c r="I15" s="202"/>
      <c r="J15" s="199"/>
      <c r="K15" s="648"/>
      <c r="L15" s="650"/>
      <c r="O15" s="198"/>
      <c r="P15" s="384"/>
      <c r="Q15" s="384"/>
      <c r="R15" s="198"/>
    </row>
    <row r="16" spans="1:18" ht="13.5">
      <c r="A16" s="655"/>
      <c r="B16" s="658"/>
      <c r="C16" s="203" t="s">
        <v>210</v>
      </c>
      <c r="D16" s="648"/>
      <c r="E16" s="649"/>
      <c r="F16" s="650"/>
      <c r="G16" s="199"/>
      <c r="H16" s="201"/>
      <c r="I16" s="202"/>
      <c r="J16" s="199"/>
      <c r="K16" s="648"/>
      <c r="L16" s="650"/>
      <c r="M16" s="98"/>
      <c r="O16" s="198"/>
      <c r="P16" s="384"/>
      <c r="Q16" s="384"/>
      <c r="R16" s="198"/>
    </row>
    <row r="17" spans="1:18" ht="13.5">
      <c r="A17" s="656"/>
      <c r="B17" s="659"/>
      <c r="C17" s="203" t="s">
        <v>211</v>
      </c>
      <c r="D17" s="648"/>
      <c r="E17" s="649"/>
      <c r="F17" s="650"/>
      <c r="G17" s="199"/>
      <c r="H17" s="201"/>
      <c r="I17" s="202"/>
      <c r="J17" s="199"/>
      <c r="K17" s="648"/>
      <c r="L17" s="650"/>
      <c r="M17" s="98"/>
      <c r="N17" s="198"/>
      <c r="O17" s="198"/>
      <c r="P17" s="384"/>
      <c r="Q17" s="384"/>
      <c r="R17" s="198"/>
    </row>
    <row r="18" spans="1:18" s="103" customFormat="1" ht="14.25">
      <c r="A18" s="651" t="s">
        <v>188</v>
      </c>
      <c r="B18" s="652"/>
      <c r="C18" s="206" t="s">
        <v>47</v>
      </c>
      <c r="D18" s="651" t="s">
        <v>12</v>
      </c>
      <c r="E18" s="653"/>
      <c r="F18" s="652"/>
      <c r="G18" s="206" t="s">
        <v>46</v>
      </c>
      <c r="H18" s="206" t="s">
        <v>374</v>
      </c>
      <c r="I18" s="206" t="s">
        <v>375</v>
      </c>
      <c r="J18" s="159" t="s">
        <v>332</v>
      </c>
      <c r="K18" s="651" t="s">
        <v>51</v>
      </c>
      <c r="L18" s="652"/>
      <c r="M18" s="127"/>
      <c r="N18" s="188"/>
      <c r="O18" s="198"/>
      <c r="P18" s="384"/>
      <c r="Q18" s="384"/>
      <c r="R18" s="198"/>
    </row>
    <row r="19" spans="1:18" ht="13.5">
      <c r="A19" s="654">
        <v>8</v>
      </c>
      <c r="B19" s="657" t="s">
        <v>379</v>
      </c>
      <c r="C19" s="199">
        <v>1</v>
      </c>
      <c r="D19" s="648" t="s">
        <v>533</v>
      </c>
      <c r="E19" s="649"/>
      <c r="F19" s="650"/>
      <c r="G19" s="199">
        <v>19</v>
      </c>
      <c r="H19" s="201">
        <v>3190.3979423240085</v>
      </c>
      <c r="I19" s="202">
        <v>167.91568117494782</v>
      </c>
      <c r="J19" s="351">
        <v>0.11639097744361493</v>
      </c>
      <c r="K19" s="639" t="s">
        <v>427</v>
      </c>
      <c r="L19" s="640"/>
      <c r="M19" s="98"/>
      <c r="O19" s="198"/>
      <c r="P19" s="384"/>
      <c r="Q19" s="384"/>
      <c r="R19" s="198"/>
    </row>
    <row r="20" spans="1:18" ht="13.5">
      <c r="A20" s="655"/>
      <c r="B20" s="658"/>
      <c r="C20" s="199">
        <v>2</v>
      </c>
      <c r="D20" s="648" t="s">
        <v>543</v>
      </c>
      <c r="E20" s="649"/>
      <c r="F20" s="650"/>
      <c r="G20" s="199">
        <v>19</v>
      </c>
      <c r="H20" s="201">
        <v>3187.0605783769715</v>
      </c>
      <c r="I20" s="202">
        <v>167.74003044089321</v>
      </c>
      <c r="J20" s="351">
        <v>9.7854892068312438E-2</v>
      </c>
      <c r="K20" s="639" t="s">
        <v>427</v>
      </c>
      <c r="L20" s="640"/>
      <c r="M20" s="98"/>
      <c r="O20" s="177"/>
      <c r="P20" s="383"/>
      <c r="Q20" s="383"/>
      <c r="R20" s="177"/>
    </row>
    <row r="21" spans="1:18" ht="13.5">
      <c r="A21" s="655"/>
      <c r="B21" s="658"/>
      <c r="C21" s="199">
        <v>3</v>
      </c>
      <c r="D21" s="648" t="s">
        <v>539</v>
      </c>
      <c r="E21" s="649"/>
      <c r="F21" s="650"/>
      <c r="G21" s="199">
        <v>19</v>
      </c>
      <c r="H21" s="201">
        <v>3185.7420154183096</v>
      </c>
      <c r="I21" s="202">
        <v>167.67063239043733</v>
      </c>
      <c r="J21" s="351">
        <v>-1.817269630353735E-2</v>
      </c>
      <c r="K21" s="639" t="s">
        <v>427</v>
      </c>
      <c r="L21" s="640"/>
      <c r="M21" s="98"/>
      <c r="O21" s="198"/>
      <c r="P21" s="384"/>
      <c r="Q21" s="384"/>
      <c r="R21" s="198"/>
    </row>
    <row r="22" spans="1:18" ht="13.5">
      <c r="A22" s="655"/>
      <c r="B22" s="658"/>
      <c r="C22" s="199">
        <v>4</v>
      </c>
      <c r="D22" s="648" t="s">
        <v>614</v>
      </c>
      <c r="E22" s="649"/>
      <c r="F22" s="650"/>
      <c r="G22" s="199">
        <v>19</v>
      </c>
      <c r="H22" s="201">
        <v>3184.8176608483977</v>
      </c>
      <c r="I22" s="202">
        <v>167.62198214991568</v>
      </c>
      <c r="J22" s="351">
        <v>-5.6240215624967504E-2</v>
      </c>
      <c r="K22" s="639" t="s">
        <v>427</v>
      </c>
      <c r="L22" s="640"/>
      <c r="M22" s="98"/>
      <c r="O22" s="198"/>
      <c r="P22" s="384"/>
      <c r="Q22" s="384"/>
      <c r="R22" s="198"/>
    </row>
    <row r="23" spans="1:18" ht="13.5">
      <c r="A23" s="655"/>
      <c r="B23" s="658"/>
      <c r="C23" s="199">
        <v>5</v>
      </c>
      <c r="D23" s="648" t="s">
        <v>531</v>
      </c>
      <c r="E23" s="649"/>
      <c r="F23" s="650"/>
      <c r="G23" s="199">
        <v>20</v>
      </c>
      <c r="H23" s="201">
        <v>3261.2765221447598</v>
      </c>
      <c r="I23" s="202">
        <v>163.06382610723799</v>
      </c>
      <c r="J23" s="351">
        <v>1.8000000000029104E-2</v>
      </c>
      <c r="K23" s="639" t="s">
        <v>427</v>
      </c>
      <c r="L23" s="640"/>
      <c r="M23" s="98"/>
      <c r="O23" s="198"/>
      <c r="P23" s="384"/>
      <c r="Q23" s="384"/>
      <c r="R23" s="198"/>
    </row>
    <row r="24" spans="1:18" ht="13.5">
      <c r="A24" s="655"/>
      <c r="B24" s="658"/>
      <c r="C24" s="203" t="s">
        <v>204</v>
      </c>
      <c r="D24" s="648" t="s">
        <v>597</v>
      </c>
      <c r="E24" s="649"/>
      <c r="F24" s="650"/>
      <c r="G24" s="199">
        <v>24</v>
      </c>
      <c r="H24" s="201">
        <v>3257.7008943134801</v>
      </c>
      <c r="I24" s="202">
        <v>135.73753726306168</v>
      </c>
      <c r="J24" s="351">
        <v>-0.16004051605551695</v>
      </c>
      <c r="K24" s="639" t="s">
        <v>427</v>
      </c>
      <c r="L24" s="640"/>
      <c r="M24" s="98"/>
      <c r="O24" s="198"/>
      <c r="P24" s="384"/>
      <c r="Q24" s="384"/>
      <c r="R24" s="198"/>
    </row>
    <row r="25" spans="1:18" ht="13.5">
      <c r="A25" s="655"/>
      <c r="B25" s="658"/>
      <c r="C25" s="203" t="s">
        <v>209</v>
      </c>
      <c r="D25" s="648" t="s">
        <v>630</v>
      </c>
      <c r="E25" s="649"/>
      <c r="F25" s="650"/>
      <c r="G25" s="199">
        <v>24</v>
      </c>
      <c r="H25" s="201">
        <v>3262.3733825413874</v>
      </c>
      <c r="I25" s="202">
        <v>135.93222427255782</v>
      </c>
      <c r="J25" s="351">
        <v>9.9513767793922625E-2</v>
      </c>
      <c r="K25" s="639" t="s">
        <v>427</v>
      </c>
      <c r="L25" s="640"/>
      <c r="M25" s="98"/>
      <c r="O25" s="198"/>
      <c r="P25" s="384"/>
      <c r="Q25" s="384"/>
      <c r="R25" s="198"/>
    </row>
    <row r="26" spans="1:18" ht="13.5">
      <c r="A26" s="655"/>
      <c r="B26" s="658"/>
      <c r="C26" s="203" t="s">
        <v>205</v>
      </c>
      <c r="D26" s="648" t="s">
        <v>532</v>
      </c>
      <c r="E26" s="649"/>
      <c r="F26" s="650"/>
      <c r="G26" s="199">
        <v>21</v>
      </c>
      <c r="H26" s="201">
        <v>3257.2949390732165</v>
      </c>
      <c r="I26" s="202">
        <v>155.10928281301025</v>
      </c>
      <c r="J26" s="351">
        <v>-1.9591836734662138E-2</v>
      </c>
      <c r="K26" s="639" t="s">
        <v>427</v>
      </c>
      <c r="L26" s="640"/>
      <c r="M26" s="98"/>
      <c r="O26" s="198"/>
      <c r="P26" s="384"/>
      <c r="Q26" s="384"/>
      <c r="R26" s="198"/>
    </row>
    <row r="27" spans="1:18" ht="13.5">
      <c r="A27" s="655"/>
      <c r="B27" s="658"/>
      <c r="C27" s="203" t="s">
        <v>210</v>
      </c>
      <c r="D27" s="648"/>
      <c r="E27" s="649"/>
      <c r="F27" s="650"/>
      <c r="G27" s="199"/>
      <c r="H27" s="201"/>
      <c r="I27" s="202"/>
      <c r="J27" s="199"/>
      <c r="K27" s="648"/>
      <c r="L27" s="650"/>
      <c r="M27" s="98"/>
      <c r="O27" s="198"/>
      <c r="P27" s="384"/>
      <c r="Q27" s="384"/>
      <c r="R27" s="198"/>
    </row>
    <row r="28" spans="1:18" ht="13.5">
      <c r="A28" s="656"/>
      <c r="B28" s="659"/>
      <c r="C28" s="203" t="s">
        <v>211</v>
      </c>
      <c r="D28" s="648"/>
      <c r="E28" s="649"/>
      <c r="F28" s="650"/>
      <c r="G28" s="199"/>
      <c r="H28" s="201"/>
      <c r="I28" s="202"/>
      <c r="J28" s="199"/>
      <c r="K28" s="648"/>
      <c r="L28" s="650"/>
      <c r="M28" s="98"/>
      <c r="O28" s="198"/>
      <c r="P28" s="384"/>
      <c r="Q28" s="384"/>
      <c r="R28" s="198"/>
    </row>
    <row r="29" spans="1:18" s="188" customFormat="1" ht="15.75" customHeight="1">
      <c r="A29" s="645" t="s">
        <v>766</v>
      </c>
      <c r="B29" s="645"/>
      <c r="C29" s="645"/>
      <c r="D29" s="645"/>
      <c r="E29" s="645"/>
      <c r="F29" s="645"/>
      <c r="G29" s="645"/>
      <c r="H29" s="645"/>
      <c r="I29" s="645"/>
      <c r="J29" s="645"/>
      <c r="K29" s="645"/>
      <c r="L29" s="645"/>
    </row>
    <row r="30" spans="1:18" s="189" customFormat="1" ht="15.75" customHeight="1">
      <c r="A30" s="645"/>
      <c r="B30" s="645"/>
      <c r="C30" s="645"/>
      <c r="D30" s="645"/>
      <c r="E30" s="645"/>
      <c r="F30" s="645"/>
      <c r="G30" s="645"/>
      <c r="H30" s="645"/>
      <c r="I30" s="645"/>
      <c r="J30" s="645"/>
      <c r="K30" s="645"/>
      <c r="L30" s="645"/>
    </row>
    <row r="31" spans="1:18" s="105" customFormat="1" ht="16.350000000000001" customHeight="1">
      <c r="A31" s="654" t="s">
        <v>162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90">
        <v>7</v>
      </c>
      <c r="I31" s="190">
        <v>8</v>
      </c>
      <c r="J31" s="169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50000000000001" customHeight="1">
      <c r="A32" s="656"/>
      <c r="B32" s="194" t="s">
        <v>206</v>
      </c>
      <c r="C32" s="194" t="s">
        <v>155</v>
      </c>
      <c r="D32" s="194" t="s">
        <v>207</v>
      </c>
      <c r="E32" s="194" t="s">
        <v>156</v>
      </c>
      <c r="F32" s="194" t="s">
        <v>138</v>
      </c>
      <c r="G32" s="195" t="s">
        <v>136</v>
      </c>
      <c r="H32" s="193" t="s">
        <v>208</v>
      </c>
      <c r="I32" s="208" t="s">
        <v>373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660" t="s">
        <v>188</v>
      </c>
      <c r="B33" s="661"/>
      <c r="C33" s="159" t="s">
        <v>47</v>
      </c>
      <c r="D33" s="660" t="s">
        <v>12</v>
      </c>
      <c r="E33" s="662"/>
      <c r="F33" s="661"/>
      <c r="G33" s="159" t="s">
        <v>46</v>
      </c>
      <c r="H33" s="159" t="s">
        <v>374</v>
      </c>
      <c r="I33" s="159" t="s">
        <v>375</v>
      </c>
      <c r="J33" s="159" t="s">
        <v>332</v>
      </c>
      <c r="K33" s="660" t="s">
        <v>51</v>
      </c>
      <c r="L33" s="661"/>
      <c r="M33" s="126"/>
      <c r="N33" s="188"/>
      <c r="O33" s="198"/>
      <c r="P33" s="384"/>
      <c r="Q33" s="384"/>
      <c r="R33" s="198"/>
    </row>
    <row r="34" spans="1:18" ht="15">
      <c r="A34" s="654">
        <v>7</v>
      </c>
      <c r="B34" s="657" t="s">
        <v>378</v>
      </c>
      <c r="C34" s="199">
        <v>1</v>
      </c>
      <c r="D34" s="663"/>
      <c r="E34" s="640"/>
      <c r="F34" s="640"/>
      <c r="G34" s="199"/>
      <c r="H34" s="201"/>
      <c r="I34" s="202"/>
      <c r="J34" s="199"/>
      <c r="K34" s="648"/>
      <c r="L34" s="650"/>
      <c r="N34" s="387"/>
      <c r="O34" s="198"/>
      <c r="P34" s="384"/>
      <c r="Q34" s="384"/>
      <c r="R34" s="198"/>
    </row>
    <row r="35" spans="1:18" ht="15">
      <c r="A35" s="655"/>
      <c r="B35" s="658"/>
      <c r="C35" s="199">
        <v>2</v>
      </c>
      <c r="D35" s="663"/>
      <c r="E35" s="640"/>
      <c r="F35" s="640"/>
      <c r="G35" s="199"/>
      <c r="H35" s="201"/>
      <c r="I35" s="202"/>
      <c r="J35" s="199"/>
      <c r="K35" s="648"/>
      <c r="L35" s="650"/>
      <c r="O35" s="198"/>
      <c r="P35" s="384"/>
      <c r="Q35" s="384"/>
      <c r="R35" s="198"/>
    </row>
    <row r="36" spans="1:18" ht="13.5">
      <c r="A36" s="655"/>
      <c r="B36" s="658"/>
      <c r="C36" s="199">
        <v>3</v>
      </c>
      <c r="D36" s="648"/>
      <c r="E36" s="649"/>
      <c r="F36" s="650"/>
      <c r="G36" s="199"/>
      <c r="H36" s="201"/>
      <c r="I36" s="202"/>
      <c r="J36" s="199"/>
      <c r="K36" s="648"/>
      <c r="L36" s="650"/>
      <c r="O36" s="198"/>
      <c r="P36" s="384"/>
      <c r="Q36" s="384"/>
      <c r="R36" s="198"/>
    </row>
    <row r="37" spans="1:18" ht="13.5">
      <c r="A37" s="655"/>
      <c r="B37" s="658"/>
      <c r="C37" s="199">
        <v>4</v>
      </c>
      <c r="D37" s="648"/>
      <c r="E37" s="649"/>
      <c r="F37" s="650"/>
      <c r="G37" s="199"/>
      <c r="H37" s="201"/>
      <c r="I37" s="202"/>
      <c r="J37" s="199"/>
      <c r="K37" s="648"/>
      <c r="L37" s="650"/>
      <c r="O37" s="198"/>
      <c r="P37" s="384"/>
      <c r="Q37" s="384"/>
      <c r="R37" s="198"/>
    </row>
    <row r="38" spans="1:18" ht="13.5">
      <c r="A38" s="655"/>
      <c r="B38" s="658"/>
      <c r="C38" s="199">
        <v>5</v>
      </c>
      <c r="D38" s="648"/>
      <c r="E38" s="649"/>
      <c r="F38" s="650"/>
      <c r="G38" s="199"/>
      <c r="H38" s="201"/>
      <c r="I38" s="202"/>
      <c r="J38" s="199"/>
      <c r="K38" s="648"/>
      <c r="L38" s="650"/>
      <c r="N38" s="177"/>
      <c r="O38" s="198"/>
      <c r="P38" s="384"/>
      <c r="Q38" s="384"/>
      <c r="R38" s="198"/>
    </row>
    <row r="39" spans="1:18" ht="13.5">
      <c r="A39" s="655"/>
      <c r="B39" s="658"/>
      <c r="C39" s="203" t="s">
        <v>204</v>
      </c>
      <c r="D39" s="648"/>
      <c r="E39" s="649"/>
      <c r="F39" s="650"/>
      <c r="G39" s="199"/>
      <c r="H39" s="201"/>
      <c r="I39" s="202"/>
      <c r="J39" s="199"/>
      <c r="K39" s="648"/>
      <c r="L39" s="650"/>
      <c r="N39" s="387"/>
      <c r="O39" s="198"/>
      <c r="P39" s="384"/>
      <c r="Q39" s="384"/>
      <c r="R39" s="198"/>
    </row>
    <row r="40" spans="1:18" ht="13.5">
      <c r="A40" s="655"/>
      <c r="B40" s="658"/>
      <c r="C40" s="203" t="s">
        <v>209</v>
      </c>
      <c r="D40" s="648"/>
      <c r="E40" s="649"/>
      <c r="F40" s="650"/>
      <c r="G40" s="199"/>
      <c r="H40" s="201"/>
      <c r="I40" s="202"/>
      <c r="J40" s="199"/>
      <c r="K40" s="648"/>
      <c r="L40" s="650"/>
      <c r="O40" s="198"/>
      <c r="P40" s="384"/>
      <c r="Q40" s="384"/>
      <c r="R40" s="198"/>
    </row>
    <row r="41" spans="1:18" ht="13.5">
      <c r="A41" s="655"/>
      <c r="B41" s="658"/>
      <c r="C41" s="203" t="s">
        <v>205</v>
      </c>
      <c r="D41" s="648"/>
      <c r="E41" s="649"/>
      <c r="F41" s="650"/>
      <c r="G41" s="199"/>
      <c r="H41" s="201"/>
      <c r="I41" s="202"/>
      <c r="J41" s="199"/>
      <c r="K41" s="648"/>
      <c r="L41" s="650"/>
      <c r="O41" s="198"/>
      <c r="P41" s="384"/>
      <c r="Q41" s="384"/>
      <c r="R41" s="198"/>
    </row>
    <row r="42" spans="1:18" ht="13.5">
      <c r="A42" s="655"/>
      <c r="B42" s="658"/>
      <c r="C42" s="203" t="s">
        <v>210</v>
      </c>
      <c r="D42" s="648"/>
      <c r="E42" s="649"/>
      <c r="F42" s="650"/>
      <c r="G42" s="199"/>
      <c r="H42" s="201"/>
      <c r="I42" s="202"/>
      <c r="J42" s="199"/>
      <c r="K42" s="648"/>
      <c r="L42" s="650"/>
      <c r="M42" s="98"/>
      <c r="O42" s="198"/>
      <c r="P42" s="384"/>
      <c r="Q42" s="384"/>
      <c r="R42" s="198"/>
    </row>
    <row r="43" spans="1:18" ht="13.5">
      <c r="A43" s="656"/>
      <c r="B43" s="659"/>
      <c r="C43" s="203" t="s">
        <v>211</v>
      </c>
      <c r="D43" s="648"/>
      <c r="E43" s="649"/>
      <c r="F43" s="650"/>
      <c r="G43" s="199"/>
      <c r="H43" s="201"/>
      <c r="I43" s="202"/>
      <c r="J43" s="199"/>
      <c r="K43" s="648"/>
      <c r="L43" s="650"/>
      <c r="M43" s="98"/>
      <c r="N43" s="198"/>
      <c r="O43" s="198"/>
      <c r="P43" s="384"/>
      <c r="Q43" s="384"/>
      <c r="R43" s="198"/>
    </row>
    <row r="44" spans="1:18" s="103" customFormat="1" ht="14.25">
      <c r="A44" s="651" t="s">
        <v>188</v>
      </c>
      <c r="B44" s="652"/>
      <c r="C44" s="206" t="s">
        <v>47</v>
      </c>
      <c r="D44" s="651" t="s">
        <v>12</v>
      </c>
      <c r="E44" s="653"/>
      <c r="F44" s="652"/>
      <c r="G44" s="206" t="s">
        <v>46</v>
      </c>
      <c r="H44" s="206" t="s">
        <v>374</v>
      </c>
      <c r="I44" s="206" t="s">
        <v>375</v>
      </c>
      <c r="J44" s="159" t="s">
        <v>332</v>
      </c>
      <c r="K44" s="651" t="s">
        <v>51</v>
      </c>
      <c r="L44" s="652"/>
      <c r="M44" s="127"/>
      <c r="N44" s="188"/>
      <c r="O44" s="198"/>
      <c r="P44" s="384"/>
      <c r="Q44" s="384"/>
      <c r="R44" s="198"/>
    </row>
    <row r="45" spans="1:18" ht="13.5">
      <c r="A45" s="654">
        <v>8</v>
      </c>
      <c r="B45" s="657" t="s">
        <v>379</v>
      </c>
      <c r="C45" s="199">
        <v>1</v>
      </c>
      <c r="D45" s="648" t="s">
        <v>533</v>
      </c>
      <c r="E45" s="649"/>
      <c r="F45" s="650"/>
      <c r="G45" s="199">
        <v>19</v>
      </c>
      <c r="H45" s="201">
        <v>3191.1179423240069</v>
      </c>
      <c r="I45" s="202">
        <v>167.95357591178981</v>
      </c>
      <c r="J45" s="351">
        <f>I45-I19</f>
        <v>3.7894736841991516E-2</v>
      </c>
      <c r="K45" s="639" t="s">
        <v>427</v>
      </c>
      <c r="L45" s="640"/>
      <c r="M45" s="98"/>
      <c r="O45" s="198"/>
      <c r="P45" s="384"/>
      <c r="Q45" s="384"/>
      <c r="R45" s="198"/>
    </row>
    <row r="46" spans="1:18" ht="13.5">
      <c r="A46" s="655"/>
      <c r="B46" s="658"/>
      <c r="C46" s="199">
        <v>2</v>
      </c>
      <c r="D46" s="648" t="s">
        <v>614</v>
      </c>
      <c r="E46" s="649"/>
      <c r="F46" s="650"/>
      <c r="G46" s="199">
        <v>19</v>
      </c>
      <c r="H46" s="201">
        <v>3188.4312659167049</v>
      </c>
      <c r="I46" s="202">
        <v>167.81217189035289</v>
      </c>
      <c r="J46" s="351">
        <f>I46-I22</f>
        <v>0.19018974043720505</v>
      </c>
      <c r="K46" s="639" t="s">
        <v>427</v>
      </c>
      <c r="L46" s="640"/>
      <c r="M46" s="98"/>
      <c r="O46" s="177"/>
      <c r="P46" s="383"/>
      <c r="Q46" s="383"/>
      <c r="R46" s="177"/>
    </row>
    <row r="47" spans="1:18" ht="13.5">
      <c r="A47" s="655"/>
      <c r="B47" s="658"/>
      <c r="C47" s="199">
        <v>3</v>
      </c>
      <c r="D47" s="648" t="s">
        <v>543</v>
      </c>
      <c r="E47" s="649"/>
      <c r="F47" s="650"/>
      <c r="G47" s="199">
        <v>19</v>
      </c>
      <c r="H47" s="201">
        <v>3187.7634355198265</v>
      </c>
      <c r="I47" s="202">
        <v>167.77702292209611</v>
      </c>
      <c r="J47" s="351">
        <f>I47-I20</f>
        <v>3.6992481202901217E-2</v>
      </c>
      <c r="K47" s="639" t="s">
        <v>427</v>
      </c>
      <c r="L47" s="640"/>
      <c r="M47" s="98"/>
      <c r="O47" s="198"/>
      <c r="P47" s="384"/>
      <c r="Q47" s="384"/>
      <c r="R47" s="198"/>
    </row>
    <row r="48" spans="1:18" ht="13.5">
      <c r="A48" s="655"/>
      <c r="B48" s="658"/>
      <c r="C48" s="199">
        <v>4</v>
      </c>
      <c r="D48" s="648" t="s">
        <v>539</v>
      </c>
      <c r="E48" s="649"/>
      <c r="F48" s="650"/>
      <c r="G48" s="199">
        <v>19</v>
      </c>
      <c r="H48" s="201">
        <v>3187.4416259245554</v>
      </c>
      <c r="I48" s="202">
        <v>167.76008557497661</v>
      </c>
      <c r="J48" s="351">
        <f>I48-I21</f>
        <v>8.9453184539280528E-2</v>
      </c>
      <c r="K48" s="639" t="s">
        <v>427</v>
      </c>
      <c r="L48" s="640"/>
      <c r="M48" s="98"/>
      <c r="O48" s="198"/>
      <c r="P48" s="384"/>
      <c r="Q48" s="384"/>
      <c r="R48" s="198"/>
    </row>
    <row r="49" spans="1:18" ht="13.5">
      <c r="A49" s="655"/>
      <c r="B49" s="658"/>
      <c r="C49" s="199">
        <v>5</v>
      </c>
      <c r="D49" s="648" t="s">
        <v>531</v>
      </c>
      <c r="E49" s="649"/>
      <c r="F49" s="650"/>
      <c r="G49" s="199">
        <v>20</v>
      </c>
      <c r="H49" s="201">
        <v>3261.8936650019027</v>
      </c>
      <c r="I49" s="202">
        <v>163.09468325009513</v>
      </c>
      <c r="J49" s="351">
        <f>I49-I23</f>
        <v>3.0857142857144026E-2</v>
      </c>
      <c r="K49" s="639" t="s">
        <v>427</v>
      </c>
      <c r="L49" s="640"/>
      <c r="M49" s="98"/>
      <c r="O49" s="198"/>
      <c r="P49" s="384"/>
      <c r="Q49" s="384"/>
      <c r="R49" s="198"/>
    </row>
    <row r="50" spans="1:18" ht="13.5">
      <c r="A50" s="655"/>
      <c r="B50" s="658"/>
      <c r="C50" s="203" t="s">
        <v>204</v>
      </c>
      <c r="D50" s="648" t="s">
        <v>597</v>
      </c>
      <c r="E50" s="649"/>
      <c r="F50" s="650"/>
      <c r="G50" s="199">
        <v>24</v>
      </c>
      <c r="H50" s="201">
        <v>3256.7237514563381</v>
      </c>
      <c r="I50" s="202">
        <v>135.69682297734741</v>
      </c>
      <c r="J50" s="351">
        <f>I50-I24</f>
        <v>-4.0714285714273046E-2</v>
      </c>
      <c r="K50" s="639" t="s">
        <v>427</v>
      </c>
      <c r="L50" s="640"/>
      <c r="M50" s="98"/>
      <c r="O50" s="198"/>
      <c r="P50" s="384"/>
      <c r="Q50" s="384"/>
      <c r="R50" s="198"/>
    </row>
    <row r="51" spans="1:18" ht="13.5">
      <c r="A51" s="655"/>
      <c r="B51" s="658"/>
      <c r="C51" s="203" t="s">
        <v>209</v>
      </c>
      <c r="D51" s="648" t="s">
        <v>630</v>
      </c>
      <c r="E51" s="649"/>
      <c r="F51" s="650"/>
      <c r="G51" s="199">
        <v>24</v>
      </c>
      <c r="H51" s="201">
        <v>3263.9162396842435</v>
      </c>
      <c r="I51" s="202">
        <v>135.99650998684348</v>
      </c>
      <c r="J51" s="351">
        <f>I51-I25</f>
        <v>6.4285714285659878E-2</v>
      </c>
      <c r="K51" s="639" t="s">
        <v>427</v>
      </c>
      <c r="L51" s="640"/>
      <c r="M51" s="98"/>
      <c r="O51" s="198"/>
      <c r="P51" s="384"/>
      <c r="Q51" s="384"/>
      <c r="R51" s="198"/>
    </row>
    <row r="52" spans="1:18" ht="13.5">
      <c r="A52" s="655"/>
      <c r="B52" s="658"/>
      <c r="C52" s="203" t="s">
        <v>205</v>
      </c>
      <c r="D52" s="648" t="s">
        <v>532</v>
      </c>
      <c r="E52" s="649"/>
      <c r="F52" s="650"/>
      <c r="G52" s="199">
        <v>21</v>
      </c>
      <c r="H52" s="201">
        <v>3260.0206533589308</v>
      </c>
      <c r="I52" s="202">
        <v>155.23907873137765</v>
      </c>
      <c r="J52" s="351">
        <f>I52-I26</f>
        <v>0.12979591836739246</v>
      </c>
      <c r="K52" s="639" t="s">
        <v>427</v>
      </c>
      <c r="L52" s="640"/>
      <c r="M52" s="98"/>
      <c r="O52" s="198"/>
      <c r="P52" s="384"/>
      <c r="Q52" s="384"/>
      <c r="R52" s="198"/>
    </row>
    <row r="53" spans="1:18">
      <c r="A53" s="655"/>
      <c r="B53" s="658"/>
      <c r="C53" s="203" t="s">
        <v>210</v>
      </c>
      <c r="D53" s="648" t="s">
        <v>776</v>
      </c>
      <c r="E53" s="649"/>
      <c r="F53" s="650"/>
      <c r="G53" s="199">
        <v>20</v>
      </c>
      <c r="H53" s="201">
        <v>3118.1563459605654</v>
      </c>
      <c r="I53" s="202">
        <v>155.90781729802828</v>
      </c>
      <c r="J53" s="351"/>
      <c r="K53" s="664" t="s">
        <v>807</v>
      </c>
      <c r="L53" s="650"/>
      <c r="M53" s="98"/>
      <c r="O53" s="198"/>
      <c r="P53" s="384"/>
      <c r="Q53" s="384"/>
      <c r="R53" s="198"/>
    </row>
    <row r="54" spans="1:18" ht="13.5">
      <c r="A54" s="656"/>
      <c r="B54" s="659"/>
      <c r="C54" s="203" t="s">
        <v>211</v>
      </c>
      <c r="D54" s="648"/>
      <c r="E54" s="649"/>
      <c r="F54" s="650"/>
      <c r="G54" s="199"/>
      <c r="H54" s="201"/>
      <c r="I54" s="202"/>
      <c r="J54" s="199"/>
      <c r="K54" s="648"/>
      <c r="L54" s="650"/>
      <c r="M54" s="98"/>
      <c r="O54" s="198"/>
      <c r="P54" s="384"/>
      <c r="Q54" s="384"/>
      <c r="R54" s="198"/>
    </row>
    <row r="55" spans="1:18" s="188" customFormat="1" ht="15.75" customHeight="1">
      <c r="A55" s="645" t="s">
        <v>771</v>
      </c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</row>
    <row r="56" spans="1:18" s="189" customFormat="1" ht="15.75" customHeight="1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</row>
    <row r="57" spans="1:18" s="105" customFormat="1" ht="16.350000000000001" customHeight="1">
      <c r="A57" s="654" t="s">
        <v>162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90">
        <v>7</v>
      </c>
      <c r="I57" s="190">
        <v>8</v>
      </c>
      <c r="J57" s="169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50000000000001" customHeight="1">
      <c r="A58" s="656"/>
      <c r="B58" s="194" t="s">
        <v>206</v>
      </c>
      <c r="C58" s="194" t="s">
        <v>155</v>
      </c>
      <c r="D58" s="194" t="s">
        <v>207</v>
      </c>
      <c r="E58" s="194" t="s">
        <v>156</v>
      </c>
      <c r="F58" s="194" t="s">
        <v>138</v>
      </c>
      <c r="G58" s="195" t="s">
        <v>136</v>
      </c>
      <c r="H58" s="193" t="s">
        <v>208</v>
      </c>
      <c r="I58" s="208" t="s">
        <v>373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660" t="s">
        <v>188</v>
      </c>
      <c r="B59" s="661"/>
      <c r="C59" s="159" t="s">
        <v>47</v>
      </c>
      <c r="D59" s="660" t="s">
        <v>12</v>
      </c>
      <c r="E59" s="662"/>
      <c r="F59" s="661"/>
      <c r="G59" s="159" t="s">
        <v>46</v>
      </c>
      <c r="H59" s="159" t="s">
        <v>374</v>
      </c>
      <c r="I59" s="159" t="s">
        <v>375</v>
      </c>
      <c r="J59" s="159" t="s">
        <v>332</v>
      </c>
      <c r="K59" s="660" t="s">
        <v>51</v>
      </c>
      <c r="L59" s="661"/>
      <c r="M59" s="126"/>
      <c r="N59" s="188"/>
      <c r="O59" s="198"/>
      <c r="P59" s="384"/>
      <c r="Q59" s="384"/>
      <c r="R59" s="198"/>
    </row>
    <row r="60" spans="1:18" ht="15">
      <c r="A60" s="654">
        <v>7</v>
      </c>
      <c r="B60" s="657" t="s">
        <v>378</v>
      </c>
      <c r="C60" s="199">
        <v>1</v>
      </c>
      <c r="D60" s="663"/>
      <c r="E60" s="640"/>
      <c r="F60" s="640"/>
      <c r="G60" s="199"/>
      <c r="H60" s="201"/>
      <c r="I60" s="202"/>
      <c r="J60" s="199"/>
      <c r="K60" s="648"/>
      <c r="L60" s="650"/>
      <c r="N60" s="387"/>
      <c r="O60" s="198"/>
      <c r="P60" s="384"/>
      <c r="Q60" s="384"/>
      <c r="R60" s="198"/>
    </row>
    <row r="61" spans="1:18" ht="15">
      <c r="A61" s="655"/>
      <c r="B61" s="658"/>
      <c r="C61" s="199">
        <v>2</v>
      </c>
      <c r="D61" s="663"/>
      <c r="E61" s="640"/>
      <c r="F61" s="640"/>
      <c r="G61" s="199"/>
      <c r="H61" s="201"/>
      <c r="I61" s="202"/>
      <c r="J61" s="199"/>
      <c r="K61" s="648"/>
      <c r="L61" s="650"/>
      <c r="O61" s="198"/>
      <c r="P61" s="384"/>
      <c r="Q61" s="384"/>
      <c r="R61" s="198"/>
    </row>
    <row r="62" spans="1:18" ht="13.5">
      <c r="A62" s="655"/>
      <c r="B62" s="658"/>
      <c r="C62" s="199">
        <v>3</v>
      </c>
      <c r="D62" s="648"/>
      <c r="E62" s="649"/>
      <c r="F62" s="650"/>
      <c r="G62" s="199"/>
      <c r="H62" s="201"/>
      <c r="I62" s="202"/>
      <c r="J62" s="199"/>
      <c r="K62" s="648"/>
      <c r="L62" s="650"/>
      <c r="O62" s="198"/>
      <c r="P62" s="384"/>
      <c r="Q62" s="384"/>
      <c r="R62" s="198"/>
    </row>
    <row r="63" spans="1:18" ht="13.5">
      <c r="A63" s="655"/>
      <c r="B63" s="658"/>
      <c r="C63" s="199">
        <v>4</v>
      </c>
      <c r="D63" s="648"/>
      <c r="E63" s="649"/>
      <c r="F63" s="650"/>
      <c r="G63" s="199"/>
      <c r="H63" s="201"/>
      <c r="I63" s="202"/>
      <c r="J63" s="199"/>
      <c r="K63" s="648"/>
      <c r="L63" s="650"/>
      <c r="O63" s="198"/>
      <c r="P63" s="384"/>
      <c r="Q63" s="384"/>
      <c r="R63" s="198"/>
    </row>
    <row r="64" spans="1:18" ht="13.5">
      <c r="A64" s="655"/>
      <c r="B64" s="658"/>
      <c r="C64" s="199">
        <v>5</v>
      </c>
      <c r="D64" s="648"/>
      <c r="E64" s="649"/>
      <c r="F64" s="650"/>
      <c r="G64" s="199"/>
      <c r="H64" s="201"/>
      <c r="I64" s="202"/>
      <c r="J64" s="199"/>
      <c r="K64" s="648"/>
      <c r="L64" s="650"/>
      <c r="N64" s="177"/>
      <c r="O64" s="198"/>
      <c r="P64" s="384"/>
      <c r="Q64" s="384"/>
      <c r="R64" s="198"/>
    </row>
    <row r="65" spans="1:18" ht="13.5">
      <c r="A65" s="655"/>
      <c r="B65" s="658"/>
      <c r="C65" s="203" t="s">
        <v>204</v>
      </c>
      <c r="D65" s="648"/>
      <c r="E65" s="649"/>
      <c r="F65" s="650"/>
      <c r="G65" s="199"/>
      <c r="H65" s="201"/>
      <c r="I65" s="202"/>
      <c r="J65" s="199"/>
      <c r="K65" s="648"/>
      <c r="L65" s="650"/>
      <c r="N65" s="387"/>
      <c r="O65" s="198"/>
      <c r="P65" s="384"/>
      <c r="Q65" s="384"/>
      <c r="R65" s="198"/>
    </row>
    <row r="66" spans="1:18" ht="13.5">
      <c r="A66" s="655"/>
      <c r="B66" s="658"/>
      <c r="C66" s="203" t="s">
        <v>209</v>
      </c>
      <c r="D66" s="648"/>
      <c r="E66" s="649"/>
      <c r="F66" s="650"/>
      <c r="G66" s="199"/>
      <c r="H66" s="201"/>
      <c r="I66" s="202"/>
      <c r="J66" s="199"/>
      <c r="K66" s="648"/>
      <c r="L66" s="650"/>
      <c r="O66" s="198"/>
      <c r="P66" s="384"/>
      <c r="Q66" s="384"/>
      <c r="R66" s="198"/>
    </row>
    <row r="67" spans="1:18" ht="13.5">
      <c r="A67" s="655"/>
      <c r="B67" s="658"/>
      <c r="C67" s="203" t="s">
        <v>205</v>
      </c>
      <c r="D67" s="648"/>
      <c r="E67" s="649"/>
      <c r="F67" s="650"/>
      <c r="G67" s="199"/>
      <c r="H67" s="201"/>
      <c r="I67" s="202"/>
      <c r="J67" s="199"/>
      <c r="K67" s="648"/>
      <c r="L67" s="650"/>
      <c r="O67" s="198"/>
      <c r="P67" s="384"/>
      <c r="Q67" s="384"/>
      <c r="R67" s="198"/>
    </row>
    <row r="68" spans="1:18" ht="13.5">
      <c r="A68" s="655"/>
      <c r="B68" s="658"/>
      <c r="C68" s="203" t="s">
        <v>210</v>
      </c>
      <c r="D68" s="648"/>
      <c r="E68" s="649"/>
      <c r="F68" s="650"/>
      <c r="G68" s="199"/>
      <c r="H68" s="201"/>
      <c r="I68" s="202"/>
      <c r="J68" s="199"/>
      <c r="K68" s="648"/>
      <c r="L68" s="650"/>
      <c r="M68" s="98"/>
      <c r="O68" s="198"/>
      <c r="P68" s="384"/>
      <c r="Q68" s="384"/>
      <c r="R68" s="198"/>
    </row>
    <row r="69" spans="1:18" ht="13.5">
      <c r="A69" s="656"/>
      <c r="B69" s="659"/>
      <c r="C69" s="203" t="s">
        <v>211</v>
      </c>
      <c r="D69" s="648"/>
      <c r="E69" s="649"/>
      <c r="F69" s="650"/>
      <c r="G69" s="199"/>
      <c r="H69" s="201"/>
      <c r="I69" s="202"/>
      <c r="J69" s="199"/>
      <c r="K69" s="648"/>
      <c r="L69" s="650"/>
      <c r="M69" s="98"/>
      <c r="N69" s="198"/>
      <c r="O69" s="198"/>
      <c r="P69" s="384"/>
      <c r="Q69" s="384"/>
      <c r="R69" s="198"/>
    </row>
    <row r="70" spans="1:18" s="103" customFormat="1" ht="14.25">
      <c r="A70" s="651" t="s">
        <v>188</v>
      </c>
      <c r="B70" s="652"/>
      <c r="C70" s="206" t="s">
        <v>47</v>
      </c>
      <c r="D70" s="651" t="s">
        <v>12</v>
      </c>
      <c r="E70" s="653"/>
      <c r="F70" s="652"/>
      <c r="G70" s="206" t="s">
        <v>46</v>
      </c>
      <c r="H70" s="206" t="s">
        <v>374</v>
      </c>
      <c r="I70" s="206" t="s">
        <v>375</v>
      </c>
      <c r="J70" s="159" t="s">
        <v>332</v>
      </c>
      <c r="K70" s="651" t="s">
        <v>51</v>
      </c>
      <c r="L70" s="652"/>
      <c r="M70" s="127"/>
      <c r="N70" s="188"/>
      <c r="O70" s="198"/>
      <c r="P70" s="384"/>
      <c r="Q70" s="384"/>
      <c r="R70" s="198"/>
    </row>
    <row r="71" spans="1:18" ht="13.5">
      <c r="A71" s="654">
        <v>8</v>
      </c>
      <c r="B71" s="657" t="s">
        <v>379</v>
      </c>
      <c r="C71" s="199">
        <v>1</v>
      </c>
      <c r="D71" s="648" t="s">
        <v>533</v>
      </c>
      <c r="E71" s="649"/>
      <c r="F71" s="650"/>
      <c r="G71" s="199">
        <v>19</v>
      </c>
      <c r="H71" s="201">
        <v>3192.0436566097187</v>
      </c>
      <c r="I71" s="202">
        <v>168.00229771630097</v>
      </c>
      <c r="J71" s="351">
        <f>I71-I45</f>
        <v>4.8721804511160371E-2</v>
      </c>
      <c r="K71" s="639"/>
      <c r="L71" s="640"/>
      <c r="M71" s="98"/>
      <c r="O71" s="198"/>
      <c r="P71" s="384"/>
      <c r="Q71" s="384"/>
      <c r="R71" s="198"/>
    </row>
    <row r="72" spans="1:18" ht="13.5">
      <c r="A72" s="655"/>
      <c r="B72" s="658"/>
      <c r="C72" s="199">
        <v>2</v>
      </c>
      <c r="D72" s="648" t="s">
        <v>614</v>
      </c>
      <c r="E72" s="649"/>
      <c r="F72" s="650"/>
      <c r="G72" s="199">
        <v>19</v>
      </c>
      <c r="H72" s="201">
        <v>3191.8521555976813</v>
      </c>
      <c r="I72" s="202">
        <v>167.99221871566743</v>
      </c>
      <c r="J72" s="351">
        <f>I72-I46</f>
        <v>0.18004682531454819</v>
      </c>
      <c r="K72" s="639"/>
      <c r="L72" s="640"/>
      <c r="M72" s="98"/>
      <c r="O72" s="177"/>
      <c r="P72" s="383"/>
      <c r="Q72" s="383"/>
      <c r="R72" s="177"/>
    </row>
    <row r="73" spans="1:18" ht="13.5">
      <c r="A73" s="655"/>
      <c r="B73" s="658"/>
      <c r="C73" s="199">
        <v>3</v>
      </c>
      <c r="D73" s="648" t="s">
        <v>531</v>
      </c>
      <c r="E73" s="649"/>
      <c r="F73" s="650"/>
      <c r="G73" s="199">
        <v>20</v>
      </c>
      <c r="H73" s="201">
        <v>3259.7336650019024</v>
      </c>
      <c r="I73" s="202">
        <v>162.98668325009513</v>
      </c>
      <c r="J73" s="351">
        <f>I73-I49</f>
        <v>-0.10800000000000409</v>
      </c>
      <c r="K73" s="639"/>
      <c r="L73" s="640"/>
      <c r="M73" s="98"/>
      <c r="O73" s="198"/>
      <c r="P73" s="384"/>
      <c r="Q73" s="384"/>
      <c r="R73" s="198"/>
    </row>
    <row r="74" spans="1:18" ht="13.5">
      <c r="A74" s="655"/>
      <c r="B74" s="658"/>
      <c r="C74" s="199">
        <v>4</v>
      </c>
      <c r="D74" s="648" t="s">
        <v>776</v>
      </c>
      <c r="E74" s="649"/>
      <c r="F74" s="650"/>
      <c r="G74" s="199">
        <v>20</v>
      </c>
      <c r="H74" s="201">
        <v>3257.0491357591882</v>
      </c>
      <c r="I74" s="202">
        <v>162.8524567879594</v>
      </c>
      <c r="J74" s="351">
        <f>I74-I53</f>
        <v>6.9446394899311201</v>
      </c>
      <c r="K74" s="639"/>
      <c r="L74" s="640"/>
      <c r="M74" s="98"/>
      <c r="O74" s="198"/>
      <c r="P74" s="384"/>
      <c r="Q74" s="384"/>
      <c r="R74" s="198"/>
    </row>
    <row r="75" spans="1:18" ht="13.5">
      <c r="A75" s="655"/>
      <c r="B75" s="658"/>
      <c r="C75" s="199">
        <v>5</v>
      </c>
      <c r="D75" s="648" t="s">
        <v>532</v>
      </c>
      <c r="E75" s="649"/>
      <c r="F75" s="650"/>
      <c r="G75" s="199">
        <v>21</v>
      </c>
      <c r="H75" s="201">
        <v>3262.0777962160751</v>
      </c>
      <c r="I75" s="202">
        <v>155.33703791505118</v>
      </c>
      <c r="J75" s="351">
        <f>I75-I52</f>
        <v>9.7959183673538064E-2</v>
      </c>
      <c r="K75" s="639"/>
      <c r="L75" s="640"/>
      <c r="M75" s="98"/>
      <c r="O75" s="198"/>
      <c r="P75" s="384"/>
      <c r="Q75" s="384"/>
      <c r="R75" s="198"/>
    </row>
    <row r="76" spans="1:18" ht="13.5">
      <c r="A76" s="655"/>
      <c r="B76" s="658"/>
      <c r="C76" s="203" t="s">
        <v>204</v>
      </c>
      <c r="D76" s="648" t="s">
        <v>597</v>
      </c>
      <c r="E76" s="649"/>
      <c r="F76" s="650"/>
      <c r="G76" s="199">
        <v>24</v>
      </c>
      <c r="H76" s="201">
        <v>3261.4234651247284</v>
      </c>
      <c r="I76" s="202">
        <v>135.89264438019703</v>
      </c>
      <c r="J76" s="351">
        <f>I76-I50</f>
        <v>0.19582140284961724</v>
      </c>
      <c r="K76" s="639"/>
      <c r="L76" s="640"/>
      <c r="M76" s="98"/>
      <c r="O76" s="198"/>
      <c r="P76" s="384"/>
      <c r="Q76" s="384"/>
      <c r="R76" s="198"/>
    </row>
    <row r="77" spans="1:18" ht="13.5">
      <c r="A77" s="655"/>
      <c r="B77" s="658"/>
      <c r="C77" s="203" t="s">
        <v>209</v>
      </c>
      <c r="D77" s="648" t="s">
        <v>630</v>
      </c>
      <c r="E77" s="649"/>
      <c r="F77" s="650"/>
      <c r="G77" s="199">
        <v>24</v>
      </c>
      <c r="H77" s="201">
        <v>3266.0248111128135</v>
      </c>
      <c r="I77" s="202">
        <v>136.08436712970055</v>
      </c>
      <c r="J77" s="351">
        <f>I77-I51</f>
        <v>8.7857142857075132E-2</v>
      </c>
      <c r="K77" s="639"/>
      <c r="L77" s="640"/>
      <c r="M77" s="98"/>
      <c r="O77" s="198"/>
      <c r="P77" s="384"/>
      <c r="Q77" s="384"/>
      <c r="R77" s="198"/>
    </row>
    <row r="78" spans="1:18" ht="13.5">
      <c r="A78" s="655"/>
      <c r="B78" s="658"/>
      <c r="C78" s="203" t="s">
        <v>205</v>
      </c>
      <c r="D78" s="648"/>
      <c r="E78" s="649"/>
      <c r="F78" s="650"/>
      <c r="G78" s="199"/>
      <c r="H78" s="201"/>
      <c r="I78" s="202"/>
      <c r="J78" s="351"/>
      <c r="K78" s="639"/>
      <c r="L78" s="640"/>
      <c r="M78" s="98"/>
      <c r="O78" s="198"/>
      <c r="P78" s="384"/>
      <c r="Q78" s="384"/>
      <c r="R78" s="198"/>
    </row>
    <row r="79" spans="1:18" ht="13.5">
      <c r="A79" s="655"/>
      <c r="B79" s="658"/>
      <c r="C79" s="203" t="s">
        <v>210</v>
      </c>
      <c r="D79" s="648"/>
      <c r="E79" s="649"/>
      <c r="F79" s="650"/>
      <c r="G79" s="199"/>
      <c r="H79" s="201"/>
      <c r="I79" s="202"/>
      <c r="J79" s="199"/>
      <c r="K79" s="648"/>
      <c r="L79" s="650"/>
      <c r="M79" s="98"/>
      <c r="O79" s="198"/>
      <c r="P79" s="384"/>
      <c r="Q79" s="384"/>
      <c r="R79" s="198"/>
    </row>
    <row r="80" spans="1:18" ht="13.5">
      <c r="A80" s="656"/>
      <c r="B80" s="659"/>
      <c r="C80" s="203" t="s">
        <v>211</v>
      </c>
      <c r="D80" s="648"/>
      <c r="E80" s="649"/>
      <c r="F80" s="650"/>
      <c r="G80" s="199"/>
      <c r="H80" s="201"/>
      <c r="I80" s="202"/>
      <c r="J80" s="199"/>
      <c r="K80" s="648"/>
      <c r="L80" s="650"/>
      <c r="M80" s="98"/>
      <c r="O80" s="198"/>
      <c r="P80" s="384"/>
      <c r="Q80" s="384"/>
      <c r="R80" s="198"/>
    </row>
    <row r="81" spans="1:19" ht="15.75" customHeight="1">
      <c r="A81" s="645" t="s">
        <v>827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188"/>
      <c r="N81" s="178"/>
      <c r="O81" s="178"/>
      <c r="P81" s="178"/>
      <c r="Q81" s="178"/>
      <c r="R81" s="178"/>
      <c r="S81" s="188"/>
    </row>
    <row r="82" spans="1:19" s="99" customFormat="1" ht="15.75" customHeight="1">
      <c r="A82" s="645"/>
      <c r="B82" s="645"/>
      <c r="C82" s="645"/>
      <c r="D82" s="645"/>
      <c r="E82" s="645"/>
      <c r="F82" s="645"/>
      <c r="G82" s="645"/>
      <c r="H82" s="645"/>
      <c r="I82" s="645"/>
      <c r="J82" s="645"/>
      <c r="K82" s="645"/>
      <c r="L82" s="645"/>
      <c r="M82" s="189"/>
      <c r="N82" s="525"/>
      <c r="O82" s="525"/>
      <c r="P82" s="525"/>
      <c r="Q82" s="525"/>
      <c r="R82" s="525"/>
      <c r="S82" s="189"/>
    </row>
    <row r="83" spans="1:19" s="105" customFormat="1" ht="16.350000000000001" customHeight="1">
      <c r="A83" s="654" t="s">
        <v>162</v>
      </c>
      <c r="B83" s="169">
        <v>1</v>
      </c>
      <c r="C83" s="169">
        <v>2</v>
      </c>
      <c r="D83" s="169">
        <v>3</v>
      </c>
      <c r="E83" s="169">
        <v>4</v>
      </c>
      <c r="F83" s="169">
        <v>5</v>
      </c>
      <c r="G83" s="169">
        <v>6</v>
      </c>
      <c r="H83" s="190">
        <v>7</v>
      </c>
      <c r="I83" s="190">
        <v>8</v>
      </c>
      <c r="J83" s="169">
        <v>9</v>
      </c>
      <c r="K83" s="191"/>
      <c r="L83" s="191"/>
      <c r="M83" s="126"/>
      <c r="N83" s="177"/>
      <c r="O83" s="177"/>
      <c r="P83" s="177"/>
      <c r="Q83" s="177"/>
      <c r="R83" s="177"/>
    </row>
    <row r="84" spans="1:19" ht="16.350000000000001" customHeight="1">
      <c r="A84" s="656"/>
      <c r="B84" s="194" t="s">
        <v>206</v>
      </c>
      <c r="C84" s="194" t="s">
        <v>155</v>
      </c>
      <c r="D84" s="194" t="s">
        <v>207</v>
      </c>
      <c r="E84" s="194" t="s">
        <v>156</v>
      </c>
      <c r="F84" s="194" t="s">
        <v>138</v>
      </c>
      <c r="G84" s="195" t="s">
        <v>136</v>
      </c>
      <c r="H84" s="193" t="s">
        <v>208</v>
      </c>
      <c r="I84" s="208" t="s">
        <v>373</v>
      </c>
      <c r="J84" s="195" t="s">
        <v>142</v>
      </c>
      <c r="K84" s="197"/>
      <c r="L84" s="197"/>
      <c r="N84" s="198"/>
      <c r="O84" s="198"/>
      <c r="P84" s="198"/>
      <c r="Q84" s="198"/>
      <c r="R84" s="198"/>
    </row>
    <row r="85" spans="1:19" s="105" customFormat="1" ht="15.75" customHeight="1">
      <c r="A85" s="660" t="s">
        <v>188</v>
      </c>
      <c r="B85" s="661"/>
      <c r="C85" s="159" t="s">
        <v>47</v>
      </c>
      <c r="D85" s="660" t="s">
        <v>12</v>
      </c>
      <c r="E85" s="662"/>
      <c r="F85" s="661"/>
      <c r="G85" s="159" t="s">
        <v>46</v>
      </c>
      <c r="H85" s="159" t="s">
        <v>374</v>
      </c>
      <c r="I85" s="159" t="s">
        <v>375</v>
      </c>
      <c r="J85" s="159" t="s">
        <v>332</v>
      </c>
      <c r="K85" s="660" t="s">
        <v>51</v>
      </c>
      <c r="L85" s="661"/>
      <c r="M85" s="126"/>
      <c r="N85" s="188"/>
      <c r="O85" s="198"/>
      <c r="P85" s="384"/>
      <c r="Q85" s="384"/>
      <c r="R85" s="198"/>
    </row>
    <row r="86" spans="1:19" ht="15">
      <c r="A86" s="654">
        <v>7</v>
      </c>
      <c r="B86" s="657" t="s">
        <v>378</v>
      </c>
      <c r="C86" s="199">
        <v>1</v>
      </c>
      <c r="D86" s="663"/>
      <c r="E86" s="640"/>
      <c r="F86" s="640"/>
      <c r="G86" s="199"/>
      <c r="H86" s="201"/>
      <c r="I86" s="202"/>
      <c r="J86" s="199"/>
      <c r="K86" s="648"/>
      <c r="L86" s="650"/>
      <c r="N86" s="387"/>
      <c r="O86" s="198"/>
      <c r="P86" s="384"/>
      <c r="Q86" s="384"/>
      <c r="R86" s="198"/>
    </row>
    <row r="87" spans="1:19" ht="15">
      <c r="A87" s="655"/>
      <c r="B87" s="658"/>
      <c r="C87" s="199">
        <v>2</v>
      </c>
      <c r="D87" s="663"/>
      <c r="E87" s="640"/>
      <c r="F87" s="640"/>
      <c r="G87" s="199"/>
      <c r="H87" s="201"/>
      <c r="I87" s="202"/>
      <c r="J87" s="199"/>
      <c r="K87" s="648"/>
      <c r="L87" s="650"/>
      <c r="O87" s="198"/>
      <c r="P87" s="384"/>
      <c r="Q87" s="384"/>
      <c r="R87" s="198"/>
    </row>
    <row r="88" spans="1:19" ht="13.5">
      <c r="A88" s="655"/>
      <c r="B88" s="658"/>
      <c r="C88" s="199">
        <v>3</v>
      </c>
      <c r="D88" s="648"/>
      <c r="E88" s="649"/>
      <c r="F88" s="650"/>
      <c r="G88" s="199"/>
      <c r="H88" s="201"/>
      <c r="I88" s="202"/>
      <c r="J88" s="199"/>
      <c r="K88" s="648"/>
      <c r="L88" s="650"/>
      <c r="O88" s="198"/>
      <c r="P88" s="384"/>
      <c r="Q88" s="384"/>
      <c r="R88" s="198"/>
    </row>
    <row r="89" spans="1:19" ht="13.5">
      <c r="A89" s="655"/>
      <c r="B89" s="658"/>
      <c r="C89" s="199">
        <v>4</v>
      </c>
      <c r="D89" s="648"/>
      <c r="E89" s="649"/>
      <c r="F89" s="650"/>
      <c r="G89" s="199"/>
      <c r="H89" s="201"/>
      <c r="I89" s="202"/>
      <c r="J89" s="199"/>
      <c r="K89" s="648"/>
      <c r="L89" s="650"/>
      <c r="O89" s="198"/>
      <c r="P89" s="384"/>
      <c r="Q89" s="384"/>
      <c r="R89" s="198"/>
    </row>
    <row r="90" spans="1:19" ht="13.5">
      <c r="A90" s="655"/>
      <c r="B90" s="658"/>
      <c r="C90" s="199">
        <v>5</v>
      </c>
      <c r="D90" s="648"/>
      <c r="E90" s="649"/>
      <c r="F90" s="650"/>
      <c r="G90" s="199"/>
      <c r="H90" s="201"/>
      <c r="I90" s="202"/>
      <c r="J90" s="199"/>
      <c r="K90" s="648"/>
      <c r="L90" s="650"/>
      <c r="N90" s="177"/>
      <c r="O90" s="198"/>
      <c r="P90" s="384"/>
      <c r="Q90" s="384"/>
      <c r="R90" s="198"/>
    </row>
    <row r="91" spans="1:19" ht="13.5">
      <c r="A91" s="655"/>
      <c r="B91" s="658"/>
      <c r="C91" s="203" t="s">
        <v>204</v>
      </c>
      <c r="D91" s="648"/>
      <c r="E91" s="649"/>
      <c r="F91" s="650"/>
      <c r="G91" s="199"/>
      <c r="H91" s="201"/>
      <c r="I91" s="202"/>
      <c r="J91" s="199"/>
      <c r="K91" s="648"/>
      <c r="L91" s="650"/>
      <c r="N91" s="387"/>
      <c r="O91" s="198"/>
      <c r="P91" s="384"/>
      <c r="Q91" s="384"/>
      <c r="R91" s="198"/>
    </row>
    <row r="92" spans="1:19" ht="13.5">
      <c r="A92" s="655"/>
      <c r="B92" s="658"/>
      <c r="C92" s="203" t="s">
        <v>209</v>
      </c>
      <c r="D92" s="648"/>
      <c r="E92" s="649"/>
      <c r="F92" s="650"/>
      <c r="G92" s="199"/>
      <c r="H92" s="201"/>
      <c r="I92" s="202"/>
      <c r="J92" s="199"/>
      <c r="K92" s="648"/>
      <c r="L92" s="650"/>
      <c r="O92" s="198"/>
      <c r="P92" s="384"/>
      <c r="Q92" s="384"/>
      <c r="R92" s="198"/>
    </row>
    <row r="93" spans="1:19" ht="13.5">
      <c r="A93" s="655"/>
      <c r="B93" s="658"/>
      <c r="C93" s="203" t="s">
        <v>205</v>
      </c>
      <c r="D93" s="648"/>
      <c r="E93" s="649"/>
      <c r="F93" s="650"/>
      <c r="G93" s="199"/>
      <c r="H93" s="201"/>
      <c r="I93" s="202"/>
      <c r="J93" s="199"/>
      <c r="K93" s="648"/>
      <c r="L93" s="650"/>
      <c r="O93" s="198"/>
      <c r="P93" s="384"/>
      <c r="Q93" s="384"/>
      <c r="R93" s="198"/>
    </row>
    <row r="94" spans="1:19" ht="13.5">
      <c r="A94" s="655"/>
      <c r="B94" s="658"/>
      <c r="C94" s="203" t="s">
        <v>210</v>
      </c>
      <c r="D94" s="648"/>
      <c r="E94" s="649"/>
      <c r="F94" s="650"/>
      <c r="G94" s="199"/>
      <c r="H94" s="201"/>
      <c r="I94" s="202"/>
      <c r="J94" s="199"/>
      <c r="K94" s="648"/>
      <c r="L94" s="650"/>
      <c r="M94" s="98"/>
      <c r="O94" s="198"/>
      <c r="P94" s="384"/>
      <c r="Q94" s="384"/>
      <c r="R94" s="198"/>
    </row>
    <row r="95" spans="1:19" ht="13.5">
      <c r="A95" s="656"/>
      <c r="B95" s="659"/>
      <c r="C95" s="203" t="s">
        <v>211</v>
      </c>
      <c r="D95" s="648"/>
      <c r="E95" s="649"/>
      <c r="F95" s="650"/>
      <c r="G95" s="199"/>
      <c r="H95" s="201"/>
      <c r="I95" s="202"/>
      <c r="J95" s="199"/>
      <c r="K95" s="648"/>
      <c r="L95" s="650"/>
      <c r="M95" s="98"/>
      <c r="N95" s="198"/>
      <c r="O95" s="198"/>
      <c r="P95" s="384"/>
      <c r="Q95" s="384"/>
      <c r="R95" s="198"/>
    </row>
    <row r="96" spans="1:19" s="103" customFormat="1" ht="14.25">
      <c r="A96" s="651" t="s">
        <v>188</v>
      </c>
      <c r="B96" s="652"/>
      <c r="C96" s="206" t="s">
        <v>47</v>
      </c>
      <c r="D96" s="651" t="s">
        <v>12</v>
      </c>
      <c r="E96" s="653"/>
      <c r="F96" s="652"/>
      <c r="G96" s="206" t="s">
        <v>46</v>
      </c>
      <c r="H96" s="206" t="s">
        <v>374</v>
      </c>
      <c r="I96" s="206" t="s">
        <v>375</v>
      </c>
      <c r="J96" s="159" t="s">
        <v>332</v>
      </c>
      <c r="K96" s="651" t="s">
        <v>51</v>
      </c>
      <c r="L96" s="652"/>
      <c r="M96" s="127"/>
      <c r="N96" s="188"/>
      <c r="O96" s="198"/>
      <c r="P96" s="384"/>
      <c r="Q96" s="384"/>
      <c r="R96" s="198"/>
    </row>
    <row r="97" spans="1:18" ht="13.5">
      <c r="A97" s="654">
        <v>8</v>
      </c>
      <c r="B97" s="657" t="s">
        <v>379</v>
      </c>
      <c r="C97" s="199">
        <v>1</v>
      </c>
      <c r="D97" s="648"/>
      <c r="E97" s="649"/>
      <c r="F97" s="650"/>
      <c r="G97" s="199"/>
      <c r="H97" s="201"/>
      <c r="I97" s="202"/>
      <c r="J97" s="351">
        <f>I97-I71</f>
        <v>-168.00229771630097</v>
      </c>
      <c r="K97" s="639"/>
      <c r="L97" s="640"/>
      <c r="M97" s="98"/>
      <c r="O97" s="198"/>
      <c r="P97" s="384"/>
      <c r="Q97" s="384"/>
      <c r="R97" s="198"/>
    </row>
    <row r="98" spans="1:18" ht="13.5">
      <c r="A98" s="655"/>
      <c r="B98" s="658"/>
      <c r="C98" s="199">
        <v>2</v>
      </c>
      <c r="D98" s="648"/>
      <c r="E98" s="649"/>
      <c r="F98" s="650"/>
      <c r="G98" s="199"/>
      <c r="H98" s="201"/>
      <c r="I98" s="202"/>
      <c r="J98" s="351">
        <f>I98-I74</f>
        <v>-162.8524567879594</v>
      </c>
      <c r="K98" s="639"/>
      <c r="L98" s="640"/>
      <c r="M98" s="98"/>
      <c r="O98" s="177"/>
      <c r="P98" s="383"/>
      <c r="Q98" s="383"/>
      <c r="R98" s="177"/>
    </row>
    <row r="99" spans="1:18" ht="13.5">
      <c r="A99" s="655"/>
      <c r="B99" s="658"/>
      <c r="C99" s="199">
        <v>3</v>
      </c>
      <c r="D99" s="648"/>
      <c r="E99" s="649"/>
      <c r="F99" s="650"/>
      <c r="G99" s="199"/>
      <c r="H99" s="201"/>
      <c r="I99" s="202"/>
      <c r="J99" s="351">
        <f>I99-I72</f>
        <v>-167.99221871566743</v>
      </c>
      <c r="K99" s="639"/>
      <c r="L99" s="640"/>
      <c r="M99" s="98"/>
      <c r="O99" s="198"/>
      <c r="P99" s="384"/>
      <c r="Q99" s="384"/>
      <c r="R99" s="198"/>
    </row>
    <row r="100" spans="1:18" ht="13.5">
      <c r="A100" s="655"/>
      <c r="B100" s="658"/>
      <c r="C100" s="199">
        <v>4</v>
      </c>
      <c r="D100" s="648"/>
      <c r="E100" s="649"/>
      <c r="F100" s="650"/>
      <c r="G100" s="199"/>
      <c r="H100" s="201"/>
      <c r="I100" s="202"/>
      <c r="J100" s="351">
        <f>I100-I73</f>
        <v>-162.98668325009513</v>
      </c>
      <c r="K100" s="639"/>
      <c r="L100" s="640"/>
      <c r="M100" s="98"/>
      <c r="O100" s="198"/>
      <c r="P100" s="384"/>
      <c r="Q100" s="384"/>
      <c r="R100" s="198"/>
    </row>
    <row r="101" spans="1:18" ht="13.5">
      <c r="A101" s="655"/>
      <c r="B101" s="658"/>
      <c r="C101" s="199">
        <v>5</v>
      </c>
      <c r="D101" s="648"/>
      <c r="E101" s="649"/>
      <c r="F101" s="650"/>
      <c r="G101" s="199"/>
      <c r="H101" s="201"/>
      <c r="I101" s="202"/>
      <c r="J101" s="351">
        <f>I101-I75</f>
        <v>-155.33703791505118</v>
      </c>
      <c r="K101" s="639"/>
      <c r="L101" s="640"/>
      <c r="M101" s="98"/>
      <c r="O101" s="198"/>
      <c r="P101" s="384"/>
      <c r="Q101" s="384"/>
      <c r="R101" s="198"/>
    </row>
    <row r="102" spans="1:18" ht="13.5">
      <c r="A102" s="655"/>
      <c r="B102" s="658"/>
      <c r="C102" s="203" t="s">
        <v>204</v>
      </c>
      <c r="D102" s="648"/>
      <c r="E102" s="649"/>
      <c r="F102" s="650"/>
      <c r="G102" s="199"/>
      <c r="H102" s="201"/>
      <c r="I102" s="202"/>
      <c r="J102" s="351">
        <f>I102-I77</f>
        <v>-136.08436712970055</v>
      </c>
      <c r="K102" s="639"/>
      <c r="L102" s="640"/>
      <c r="M102" s="98"/>
      <c r="O102" s="198"/>
      <c r="P102" s="384"/>
      <c r="Q102" s="384"/>
      <c r="R102" s="198"/>
    </row>
    <row r="103" spans="1:18" ht="13.5">
      <c r="A103" s="655"/>
      <c r="B103" s="658"/>
      <c r="C103" s="203" t="s">
        <v>209</v>
      </c>
      <c r="D103" s="648"/>
      <c r="E103" s="649"/>
      <c r="F103" s="650"/>
      <c r="G103" s="199"/>
      <c r="H103" s="201"/>
      <c r="I103" s="202"/>
      <c r="J103" s="351">
        <f>I103-I76</f>
        <v>-135.89264438019703</v>
      </c>
      <c r="K103" s="639"/>
      <c r="L103" s="640"/>
      <c r="M103" s="98"/>
      <c r="O103" s="198"/>
      <c r="P103" s="384"/>
      <c r="Q103" s="384"/>
      <c r="R103" s="198"/>
    </row>
    <row r="104" spans="1:18" ht="13.5">
      <c r="A104" s="655"/>
      <c r="B104" s="658"/>
      <c r="C104" s="203" t="s">
        <v>205</v>
      </c>
      <c r="D104" s="648"/>
      <c r="E104" s="649"/>
      <c r="F104" s="650"/>
      <c r="G104" s="199"/>
      <c r="H104" s="201"/>
      <c r="I104" s="202"/>
      <c r="J104" s="351">
        <f>I104-I78</f>
        <v>0</v>
      </c>
      <c r="K104" s="639"/>
      <c r="L104" s="640"/>
      <c r="M104" s="98"/>
      <c r="O104" s="198"/>
      <c r="P104" s="384"/>
      <c r="Q104" s="384"/>
      <c r="R104" s="198"/>
    </row>
    <row r="105" spans="1:18" ht="13.5">
      <c r="A105" s="655"/>
      <c r="B105" s="658"/>
      <c r="C105" s="203" t="s">
        <v>210</v>
      </c>
      <c r="D105" s="648"/>
      <c r="E105" s="649"/>
      <c r="F105" s="650"/>
      <c r="G105" s="199"/>
      <c r="H105" s="201"/>
      <c r="I105" s="202"/>
      <c r="J105" s="199"/>
      <c r="K105" s="648"/>
      <c r="L105" s="650"/>
      <c r="M105" s="98"/>
      <c r="O105" s="198"/>
      <c r="P105" s="384"/>
      <c r="Q105" s="384"/>
      <c r="R105" s="198"/>
    </row>
    <row r="106" spans="1:18" ht="13.5">
      <c r="A106" s="656"/>
      <c r="B106" s="659"/>
      <c r="C106" s="203" t="s">
        <v>211</v>
      </c>
      <c r="D106" s="648"/>
      <c r="E106" s="649"/>
      <c r="F106" s="650"/>
      <c r="G106" s="199"/>
      <c r="H106" s="201"/>
      <c r="I106" s="202"/>
      <c r="J106" s="199"/>
      <c r="K106" s="648"/>
      <c r="L106" s="650"/>
      <c r="M106" s="98"/>
      <c r="O106" s="198"/>
      <c r="P106" s="384"/>
      <c r="Q106" s="384"/>
      <c r="R106" s="198"/>
    </row>
  </sheetData>
  <mergeCells count="209"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A1:L2"/>
    <mergeCell ref="A55:L56"/>
    <mergeCell ref="A57:A58"/>
    <mergeCell ref="A59:B59"/>
    <mergeCell ref="D59:F59"/>
    <mergeCell ref="K59:L59"/>
    <mergeCell ref="D66:F66"/>
    <mergeCell ref="K66:L66"/>
    <mergeCell ref="K65:L65"/>
    <mergeCell ref="K40:L40"/>
    <mergeCell ref="D41:F41"/>
    <mergeCell ref="K41:L41"/>
    <mergeCell ref="D42:F4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:F7"/>
    <mergeCell ref="K7:L7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53:F53"/>
    <mergeCell ref="K53:L53"/>
    <mergeCell ref="D54:F54"/>
    <mergeCell ref="K54:L54"/>
    <mergeCell ref="K42:L42"/>
    <mergeCell ref="D43:F43"/>
    <mergeCell ref="K43:L43"/>
    <mergeCell ref="K92:L92"/>
    <mergeCell ref="D93:F93"/>
    <mergeCell ref="K93:L93"/>
    <mergeCell ref="D94:F94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A71:A80"/>
    <mergeCell ref="B71:B80"/>
    <mergeCell ref="D71:F71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S106"/>
  <sheetViews>
    <sheetView view="pageBreakPreview" topLeftCell="A40" zoomScale="110" zoomScaleNormal="60" zoomScaleSheetLayoutView="110" workbookViewId="0">
      <selection activeCell="N67" sqref="N67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36" t="s">
        <v>372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98"/>
    </row>
    <row r="2" spans="1:18" s="99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N2" s="189"/>
      <c r="O2" s="189"/>
      <c r="P2" s="189"/>
      <c r="Q2" s="189"/>
      <c r="R2" s="189"/>
    </row>
    <row r="3" spans="1:18" s="188" customFormat="1" ht="15.75" customHeight="1">
      <c r="A3" s="645" t="s">
        <v>670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</row>
    <row r="4" spans="1:18" s="189" customFormat="1" ht="15.75" customHeight="1">
      <c r="A4" s="645"/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</row>
    <row r="5" spans="1:18" s="105" customFormat="1" ht="16.350000000000001" customHeight="1">
      <c r="A5" s="654" t="s">
        <v>162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90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50000000000001" customHeight="1">
      <c r="A6" s="656"/>
      <c r="B6" s="194" t="s">
        <v>206</v>
      </c>
      <c r="C6" s="194" t="s">
        <v>155</v>
      </c>
      <c r="D6" s="194" t="s">
        <v>207</v>
      </c>
      <c r="E6" s="194" t="s">
        <v>156</v>
      </c>
      <c r="F6" s="194" t="s">
        <v>138</v>
      </c>
      <c r="G6" s="195" t="s">
        <v>136</v>
      </c>
      <c r="H6" s="196" t="s">
        <v>208</v>
      </c>
      <c r="I6" s="195" t="s">
        <v>373</v>
      </c>
      <c r="J6" s="208" t="s">
        <v>142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660" t="s">
        <v>188</v>
      </c>
      <c r="B7" s="661"/>
      <c r="C7" s="159" t="s">
        <v>47</v>
      </c>
      <c r="D7" s="660" t="s">
        <v>12</v>
      </c>
      <c r="E7" s="662"/>
      <c r="F7" s="661"/>
      <c r="G7" s="159" t="s">
        <v>46</v>
      </c>
      <c r="H7" s="159" t="s">
        <v>374</v>
      </c>
      <c r="I7" s="159" t="s">
        <v>375</v>
      </c>
      <c r="J7" s="159" t="s">
        <v>332</v>
      </c>
      <c r="K7" s="660" t="s">
        <v>51</v>
      </c>
      <c r="L7" s="661"/>
      <c r="M7" s="126"/>
      <c r="N7" s="188"/>
      <c r="O7" s="198"/>
      <c r="P7" s="384"/>
      <c r="Q7" s="384"/>
      <c r="R7" s="198"/>
    </row>
    <row r="8" spans="1:18" ht="15.75" customHeight="1">
      <c r="A8" s="654">
        <f>J5</f>
        <v>9</v>
      </c>
      <c r="B8" s="657" t="str">
        <f>J6</f>
        <v>微波小吃</v>
      </c>
      <c r="C8" s="199">
        <v>1</v>
      </c>
      <c r="D8" s="648" t="s">
        <v>617</v>
      </c>
      <c r="E8" s="649"/>
      <c r="F8" s="650"/>
      <c r="G8" s="199">
        <v>11</v>
      </c>
      <c r="H8" s="201">
        <v>1806.1836633946248</v>
      </c>
      <c r="I8" s="202">
        <v>164.19851485405681</v>
      </c>
      <c r="J8" s="351">
        <v>0.14327235426668494</v>
      </c>
      <c r="K8" s="648" t="s">
        <v>427</v>
      </c>
      <c r="L8" s="650"/>
      <c r="O8" s="198"/>
      <c r="P8" s="384"/>
      <c r="Q8" s="384"/>
      <c r="R8" s="198"/>
    </row>
    <row r="9" spans="1:18" ht="15.75" customHeight="1">
      <c r="A9" s="655"/>
      <c r="B9" s="658"/>
      <c r="C9" s="199">
        <v>2</v>
      </c>
      <c r="D9" s="648" t="s">
        <v>615</v>
      </c>
      <c r="E9" s="649"/>
      <c r="F9" s="650"/>
      <c r="G9" s="199">
        <v>11</v>
      </c>
      <c r="H9" s="201">
        <v>1804.6932335150127</v>
      </c>
      <c r="I9" s="202">
        <v>164.0630212286375</v>
      </c>
      <c r="J9" s="351">
        <v>-1.1232403991840556E-2</v>
      </c>
      <c r="K9" s="648" t="s">
        <v>427</v>
      </c>
      <c r="L9" s="650"/>
      <c r="O9" s="198"/>
      <c r="P9" s="384"/>
      <c r="Q9" s="384"/>
      <c r="R9" s="198"/>
    </row>
    <row r="10" spans="1:18" ht="15.75" customHeight="1">
      <c r="A10" s="655"/>
      <c r="B10" s="658"/>
      <c r="C10" s="199">
        <v>3</v>
      </c>
      <c r="D10" s="648" t="s">
        <v>650</v>
      </c>
      <c r="E10" s="649"/>
      <c r="F10" s="650"/>
      <c r="G10" s="199">
        <v>19</v>
      </c>
      <c r="H10" s="201">
        <v>1787.7152450743363</v>
      </c>
      <c r="I10" s="202">
        <v>94.090276056543999</v>
      </c>
      <c r="J10" s="351">
        <v>3.436529041246672E-2</v>
      </c>
      <c r="K10" s="648" t="s">
        <v>427</v>
      </c>
      <c r="L10" s="650"/>
      <c r="O10" s="198"/>
      <c r="P10" s="384"/>
      <c r="Q10" s="384"/>
      <c r="R10" s="198"/>
    </row>
    <row r="11" spans="1:18" ht="15.75" customHeight="1">
      <c r="A11" s="655"/>
      <c r="B11" s="658"/>
      <c r="C11" s="199">
        <v>4</v>
      </c>
      <c r="D11" s="648" t="s">
        <v>354</v>
      </c>
      <c r="E11" s="649"/>
      <c r="F11" s="650"/>
      <c r="G11" s="201">
        <v>13</v>
      </c>
      <c r="H11" s="201">
        <v>1082.5362039531706</v>
      </c>
      <c r="I11" s="202">
        <v>83.272015688705451</v>
      </c>
      <c r="J11" s="351">
        <v>4.8512552283355603E-2</v>
      </c>
      <c r="K11" s="648" t="s">
        <v>427</v>
      </c>
      <c r="L11" s="650"/>
      <c r="O11" s="198"/>
      <c r="P11" s="384"/>
      <c r="Q11" s="384"/>
      <c r="R11" s="198"/>
    </row>
    <row r="12" spans="1:18" ht="15.75" customHeight="1">
      <c r="A12" s="655"/>
      <c r="B12" s="658"/>
      <c r="C12" s="199">
        <v>5</v>
      </c>
      <c r="D12" s="648" t="s">
        <v>616</v>
      </c>
      <c r="E12" s="649"/>
      <c r="F12" s="650"/>
      <c r="G12" s="199">
        <v>22</v>
      </c>
      <c r="H12" s="201">
        <v>1800.2072198559144</v>
      </c>
      <c r="I12" s="202">
        <v>81.827600902541576</v>
      </c>
      <c r="J12" s="351">
        <v>2.0779220779246543E-2</v>
      </c>
      <c r="K12" s="648" t="s">
        <v>427</v>
      </c>
      <c r="L12" s="650"/>
      <c r="O12" s="198"/>
      <c r="P12" s="384"/>
      <c r="Q12" s="384"/>
      <c r="R12" s="198"/>
    </row>
    <row r="13" spans="1:18" ht="15.75" customHeight="1">
      <c r="A13" s="655"/>
      <c r="B13" s="658"/>
      <c r="C13" s="203" t="s">
        <v>204</v>
      </c>
      <c r="D13" s="648"/>
      <c r="E13" s="649"/>
      <c r="F13" s="650"/>
      <c r="G13" s="199"/>
      <c r="H13" s="201"/>
      <c r="I13" s="202"/>
      <c r="J13" s="199"/>
      <c r="K13" s="648"/>
      <c r="L13" s="650"/>
      <c r="O13" s="198"/>
      <c r="P13" s="384"/>
      <c r="Q13" s="384"/>
      <c r="R13" s="198"/>
    </row>
    <row r="14" spans="1:18" ht="15.75" customHeight="1">
      <c r="A14" s="655"/>
      <c r="B14" s="658"/>
      <c r="C14" s="203" t="s">
        <v>209</v>
      </c>
      <c r="D14" s="648"/>
      <c r="E14" s="649"/>
      <c r="F14" s="650"/>
      <c r="G14" s="199"/>
      <c r="H14" s="201"/>
      <c r="I14" s="202"/>
      <c r="J14" s="199"/>
      <c r="K14" s="648"/>
      <c r="L14" s="650"/>
      <c r="N14" s="177"/>
      <c r="O14" s="177"/>
      <c r="P14" s="383"/>
      <c r="Q14" s="383"/>
      <c r="R14" s="177"/>
    </row>
    <row r="15" spans="1:18" ht="15.75" customHeight="1">
      <c r="A15" s="655"/>
      <c r="B15" s="658"/>
      <c r="C15" s="203" t="s">
        <v>205</v>
      </c>
      <c r="D15" s="648"/>
      <c r="E15" s="649"/>
      <c r="F15" s="650"/>
      <c r="G15" s="199"/>
      <c r="H15" s="201"/>
      <c r="I15" s="202"/>
      <c r="J15" s="199"/>
      <c r="K15" s="648"/>
      <c r="L15" s="650"/>
      <c r="O15" s="198"/>
      <c r="P15" s="384"/>
      <c r="Q15" s="384"/>
      <c r="R15" s="198"/>
    </row>
    <row r="16" spans="1:18" ht="15.75" customHeight="1">
      <c r="A16" s="655"/>
      <c r="B16" s="658"/>
      <c r="C16" s="203" t="s">
        <v>210</v>
      </c>
      <c r="D16" s="648"/>
      <c r="E16" s="649"/>
      <c r="F16" s="650"/>
      <c r="G16" s="199"/>
      <c r="H16" s="201"/>
      <c r="I16" s="202"/>
      <c r="J16" s="199"/>
      <c r="K16" s="648"/>
      <c r="L16" s="650"/>
      <c r="M16" s="98"/>
      <c r="O16" s="198"/>
      <c r="P16" s="384"/>
      <c r="Q16" s="384"/>
      <c r="R16" s="198"/>
    </row>
    <row r="17" spans="1:18" ht="15.75" customHeight="1">
      <c r="A17" s="656"/>
      <c r="B17" s="659"/>
      <c r="C17" s="203" t="s">
        <v>211</v>
      </c>
      <c r="D17" s="648"/>
      <c r="E17" s="649"/>
      <c r="F17" s="650"/>
      <c r="G17" s="199"/>
      <c r="H17" s="201"/>
      <c r="I17" s="202"/>
      <c r="J17" s="199"/>
      <c r="K17" s="648"/>
      <c r="L17" s="650"/>
      <c r="M17" s="98"/>
      <c r="O17" s="198"/>
      <c r="P17" s="384"/>
      <c r="Q17" s="384"/>
      <c r="R17" s="198"/>
    </row>
    <row r="18" spans="1:18" s="103" customFormat="1" ht="15.75" customHeight="1">
      <c r="A18" s="651" t="s">
        <v>188</v>
      </c>
      <c r="B18" s="652"/>
      <c r="C18" s="206" t="s">
        <v>47</v>
      </c>
      <c r="D18" s="651" t="s">
        <v>12</v>
      </c>
      <c r="E18" s="653"/>
      <c r="F18" s="652"/>
      <c r="G18" s="206" t="s">
        <v>46</v>
      </c>
      <c r="H18" s="206" t="s">
        <v>374</v>
      </c>
      <c r="I18" s="206" t="s">
        <v>375</v>
      </c>
      <c r="J18" s="159" t="s">
        <v>332</v>
      </c>
      <c r="K18" s="651" t="s">
        <v>51</v>
      </c>
      <c r="L18" s="652"/>
      <c r="M18" s="127"/>
      <c r="N18" s="188"/>
      <c r="O18" s="198"/>
      <c r="P18" s="384"/>
      <c r="Q18" s="384"/>
      <c r="R18" s="198"/>
    </row>
    <row r="19" spans="1:18" ht="15.75" customHeight="1">
      <c r="A19" s="654"/>
      <c r="B19" s="657"/>
      <c r="C19" s="199">
        <v>1</v>
      </c>
      <c r="D19" s="648"/>
      <c r="E19" s="649"/>
      <c r="F19" s="650"/>
      <c r="G19" s="199"/>
      <c r="H19" s="201"/>
      <c r="I19" s="202"/>
      <c r="J19" s="199"/>
      <c r="K19" s="648"/>
      <c r="L19" s="650"/>
      <c r="M19" s="98"/>
      <c r="N19" s="198"/>
      <c r="O19" s="198"/>
      <c r="P19" s="384"/>
      <c r="Q19" s="384"/>
      <c r="R19" s="198"/>
    </row>
    <row r="20" spans="1:18" ht="15.75" customHeight="1">
      <c r="A20" s="655"/>
      <c r="B20" s="658"/>
      <c r="C20" s="199">
        <v>2</v>
      </c>
      <c r="D20" s="648"/>
      <c r="E20" s="649"/>
      <c r="F20" s="650"/>
      <c r="G20" s="199"/>
      <c r="H20" s="201"/>
      <c r="I20" s="202"/>
      <c r="J20" s="199"/>
      <c r="K20" s="648"/>
      <c r="L20" s="650"/>
      <c r="M20" s="98"/>
      <c r="O20" s="198"/>
      <c r="P20" s="384"/>
      <c r="Q20" s="384"/>
      <c r="R20" s="198"/>
    </row>
    <row r="21" spans="1:18" ht="15.75" customHeight="1">
      <c r="A21" s="655"/>
      <c r="B21" s="658"/>
      <c r="C21" s="199">
        <v>3</v>
      </c>
      <c r="D21" s="648"/>
      <c r="E21" s="649"/>
      <c r="F21" s="650"/>
      <c r="G21" s="199"/>
      <c r="H21" s="201"/>
      <c r="I21" s="202"/>
      <c r="J21" s="199"/>
      <c r="K21" s="648"/>
      <c r="L21" s="650"/>
      <c r="M21" s="98"/>
      <c r="O21" s="198"/>
      <c r="P21" s="384"/>
      <c r="Q21" s="384"/>
      <c r="R21" s="198"/>
    </row>
    <row r="22" spans="1:18" ht="15.75" customHeight="1">
      <c r="A22" s="655"/>
      <c r="B22" s="658"/>
      <c r="C22" s="199">
        <v>4</v>
      </c>
      <c r="D22" s="648"/>
      <c r="E22" s="649"/>
      <c r="F22" s="650"/>
      <c r="G22" s="199"/>
      <c r="H22" s="201"/>
      <c r="I22" s="202"/>
      <c r="J22" s="199"/>
      <c r="K22" s="648"/>
      <c r="L22" s="650"/>
      <c r="M22" s="98"/>
      <c r="O22" s="198"/>
      <c r="P22" s="384"/>
      <c r="Q22" s="384"/>
      <c r="R22" s="198"/>
    </row>
    <row r="23" spans="1:18" ht="15.75" customHeight="1">
      <c r="A23" s="655"/>
      <c r="B23" s="658"/>
      <c r="C23" s="199">
        <v>5</v>
      </c>
      <c r="D23" s="648"/>
      <c r="E23" s="649"/>
      <c r="F23" s="650"/>
      <c r="G23" s="199"/>
      <c r="H23" s="201"/>
      <c r="I23" s="202"/>
      <c r="J23" s="199"/>
      <c r="K23" s="648"/>
      <c r="L23" s="650"/>
      <c r="M23" s="98"/>
      <c r="O23" s="198"/>
      <c r="P23" s="384"/>
      <c r="Q23" s="384"/>
      <c r="R23" s="198"/>
    </row>
    <row r="24" spans="1:18" ht="15.75" customHeight="1">
      <c r="A24" s="655"/>
      <c r="B24" s="658"/>
      <c r="C24" s="203" t="s">
        <v>204</v>
      </c>
      <c r="D24" s="648"/>
      <c r="E24" s="649"/>
      <c r="F24" s="650"/>
      <c r="G24" s="199"/>
      <c r="H24" s="201"/>
      <c r="I24" s="202"/>
      <c r="J24" s="199"/>
      <c r="K24" s="648"/>
      <c r="L24" s="650"/>
      <c r="M24" s="98"/>
      <c r="O24" s="198"/>
      <c r="P24" s="384"/>
      <c r="Q24" s="384"/>
      <c r="R24" s="198"/>
    </row>
    <row r="25" spans="1:18" ht="15.75" customHeight="1">
      <c r="A25" s="655"/>
      <c r="B25" s="658"/>
      <c r="C25" s="203" t="s">
        <v>209</v>
      </c>
      <c r="D25" s="648"/>
      <c r="E25" s="649"/>
      <c r="F25" s="650"/>
      <c r="G25" s="199"/>
      <c r="H25" s="201"/>
      <c r="I25" s="202"/>
      <c r="J25" s="199"/>
      <c r="K25" s="648"/>
      <c r="L25" s="650"/>
      <c r="M25" s="98"/>
      <c r="O25" s="198"/>
      <c r="P25" s="384"/>
      <c r="Q25" s="384"/>
      <c r="R25" s="198"/>
    </row>
    <row r="26" spans="1:18" ht="15.75" customHeight="1">
      <c r="A26" s="655"/>
      <c r="B26" s="658"/>
      <c r="C26" s="203" t="s">
        <v>205</v>
      </c>
      <c r="D26" s="648"/>
      <c r="E26" s="649"/>
      <c r="F26" s="650"/>
      <c r="G26" s="199"/>
      <c r="H26" s="201"/>
      <c r="I26" s="202"/>
      <c r="J26" s="199"/>
      <c r="K26" s="648"/>
      <c r="L26" s="650"/>
      <c r="M26" s="98"/>
      <c r="O26" s="198"/>
      <c r="P26" s="384"/>
      <c r="Q26" s="384"/>
      <c r="R26" s="198"/>
    </row>
    <row r="27" spans="1:18" ht="15.75" customHeight="1">
      <c r="A27" s="655"/>
      <c r="B27" s="658"/>
      <c r="C27" s="203" t="s">
        <v>210</v>
      </c>
      <c r="D27" s="648"/>
      <c r="E27" s="649"/>
      <c r="F27" s="650"/>
      <c r="G27" s="199"/>
      <c r="H27" s="201"/>
      <c r="I27" s="202"/>
      <c r="J27" s="199"/>
      <c r="K27" s="648"/>
      <c r="L27" s="650"/>
      <c r="M27" s="98"/>
      <c r="O27" s="198"/>
      <c r="P27" s="384"/>
      <c r="Q27" s="384"/>
      <c r="R27" s="198"/>
    </row>
    <row r="28" spans="1:18" ht="15.75" customHeight="1">
      <c r="A28" s="656"/>
      <c r="B28" s="659"/>
      <c r="C28" s="203" t="s">
        <v>211</v>
      </c>
      <c r="D28" s="648"/>
      <c r="E28" s="649"/>
      <c r="F28" s="650"/>
      <c r="G28" s="199"/>
      <c r="H28" s="201"/>
      <c r="I28" s="202"/>
      <c r="J28" s="199"/>
      <c r="K28" s="648"/>
      <c r="L28" s="650"/>
      <c r="M28" s="98"/>
      <c r="O28" s="198"/>
      <c r="P28" s="384"/>
      <c r="Q28" s="384"/>
      <c r="R28" s="198"/>
    </row>
    <row r="29" spans="1:18" s="188" customFormat="1" ht="15.75" customHeight="1">
      <c r="A29" s="645" t="s">
        <v>766</v>
      </c>
      <c r="B29" s="645"/>
      <c r="C29" s="645"/>
      <c r="D29" s="645"/>
      <c r="E29" s="645"/>
      <c r="F29" s="645"/>
      <c r="G29" s="645"/>
      <c r="H29" s="645"/>
      <c r="I29" s="645"/>
      <c r="J29" s="645"/>
      <c r="K29" s="645"/>
      <c r="L29" s="645"/>
    </row>
    <row r="30" spans="1:18" s="189" customFormat="1" ht="15.75" customHeight="1">
      <c r="A30" s="645"/>
      <c r="B30" s="645"/>
      <c r="C30" s="645"/>
      <c r="D30" s="645"/>
      <c r="E30" s="645"/>
      <c r="F30" s="645"/>
      <c r="G30" s="645"/>
      <c r="H30" s="645"/>
      <c r="I30" s="645"/>
      <c r="J30" s="645"/>
      <c r="K30" s="645"/>
      <c r="L30" s="645"/>
    </row>
    <row r="31" spans="1:18" s="105" customFormat="1" ht="16.350000000000001" customHeight="1">
      <c r="A31" s="654" t="s">
        <v>162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90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50000000000001" customHeight="1">
      <c r="A32" s="656"/>
      <c r="B32" s="194" t="s">
        <v>206</v>
      </c>
      <c r="C32" s="194" t="s">
        <v>155</v>
      </c>
      <c r="D32" s="194" t="s">
        <v>207</v>
      </c>
      <c r="E32" s="194" t="s">
        <v>156</v>
      </c>
      <c r="F32" s="194" t="s">
        <v>138</v>
      </c>
      <c r="G32" s="195" t="s">
        <v>136</v>
      </c>
      <c r="H32" s="196" t="s">
        <v>208</v>
      </c>
      <c r="I32" s="195" t="s">
        <v>373</v>
      </c>
      <c r="J32" s="208" t="s">
        <v>142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660" t="s">
        <v>188</v>
      </c>
      <c r="B33" s="661"/>
      <c r="C33" s="159" t="s">
        <v>47</v>
      </c>
      <c r="D33" s="660" t="s">
        <v>12</v>
      </c>
      <c r="E33" s="662"/>
      <c r="F33" s="661"/>
      <c r="G33" s="159" t="s">
        <v>46</v>
      </c>
      <c r="H33" s="159" t="s">
        <v>374</v>
      </c>
      <c r="I33" s="159" t="s">
        <v>375</v>
      </c>
      <c r="J33" s="159" t="s">
        <v>332</v>
      </c>
      <c r="K33" s="660" t="s">
        <v>51</v>
      </c>
      <c r="L33" s="661"/>
      <c r="M33" s="126"/>
      <c r="N33" s="188"/>
      <c r="O33" s="198"/>
      <c r="P33" s="384"/>
      <c r="Q33" s="384"/>
      <c r="R33" s="198"/>
    </row>
    <row r="34" spans="1:18" ht="15.75" customHeight="1">
      <c r="A34" s="654">
        <f>J31</f>
        <v>9</v>
      </c>
      <c r="B34" s="657" t="str">
        <f>J32</f>
        <v>微波小吃</v>
      </c>
      <c r="C34" s="199">
        <v>1</v>
      </c>
      <c r="D34" s="648" t="s">
        <v>617</v>
      </c>
      <c r="E34" s="649"/>
      <c r="F34" s="650"/>
      <c r="G34" s="199">
        <v>11</v>
      </c>
      <c r="H34" s="201">
        <v>1806.5606150917336</v>
      </c>
      <c r="I34" s="202">
        <v>164.23278319015759</v>
      </c>
      <c r="J34" s="351">
        <f>I34-I8</f>
        <v>3.4268336100780061E-2</v>
      </c>
      <c r="K34" s="648" t="s">
        <v>427</v>
      </c>
      <c r="L34" s="650"/>
      <c r="O34" s="198"/>
      <c r="P34" s="384"/>
      <c r="Q34" s="384"/>
      <c r="R34" s="198"/>
    </row>
    <row r="35" spans="1:18" ht="15.75" customHeight="1">
      <c r="A35" s="655"/>
      <c r="B35" s="658"/>
      <c r="C35" s="199">
        <v>2</v>
      </c>
      <c r="D35" s="648" t="s">
        <v>615</v>
      </c>
      <c r="E35" s="649"/>
      <c r="F35" s="650"/>
      <c r="G35" s="199">
        <v>11</v>
      </c>
      <c r="H35" s="201">
        <v>1805.0567096497603</v>
      </c>
      <c r="I35" s="202">
        <v>164.09606451361455</v>
      </c>
      <c r="J35" s="351">
        <f>I35-I9</f>
        <v>3.3043284977054554E-2</v>
      </c>
      <c r="K35" s="648" t="s">
        <v>427</v>
      </c>
      <c r="L35" s="650"/>
      <c r="O35" s="198"/>
      <c r="P35" s="384"/>
      <c r="Q35" s="384"/>
      <c r="R35" s="198"/>
    </row>
    <row r="36" spans="1:18" ht="15.75" customHeight="1">
      <c r="A36" s="655"/>
      <c r="B36" s="658"/>
      <c r="C36" s="199">
        <v>3</v>
      </c>
      <c r="D36" s="648" t="s">
        <v>650</v>
      </c>
      <c r="E36" s="649"/>
      <c r="F36" s="650"/>
      <c r="G36" s="199">
        <v>19</v>
      </c>
      <c r="H36" s="201">
        <v>1790.0171092346918</v>
      </c>
      <c r="I36" s="202">
        <v>94.21142680182588</v>
      </c>
      <c r="J36" s="351">
        <f>I36-I10</f>
        <v>0.12115074528188075</v>
      </c>
      <c r="K36" s="648" t="s">
        <v>427</v>
      </c>
      <c r="L36" s="650"/>
      <c r="O36" s="198"/>
      <c r="P36" s="384"/>
      <c r="Q36" s="384"/>
      <c r="R36" s="198"/>
    </row>
    <row r="37" spans="1:18" ht="15.75" customHeight="1">
      <c r="A37" s="655"/>
      <c r="B37" s="658"/>
      <c r="C37" s="199">
        <v>4</v>
      </c>
      <c r="D37" s="648" t="s">
        <v>354</v>
      </c>
      <c r="E37" s="649"/>
      <c r="F37" s="650"/>
      <c r="G37" s="201">
        <v>13</v>
      </c>
      <c r="H37" s="201">
        <v>1082.2619182388853</v>
      </c>
      <c r="I37" s="202">
        <v>83.250916787606556</v>
      </c>
      <c r="J37" s="351">
        <f>I37-I11</f>
        <v>-2.109890109889534E-2</v>
      </c>
      <c r="K37" s="648" t="s">
        <v>427</v>
      </c>
      <c r="L37" s="650"/>
      <c r="O37" s="198"/>
      <c r="P37" s="384"/>
      <c r="Q37" s="384"/>
      <c r="R37" s="198"/>
    </row>
    <row r="38" spans="1:18" ht="15.75" customHeight="1">
      <c r="A38" s="655"/>
      <c r="B38" s="658"/>
      <c r="C38" s="199">
        <v>5</v>
      </c>
      <c r="D38" s="648" t="s">
        <v>616</v>
      </c>
      <c r="E38" s="649"/>
      <c r="F38" s="650"/>
      <c r="G38" s="199">
        <v>22</v>
      </c>
      <c r="H38" s="201">
        <v>1799.9500769987733</v>
      </c>
      <c r="I38" s="202">
        <v>81.81591259085333</v>
      </c>
      <c r="J38" s="351">
        <f>I38-I12</f>
        <v>-1.1688311688246245E-2</v>
      </c>
      <c r="K38" s="648" t="s">
        <v>427</v>
      </c>
      <c r="L38" s="650"/>
      <c r="O38" s="198"/>
      <c r="P38" s="384"/>
      <c r="Q38" s="384"/>
      <c r="R38" s="198"/>
    </row>
    <row r="39" spans="1:18" ht="15.75" customHeight="1">
      <c r="A39" s="655"/>
      <c r="B39" s="658"/>
      <c r="C39" s="203" t="s">
        <v>204</v>
      </c>
      <c r="D39" s="648"/>
      <c r="E39" s="649"/>
      <c r="F39" s="650"/>
      <c r="G39" s="199"/>
      <c r="H39" s="201"/>
      <c r="I39" s="202"/>
      <c r="J39" s="199"/>
      <c r="K39" s="648"/>
      <c r="L39" s="650"/>
      <c r="O39" s="198"/>
      <c r="P39" s="384"/>
      <c r="Q39" s="384"/>
      <c r="R39" s="198"/>
    </row>
    <row r="40" spans="1:18" ht="15.75" customHeight="1">
      <c r="A40" s="655"/>
      <c r="B40" s="658"/>
      <c r="C40" s="203" t="s">
        <v>209</v>
      </c>
      <c r="D40" s="648"/>
      <c r="E40" s="649"/>
      <c r="F40" s="650"/>
      <c r="G40" s="199"/>
      <c r="H40" s="201"/>
      <c r="I40" s="202"/>
      <c r="J40" s="199"/>
      <c r="K40" s="648"/>
      <c r="L40" s="650"/>
      <c r="N40" s="177"/>
      <c r="O40" s="177"/>
      <c r="P40" s="383"/>
      <c r="Q40" s="383"/>
      <c r="R40" s="177"/>
    </row>
    <row r="41" spans="1:18" ht="15.75" customHeight="1">
      <c r="A41" s="655"/>
      <c r="B41" s="658"/>
      <c r="C41" s="203" t="s">
        <v>205</v>
      </c>
      <c r="D41" s="648"/>
      <c r="E41" s="649"/>
      <c r="F41" s="650"/>
      <c r="G41" s="199"/>
      <c r="H41" s="201"/>
      <c r="I41" s="202"/>
      <c r="J41" s="199"/>
      <c r="K41" s="648"/>
      <c r="L41" s="650"/>
      <c r="O41" s="198"/>
      <c r="P41" s="384"/>
      <c r="Q41" s="384"/>
      <c r="R41" s="198"/>
    </row>
    <row r="42" spans="1:18" ht="15.75" customHeight="1">
      <c r="A42" s="655"/>
      <c r="B42" s="658"/>
      <c r="C42" s="203" t="s">
        <v>210</v>
      </c>
      <c r="D42" s="648"/>
      <c r="E42" s="649"/>
      <c r="F42" s="650"/>
      <c r="G42" s="199"/>
      <c r="H42" s="201"/>
      <c r="I42" s="202"/>
      <c r="J42" s="199"/>
      <c r="K42" s="648"/>
      <c r="L42" s="650"/>
      <c r="M42" s="98"/>
      <c r="O42" s="198"/>
      <c r="P42" s="384"/>
      <c r="Q42" s="384"/>
      <c r="R42" s="198"/>
    </row>
    <row r="43" spans="1:18" ht="15.75" customHeight="1">
      <c r="A43" s="656"/>
      <c r="B43" s="659"/>
      <c r="C43" s="203" t="s">
        <v>211</v>
      </c>
      <c r="D43" s="648"/>
      <c r="E43" s="649"/>
      <c r="F43" s="650"/>
      <c r="G43" s="199"/>
      <c r="H43" s="201"/>
      <c r="I43" s="202"/>
      <c r="J43" s="199"/>
      <c r="K43" s="648"/>
      <c r="L43" s="650"/>
      <c r="M43" s="98"/>
      <c r="O43" s="198"/>
      <c r="P43" s="384"/>
      <c r="Q43" s="384"/>
      <c r="R43" s="198"/>
    </row>
    <row r="44" spans="1:18" s="103" customFormat="1" ht="15.75" customHeight="1">
      <c r="A44" s="651" t="s">
        <v>188</v>
      </c>
      <c r="B44" s="652"/>
      <c r="C44" s="206" t="s">
        <v>47</v>
      </c>
      <c r="D44" s="651" t="s">
        <v>12</v>
      </c>
      <c r="E44" s="653"/>
      <c r="F44" s="652"/>
      <c r="G44" s="206" t="s">
        <v>46</v>
      </c>
      <c r="H44" s="206" t="s">
        <v>374</v>
      </c>
      <c r="I44" s="206" t="s">
        <v>375</v>
      </c>
      <c r="J44" s="159" t="s">
        <v>332</v>
      </c>
      <c r="K44" s="651" t="s">
        <v>51</v>
      </c>
      <c r="L44" s="652"/>
      <c r="M44" s="127"/>
      <c r="N44" s="188"/>
      <c r="O44" s="198"/>
      <c r="P44" s="384"/>
      <c r="Q44" s="384"/>
      <c r="R44" s="198"/>
    </row>
    <row r="45" spans="1:18" ht="15.75" customHeight="1">
      <c r="A45" s="654"/>
      <c r="B45" s="657"/>
      <c r="C45" s="199">
        <v>1</v>
      </c>
      <c r="D45" s="648"/>
      <c r="E45" s="649"/>
      <c r="F45" s="650"/>
      <c r="G45" s="199"/>
      <c r="H45" s="201"/>
      <c r="I45" s="202"/>
      <c r="J45" s="199"/>
      <c r="K45" s="648"/>
      <c r="L45" s="650"/>
      <c r="M45" s="98"/>
      <c r="N45" s="198"/>
      <c r="O45" s="198"/>
      <c r="P45" s="384"/>
      <c r="Q45" s="384"/>
      <c r="R45" s="198"/>
    </row>
    <row r="46" spans="1:18" ht="15.75" customHeight="1">
      <c r="A46" s="655"/>
      <c r="B46" s="658"/>
      <c r="C46" s="199">
        <v>2</v>
      </c>
      <c r="D46" s="648"/>
      <c r="E46" s="649"/>
      <c r="F46" s="650"/>
      <c r="G46" s="199"/>
      <c r="H46" s="201"/>
      <c r="I46" s="202"/>
      <c r="J46" s="199"/>
      <c r="K46" s="648"/>
      <c r="L46" s="650"/>
      <c r="M46" s="98"/>
      <c r="O46" s="198"/>
      <c r="P46" s="384"/>
      <c r="Q46" s="384"/>
      <c r="R46" s="198"/>
    </row>
    <row r="47" spans="1:18" ht="15.75" customHeight="1">
      <c r="A47" s="655"/>
      <c r="B47" s="658"/>
      <c r="C47" s="199">
        <v>3</v>
      </c>
      <c r="D47" s="648"/>
      <c r="E47" s="649"/>
      <c r="F47" s="650"/>
      <c r="G47" s="199"/>
      <c r="H47" s="201"/>
      <c r="I47" s="202"/>
      <c r="J47" s="199"/>
      <c r="K47" s="648"/>
      <c r="L47" s="650"/>
      <c r="M47" s="98"/>
      <c r="O47" s="198"/>
      <c r="P47" s="384"/>
      <c r="Q47" s="384"/>
      <c r="R47" s="198"/>
    </row>
    <row r="48" spans="1:18" ht="15.75" customHeight="1">
      <c r="A48" s="655"/>
      <c r="B48" s="658"/>
      <c r="C48" s="199">
        <v>4</v>
      </c>
      <c r="D48" s="648"/>
      <c r="E48" s="649"/>
      <c r="F48" s="650"/>
      <c r="G48" s="199"/>
      <c r="H48" s="201"/>
      <c r="I48" s="202"/>
      <c r="J48" s="199"/>
      <c r="K48" s="648"/>
      <c r="L48" s="650"/>
      <c r="M48" s="98"/>
      <c r="O48" s="198"/>
      <c r="P48" s="384"/>
      <c r="Q48" s="384"/>
      <c r="R48" s="198"/>
    </row>
    <row r="49" spans="1:18" ht="15.75" customHeight="1">
      <c r="A49" s="655"/>
      <c r="B49" s="658"/>
      <c r="C49" s="199">
        <v>5</v>
      </c>
      <c r="D49" s="648"/>
      <c r="E49" s="649"/>
      <c r="F49" s="650"/>
      <c r="G49" s="199"/>
      <c r="H49" s="201"/>
      <c r="I49" s="202"/>
      <c r="J49" s="199"/>
      <c r="K49" s="648"/>
      <c r="L49" s="650"/>
      <c r="M49" s="98"/>
      <c r="O49" s="198"/>
      <c r="P49" s="384"/>
      <c r="Q49" s="384"/>
      <c r="R49" s="198"/>
    </row>
    <row r="50" spans="1:18" ht="15.75" customHeight="1">
      <c r="A50" s="655"/>
      <c r="B50" s="658"/>
      <c r="C50" s="203" t="s">
        <v>204</v>
      </c>
      <c r="D50" s="648"/>
      <c r="E50" s="649"/>
      <c r="F50" s="650"/>
      <c r="G50" s="199"/>
      <c r="H50" s="201"/>
      <c r="I50" s="202"/>
      <c r="J50" s="199"/>
      <c r="K50" s="648"/>
      <c r="L50" s="650"/>
      <c r="M50" s="98"/>
      <c r="O50" s="198"/>
      <c r="P50" s="384"/>
      <c r="Q50" s="384"/>
      <c r="R50" s="198"/>
    </row>
    <row r="51" spans="1:18" ht="15.75" customHeight="1">
      <c r="A51" s="655"/>
      <c r="B51" s="658"/>
      <c r="C51" s="203" t="s">
        <v>209</v>
      </c>
      <c r="D51" s="648"/>
      <c r="E51" s="649"/>
      <c r="F51" s="650"/>
      <c r="G51" s="199"/>
      <c r="H51" s="201"/>
      <c r="I51" s="202"/>
      <c r="J51" s="199"/>
      <c r="K51" s="648"/>
      <c r="L51" s="650"/>
      <c r="M51" s="98"/>
      <c r="O51" s="198"/>
      <c r="P51" s="384"/>
      <c r="Q51" s="384"/>
      <c r="R51" s="198"/>
    </row>
    <row r="52" spans="1:18" ht="15.75" customHeight="1">
      <c r="A52" s="655"/>
      <c r="B52" s="658"/>
      <c r="C52" s="203" t="s">
        <v>205</v>
      </c>
      <c r="D52" s="648"/>
      <c r="E52" s="649"/>
      <c r="F52" s="650"/>
      <c r="G52" s="199"/>
      <c r="H52" s="201"/>
      <c r="I52" s="202"/>
      <c r="J52" s="199"/>
      <c r="K52" s="648"/>
      <c r="L52" s="650"/>
      <c r="M52" s="98"/>
      <c r="O52" s="198"/>
      <c r="P52" s="384"/>
      <c r="Q52" s="384"/>
      <c r="R52" s="198"/>
    </row>
    <row r="53" spans="1:18" ht="15.75" customHeight="1">
      <c r="A53" s="655"/>
      <c r="B53" s="658"/>
      <c r="C53" s="203" t="s">
        <v>210</v>
      </c>
      <c r="D53" s="648"/>
      <c r="E53" s="649"/>
      <c r="F53" s="650"/>
      <c r="G53" s="199"/>
      <c r="H53" s="201"/>
      <c r="I53" s="202"/>
      <c r="J53" s="199"/>
      <c r="K53" s="648"/>
      <c r="L53" s="650"/>
      <c r="M53" s="98"/>
      <c r="O53" s="198"/>
      <c r="P53" s="384"/>
      <c r="Q53" s="384"/>
      <c r="R53" s="198"/>
    </row>
    <row r="54" spans="1:18" ht="15.75" customHeight="1">
      <c r="A54" s="656"/>
      <c r="B54" s="659"/>
      <c r="C54" s="203" t="s">
        <v>211</v>
      </c>
      <c r="D54" s="648"/>
      <c r="E54" s="649"/>
      <c r="F54" s="650"/>
      <c r="G54" s="199"/>
      <c r="H54" s="201"/>
      <c r="I54" s="202"/>
      <c r="J54" s="199"/>
      <c r="K54" s="648"/>
      <c r="L54" s="650"/>
      <c r="M54" s="98"/>
      <c r="O54" s="198"/>
      <c r="P54" s="384"/>
      <c r="Q54" s="384"/>
      <c r="R54" s="198"/>
    </row>
    <row r="55" spans="1:18" s="188" customFormat="1" ht="15.75" customHeight="1">
      <c r="A55" s="645" t="s">
        <v>771</v>
      </c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</row>
    <row r="56" spans="1:18" s="189" customFormat="1" ht="15.75" customHeight="1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</row>
    <row r="57" spans="1:18" s="105" customFormat="1" ht="16.350000000000001" customHeight="1">
      <c r="A57" s="654" t="s">
        <v>162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90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50000000000001" customHeight="1">
      <c r="A58" s="656"/>
      <c r="B58" s="194" t="s">
        <v>206</v>
      </c>
      <c r="C58" s="194" t="s">
        <v>155</v>
      </c>
      <c r="D58" s="194" t="s">
        <v>207</v>
      </c>
      <c r="E58" s="194" t="s">
        <v>156</v>
      </c>
      <c r="F58" s="194" t="s">
        <v>138</v>
      </c>
      <c r="G58" s="195" t="s">
        <v>136</v>
      </c>
      <c r="H58" s="196" t="s">
        <v>208</v>
      </c>
      <c r="I58" s="195" t="s">
        <v>373</v>
      </c>
      <c r="J58" s="208" t="s">
        <v>142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660" t="s">
        <v>188</v>
      </c>
      <c r="B59" s="661"/>
      <c r="C59" s="159" t="s">
        <v>47</v>
      </c>
      <c r="D59" s="660" t="s">
        <v>12</v>
      </c>
      <c r="E59" s="662"/>
      <c r="F59" s="661"/>
      <c r="G59" s="159" t="s">
        <v>46</v>
      </c>
      <c r="H59" s="159" t="s">
        <v>374</v>
      </c>
      <c r="I59" s="159" t="s">
        <v>375</v>
      </c>
      <c r="J59" s="159" t="s">
        <v>332</v>
      </c>
      <c r="K59" s="660" t="s">
        <v>51</v>
      </c>
      <c r="L59" s="661"/>
      <c r="M59" s="126"/>
      <c r="N59" s="188"/>
      <c r="O59" s="198"/>
      <c r="P59" s="384"/>
      <c r="Q59" s="384"/>
      <c r="R59" s="198"/>
    </row>
    <row r="60" spans="1:18" ht="15.75" customHeight="1">
      <c r="A60" s="654">
        <f>J57</f>
        <v>9</v>
      </c>
      <c r="B60" s="657" t="str">
        <f>J58</f>
        <v>微波小吃</v>
      </c>
      <c r="C60" s="199">
        <v>1</v>
      </c>
      <c r="D60" s="648" t="s">
        <v>617</v>
      </c>
      <c r="E60" s="649"/>
      <c r="F60" s="650"/>
      <c r="G60" s="199">
        <v>11</v>
      </c>
      <c r="H60" s="201">
        <v>1805.9034722345914</v>
      </c>
      <c r="I60" s="202">
        <v>164.17304293041738</v>
      </c>
      <c r="J60" s="351">
        <f>I60-I34</f>
        <v>-5.9740259740209467E-2</v>
      </c>
      <c r="K60" s="648"/>
      <c r="L60" s="650"/>
      <c r="O60" s="198"/>
      <c r="P60" s="384"/>
      <c r="Q60" s="384"/>
      <c r="R60" s="198"/>
    </row>
    <row r="61" spans="1:18" ht="15.75" customHeight="1">
      <c r="A61" s="655"/>
      <c r="B61" s="658"/>
      <c r="C61" s="199">
        <v>2</v>
      </c>
      <c r="D61" s="648" t="s">
        <v>615</v>
      </c>
      <c r="E61" s="649"/>
      <c r="F61" s="650"/>
      <c r="G61" s="199">
        <v>11</v>
      </c>
      <c r="H61" s="201">
        <v>1804.4930696569204</v>
      </c>
      <c r="I61" s="202">
        <v>164.04482451426546</v>
      </c>
      <c r="J61" s="351">
        <f>I61-I35</f>
        <v>-5.1239999349093068E-2</v>
      </c>
      <c r="K61" s="648"/>
      <c r="L61" s="650"/>
      <c r="O61" s="198"/>
      <c r="P61" s="384"/>
      <c r="Q61" s="384"/>
      <c r="R61" s="198"/>
    </row>
    <row r="62" spans="1:18" ht="15.75" customHeight="1">
      <c r="A62" s="655"/>
      <c r="B62" s="658"/>
      <c r="C62" s="199">
        <v>3</v>
      </c>
      <c r="D62" s="648" t="s">
        <v>650</v>
      </c>
      <c r="E62" s="649"/>
      <c r="F62" s="650"/>
      <c r="G62" s="199">
        <v>19</v>
      </c>
      <c r="H62" s="201">
        <v>1792.6515942538358</v>
      </c>
      <c r="I62" s="202">
        <v>94.350083908096622</v>
      </c>
      <c r="J62" s="351">
        <f>I62-I36</f>
        <v>0.13865710627074179</v>
      </c>
      <c r="K62" s="648"/>
      <c r="L62" s="650"/>
      <c r="O62" s="198"/>
      <c r="P62" s="384"/>
      <c r="Q62" s="384"/>
      <c r="R62" s="198"/>
    </row>
    <row r="63" spans="1:18" ht="15.75" customHeight="1">
      <c r="A63" s="655"/>
      <c r="B63" s="658"/>
      <c r="C63" s="199">
        <v>4</v>
      </c>
      <c r="D63" s="648" t="s">
        <v>354</v>
      </c>
      <c r="E63" s="649"/>
      <c r="F63" s="650"/>
      <c r="G63" s="201">
        <v>13</v>
      </c>
      <c r="H63" s="201">
        <v>1081.5076325246</v>
      </c>
      <c r="I63" s="202">
        <v>83.192894809584615</v>
      </c>
      <c r="J63" s="351">
        <f>I63-I37</f>
        <v>-5.8021978021940868E-2</v>
      </c>
      <c r="K63" s="648"/>
      <c r="L63" s="650"/>
      <c r="O63" s="198"/>
      <c r="P63" s="384"/>
      <c r="Q63" s="384"/>
      <c r="R63" s="198"/>
    </row>
    <row r="64" spans="1:18" ht="15.75" customHeight="1">
      <c r="A64" s="655"/>
      <c r="B64" s="658"/>
      <c r="C64" s="199">
        <v>5</v>
      </c>
      <c r="D64" s="648" t="s">
        <v>616</v>
      </c>
      <c r="E64" s="649"/>
      <c r="F64" s="650"/>
      <c r="G64" s="199">
        <v>22</v>
      </c>
      <c r="H64" s="201">
        <v>1800.1406628782086</v>
      </c>
      <c r="I64" s="202">
        <v>81.824575585373125</v>
      </c>
      <c r="J64" s="351">
        <f>I64-I38</f>
        <v>8.6629945197955749E-3</v>
      </c>
      <c r="K64" s="648"/>
      <c r="L64" s="650"/>
      <c r="O64" s="198"/>
      <c r="P64" s="384"/>
      <c r="Q64" s="384"/>
      <c r="R64" s="198"/>
    </row>
    <row r="65" spans="1:18" ht="15.75" customHeight="1">
      <c r="A65" s="655"/>
      <c r="B65" s="658"/>
      <c r="C65" s="203" t="s">
        <v>204</v>
      </c>
      <c r="D65" s="648"/>
      <c r="E65" s="649"/>
      <c r="F65" s="650"/>
      <c r="G65" s="199"/>
      <c r="H65" s="201"/>
      <c r="I65" s="202"/>
      <c r="J65" s="199"/>
      <c r="K65" s="648"/>
      <c r="L65" s="650"/>
      <c r="O65" s="198"/>
      <c r="P65" s="384"/>
      <c r="Q65" s="384"/>
      <c r="R65" s="198"/>
    </row>
    <row r="66" spans="1:18" ht="15.75" customHeight="1">
      <c r="A66" s="655"/>
      <c r="B66" s="658"/>
      <c r="C66" s="203" t="s">
        <v>209</v>
      </c>
      <c r="D66" s="648"/>
      <c r="E66" s="649"/>
      <c r="F66" s="650"/>
      <c r="G66" s="199"/>
      <c r="H66" s="201"/>
      <c r="I66" s="202"/>
      <c r="J66" s="199"/>
      <c r="K66" s="648"/>
      <c r="L66" s="650"/>
      <c r="N66" s="177"/>
      <c r="O66" s="177"/>
      <c r="P66" s="383"/>
      <c r="Q66" s="383"/>
      <c r="R66" s="177"/>
    </row>
    <row r="67" spans="1:18" ht="15.75" customHeight="1">
      <c r="A67" s="655"/>
      <c r="B67" s="658"/>
      <c r="C67" s="203" t="s">
        <v>205</v>
      </c>
      <c r="D67" s="648"/>
      <c r="E67" s="649"/>
      <c r="F67" s="650"/>
      <c r="G67" s="199"/>
      <c r="H67" s="201"/>
      <c r="I67" s="202"/>
      <c r="J67" s="199"/>
      <c r="K67" s="648"/>
      <c r="L67" s="650"/>
      <c r="O67" s="198"/>
      <c r="P67" s="384"/>
      <c r="Q67" s="384"/>
      <c r="R67" s="198"/>
    </row>
    <row r="68" spans="1:18" ht="15.75" customHeight="1">
      <c r="A68" s="655"/>
      <c r="B68" s="658"/>
      <c r="C68" s="203" t="s">
        <v>210</v>
      </c>
      <c r="D68" s="648"/>
      <c r="E68" s="649"/>
      <c r="F68" s="650"/>
      <c r="G68" s="199"/>
      <c r="H68" s="201"/>
      <c r="I68" s="202"/>
      <c r="J68" s="199"/>
      <c r="K68" s="648"/>
      <c r="L68" s="650"/>
      <c r="M68" s="98"/>
      <c r="O68" s="198"/>
      <c r="P68" s="384"/>
      <c r="Q68" s="384"/>
      <c r="R68" s="198"/>
    </row>
    <row r="69" spans="1:18" ht="15.75" customHeight="1">
      <c r="A69" s="656"/>
      <c r="B69" s="659"/>
      <c r="C69" s="203" t="s">
        <v>211</v>
      </c>
      <c r="D69" s="648"/>
      <c r="E69" s="649"/>
      <c r="F69" s="650"/>
      <c r="G69" s="199"/>
      <c r="H69" s="201"/>
      <c r="I69" s="202"/>
      <c r="J69" s="199"/>
      <c r="K69" s="648"/>
      <c r="L69" s="650"/>
      <c r="M69" s="98"/>
      <c r="O69" s="198"/>
      <c r="P69" s="384"/>
      <c r="Q69" s="384"/>
      <c r="R69" s="198"/>
    </row>
    <row r="70" spans="1:18" s="103" customFormat="1" ht="15.75" customHeight="1">
      <c r="A70" s="651" t="s">
        <v>188</v>
      </c>
      <c r="B70" s="652"/>
      <c r="C70" s="206" t="s">
        <v>47</v>
      </c>
      <c r="D70" s="651" t="s">
        <v>12</v>
      </c>
      <c r="E70" s="653"/>
      <c r="F70" s="652"/>
      <c r="G70" s="206" t="s">
        <v>46</v>
      </c>
      <c r="H70" s="206" t="s">
        <v>374</v>
      </c>
      <c r="I70" s="206" t="s">
        <v>375</v>
      </c>
      <c r="J70" s="159" t="s">
        <v>332</v>
      </c>
      <c r="K70" s="651" t="s">
        <v>51</v>
      </c>
      <c r="L70" s="652"/>
      <c r="M70" s="127"/>
      <c r="N70" s="188"/>
      <c r="O70" s="198"/>
      <c r="P70" s="384"/>
      <c r="Q70" s="384"/>
      <c r="R70" s="198"/>
    </row>
    <row r="71" spans="1:18" ht="15.75" customHeight="1">
      <c r="A71" s="654"/>
      <c r="B71" s="657"/>
      <c r="C71" s="199">
        <v>1</v>
      </c>
      <c r="D71" s="648"/>
      <c r="E71" s="649"/>
      <c r="F71" s="650"/>
      <c r="G71" s="199"/>
      <c r="H71" s="201"/>
      <c r="I71" s="202"/>
      <c r="J71" s="199"/>
      <c r="K71" s="648"/>
      <c r="L71" s="650"/>
      <c r="M71" s="98"/>
      <c r="N71" s="198"/>
      <c r="O71" s="198"/>
      <c r="P71" s="384"/>
      <c r="Q71" s="384"/>
      <c r="R71" s="198"/>
    </row>
    <row r="72" spans="1:18" ht="15.75" customHeight="1">
      <c r="A72" s="655"/>
      <c r="B72" s="658"/>
      <c r="C72" s="199">
        <v>2</v>
      </c>
      <c r="D72" s="648"/>
      <c r="E72" s="649"/>
      <c r="F72" s="650"/>
      <c r="G72" s="199"/>
      <c r="H72" s="201"/>
      <c r="I72" s="202"/>
      <c r="J72" s="199"/>
      <c r="K72" s="648"/>
      <c r="L72" s="650"/>
      <c r="M72" s="98"/>
      <c r="O72" s="198"/>
      <c r="P72" s="384"/>
      <c r="Q72" s="384"/>
      <c r="R72" s="198"/>
    </row>
    <row r="73" spans="1:18" ht="15.75" customHeight="1">
      <c r="A73" s="655"/>
      <c r="B73" s="658"/>
      <c r="C73" s="199">
        <v>3</v>
      </c>
      <c r="D73" s="648"/>
      <c r="E73" s="649"/>
      <c r="F73" s="650"/>
      <c r="G73" s="199"/>
      <c r="H73" s="201"/>
      <c r="I73" s="202"/>
      <c r="J73" s="199"/>
      <c r="K73" s="648"/>
      <c r="L73" s="650"/>
      <c r="M73" s="98"/>
      <c r="O73" s="198"/>
      <c r="P73" s="384"/>
      <c r="Q73" s="384"/>
      <c r="R73" s="198"/>
    </row>
    <row r="74" spans="1:18" ht="15.75" customHeight="1">
      <c r="A74" s="655"/>
      <c r="B74" s="658"/>
      <c r="C74" s="199">
        <v>4</v>
      </c>
      <c r="D74" s="648"/>
      <c r="E74" s="649"/>
      <c r="F74" s="650"/>
      <c r="G74" s="199"/>
      <c r="H74" s="201"/>
      <c r="I74" s="202"/>
      <c r="J74" s="199"/>
      <c r="K74" s="648"/>
      <c r="L74" s="650"/>
      <c r="M74" s="98"/>
      <c r="O74" s="198"/>
      <c r="P74" s="384"/>
      <c r="Q74" s="384"/>
      <c r="R74" s="198"/>
    </row>
    <row r="75" spans="1:18" ht="15.75" customHeight="1">
      <c r="A75" s="655"/>
      <c r="B75" s="658"/>
      <c r="C75" s="199">
        <v>5</v>
      </c>
      <c r="D75" s="648"/>
      <c r="E75" s="649"/>
      <c r="F75" s="650"/>
      <c r="G75" s="199"/>
      <c r="H75" s="201"/>
      <c r="I75" s="202"/>
      <c r="J75" s="199"/>
      <c r="K75" s="648"/>
      <c r="L75" s="650"/>
      <c r="M75" s="98"/>
      <c r="O75" s="198"/>
      <c r="P75" s="384"/>
      <c r="Q75" s="384"/>
      <c r="R75" s="198"/>
    </row>
    <row r="76" spans="1:18" ht="15.75" customHeight="1">
      <c r="A76" s="655"/>
      <c r="B76" s="658"/>
      <c r="C76" s="203" t="s">
        <v>204</v>
      </c>
      <c r="D76" s="648"/>
      <c r="E76" s="649"/>
      <c r="F76" s="650"/>
      <c r="G76" s="199"/>
      <c r="H76" s="201"/>
      <c r="I76" s="202"/>
      <c r="J76" s="199"/>
      <c r="K76" s="648"/>
      <c r="L76" s="650"/>
      <c r="M76" s="98"/>
      <c r="O76" s="198"/>
      <c r="P76" s="384"/>
      <c r="Q76" s="384"/>
      <c r="R76" s="198"/>
    </row>
    <row r="77" spans="1:18" ht="15.75" customHeight="1">
      <c r="A77" s="655"/>
      <c r="B77" s="658"/>
      <c r="C77" s="203" t="s">
        <v>209</v>
      </c>
      <c r="D77" s="648"/>
      <c r="E77" s="649"/>
      <c r="F77" s="650"/>
      <c r="G77" s="199"/>
      <c r="H77" s="201"/>
      <c r="I77" s="202"/>
      <c r="J77" s="199"/>
      <c r="K77" s="648"/>
      <c r="L77" s="650"/>
      <c r="M77" s="98"/>
      <c r="O77" s="198"/>
      <c r="P77" s="384"/>
      <c r="Q77" s="384"/>
      <c r="R77" s="198"/>
    </row>
    <row r="78" spans="1:18" ht="15.75" customHeight="1">
      <c r="A78" s="655"/>
      <c r="B78" s="658"/>
      <c r="C78" s="203" t="s">
        <v>205</v>
      </c>
      <c r="D78" s="648"/>
      <c r="E78" s="649"/>
      <c r="F78" s="650"/>
      <c r="G78" s="199"/>
      <c r="H78" s="201"/>
      <c r="I78" s="202"/>
      <c r="J78" s="199"/>
      <c r="K78" s="648"/>
      <c r="L78" s="650"/>
      <c r="M78" s="98"/>
      <c r="O78" s="198"/>
      <c r="P78" s="384"/>
      <c r="Q78" s="384"/>
      <c r="R78" s="198"/>
    </row>
    <row r="79" spans="1:18" ht="15.75" customHeight="1">
      <c r="A79" s="655"/>
      <c r="B79" s="658"/>
      <c r="C79" s="203" t="s">
        <v>210</v>
      </c>
      <c r="D79" s="648"/>
      <c r="E79" s="649"/>
      <c r="F79" s="650"/>
      <c r="G79" s="199"/>
      <c r="H79" s="201"/>
      <c r="I79" s="202"/>
      <c r="J79" s="199"/>
      <c r="K79" s="648"/>
      <c r="L79" s="650"/>
      <c r="M79" s="98"/>
      <c r="O79" s="198"/>
      <c r="P79" s="384"/>
      <c r="Q79" s="384"/>
      <c r="R79" s="198"/>
    </row>
    <row r="80" spans="1:18" ht="15.75" customHeight="1">
      <c r="A80" s="656"/>
      <c r="B80" s="659"/>
      <c r="C80" s="203" t="s">
        <v>211</v>
      </c>
      <c r="D80" s="648"/>
      <c r="E80" s="649"/>
      <c r="F80" s="650"/>
      <c r="G80" s="199"/>
      <c r="H80" s="201"/>
      <c r="I80" s="202"/>
      <c r="J80" s="199"/>
      <c r="K80" s="648"/>
      <c r="L80" s="650"/>
      <c r="M80" s="98"/>
      <c r="O80" s="198"/>
      <c r="P80" s="384"/>
      <c r="Q80" s="384"/>
      <c r="R80" s="198"/>
    </row>
    <row r="81" spans="1:19" ht="15.75" customHeight="1">
      <c r="A81" s="645" t="s">
        <v>827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188"/>
      <c r="N81" s="178"/>
      <c r="O81" s="178"/>
      <c r="P81" s="178"/>
      <c r="Q81" s="178"/>
      <c r="R81" s="178"/>
      <c r="S81" s="188"/>
    </row>
    <row r="82" spans="1:19" s="99" customFormat="1" ht="15.75" customHeight="1">
      <c r="A82" s="645"/>
      <c r="B82" s="645"/>
      <c r="C82" s="645"/>
      <c r="D82" s="645"/>
      <c r="E82" s="645"/>
      <c r="F82" s="645"/>
      <c r="G82" s="645"/>
      <c r="H82" s="645"/>
      <c r="I82" s="645"/>
      <c r="J82" s="645"/>
      <c r="K82" s="645"/>
      <c r="L82" s="645"/>
      <c r="M82" s="189"/>
      <c r="N82" s="525"/>
      <c r="O82" s="525"/>
      <c r="P82" s="525"/>
      <c r="Q82" s="525"/>
      <c r="R82" s="525"/>
      <c r="S82" s="189"/>
    </row>
    <row r="83" spans="1:19" s="105" customFormat="1" ht="16.350000000000001" customHeight="1">
      <c r="A83" s="654" t="s">
        <v>162</v>
      </c>
      <c r="B83" s="169">
        <v>1</v>
      </c>
      <c r="C83" s="169">
        <v>2</v>
      </c>
      <c r="D83" s="169">
        <v>3</v>
      </c>
      <c r="E83" s="169">
        <v>4</v>
      </c>
      <c r="F83" s="169">
        <v>5</v>
      </c>
      <c r="G83" s="169">
        <v>6</v>
      </c>
      <c r="H83" s="169">
        <v>7</v>
      </c>
      <c r="I83" s="169">
        <v>8</v>
      </c>
      <c r="J83" s="190">
        <v>9</v>
      </c>
      <c r="K83" s="191"/>
      <c r="L83" s="191"/>
      <c r="M83" s="126"/>
      <c r="N83" s="177"/>
      <c r="O83" s="177"/>
      <c r="P83" s="177"/>
      <c r="Q83" s="177"/>
      <c r="R83" s="177"/>
    </row>
    <row r="84" spans="1:19" ht="16.350000000000001" customHeight="1">
      <c r="A84" s="656"/>
      <c r="B84" s="194" t="s">
        <v>206</v>
      </c>
      <c r="C84" s="194" t="s">
        <v>155</v>
      </c>
      <c r="D84" s="194" t="s">
        <v>207</v>
      </c>
      <c r="E84" s="194" t="s">
        <v>156</v>
      </c>
      <c r="F84" s="194" t="s">
        <v>138</v>
      </c>
      <c r="G84" s="195" t="s">
        <v>136</v>
      </c>
      <c r="H84" s="196" t="s">
        <v>208</v>
      </c>
      <c r="I84" s="195" t="s">
        <v>373</v>
      </c>
      <c r="J84" s="208" t="s">
        <v>142</v>
      </c>
      <c r="K84" s="197"/>
      <c r="L84" s="197"/>
      <c r="N84" s="198"/>
      <c r="O84" s="198"/>
      <c r="P84" s="198"/>
      <c r="Q84" s="198"/>
      <c r="R84" s="198"/>
    </row>
    <row r="85" spans="1:19" s="105" customFormat="1" ht="15.75" customHeight="1">
      <c r="A85" s="660" t="s">
        <v>188</v>
      </c>
      <c r="B85" s="661"/>
      <c r="C85" s="159" t="s">
        <v>47</v>
      </c>
      <c r="D85" s="660" t="s">
        <v>12</v>
      </c>
      <c r="E85" s="662"/>
      <c r="F85" s="661"/>
      <c r="G85" s="159" t="s">
        <v>46</v>
      </c>
      <c r="H85" s="159" t="s">
        <v>374</v>
      </c>
      <c r="I85" s="159" t="s">
        <v>375</v>
      </c>
      <c r="J85" s="159" t="s">
        <v>332</v>
      </c>
      <c r="K85" s="660" t="s">
        <v>51</v>
      </c>
      <c r="L85" s="661"/>
      <c r="M85" s="126"/>
      <c r="N85" s="188"/>
      <c r="O85" s="198"/>
      <c r="P85" s="384"/>
      <c r="Q85" s="384"/>
      <c r="R85" s="198"/>
    </row>
    <row r="86" spans="1:19" ht="15.75" customHeight="1">
      <c r="A86" s="654">
        <f>J83</f>
        <v>9</v>
      </c>
      <c r="B86" s="657" t="str">
        <f>J84</f>
        <v>微波小吃</v>
      </c>
      <c r="C86" s="199">
        <v>1</v>
      </c>
      <c r="D86" s="648"/>
      <c r="E86" s="649"/>
      <c r="F86" s="650"/>
      <c r="G86" s="199"/>
      <c r="H86" s="201"/>
      <c r="I86" s="202"/>
      <c r="J86" s="351">
        <f>I86-I61</f>
        <v>-164.04482451426546</v>
      </c>
      <c r="K86" s="648"/>
      <c r="L86" s="650"/>
      <c r="O86" s="198"/>
      <c r="P86" s="384"/>
      <c r="Q86" s="384"/>
      <c r="R86" s="198"/>
    </row>
    <row r="87" spans="1:19" ht="15.75" customHeight="1">
      <c r="A87" s="655"/>
      <c r="B87" s="658"/>
      <c r="C87" s="199">
        <v>2</v>
      </c>
      <c r="D87" s="648"/>
      <c r="E87" s="649"/>
      <c r="F87" s="650"/>
      <c r="G87" s="199"/>
      <c r="H87" s="201"/>
      <c r="I87" s="202"/>
      <c r="J87" s="351">
        <f>I87-I60</f>
        <v>-164.17304293041738</v>
      </c>
      <c r="K87" s="648"/>
      <c r="L87" s="650"/>
      <c r="O87" s="198"/>
      <c r="P87" s="384"/>
      <c r="Q87" s="384"/>
      <c r="R87" s="198"/>
    </row>
    <row r="88" spans="1:19" ht="15.75" customHeight="1">
      <c r="A88" s="655"/>
      <c r="B88" s="658"/>
      <c r="C88" s="199">
        <v>3</v>
      </c>
      <c r="D88" s="648"/>
      <c r="E88" s="649"/>
      <c r="F88" s="650"/>
      <c r="G88" s="199"/>
      <c r="H88" s="201"/>
      <c r="I88" s="202"/>
      <c r="J88" s="351">
        <f>I88-I62</f>
        <v>-94.350083908096622</v>
      </c>
      <c r="K88" s="648"/>
      <c r="L88" s="650"/>
      <c r="O88" s="198"/>
      <c r="P88" s="384"/>
      <c r="Q88" s="384"/>
      <c r="R88" s="198"/>
    </row>
    <row r="89" spans="1:19" ht="15.75" customHeight="1">
      <c r="A89" s="655"/>
      <c r="B89" s="658"/>
      <c r="C89" s="199">
        <v>4</v>
      </c>
      <c r="D89" s="648"/>
      <c r="E89" s="649"/>
      <c r="F89" s="650"/>
      <c r="G89" s="201"/>
      <c r="H89" s="201"/>
      <c r="I89" s="202"/>
      <c r="J89" s="351">
        <f>I89-I63</f>
        <v>-83.192894809584615</v>
      </c>
      <c r="K89" s="648"/>
      <c r="L89" s="650"/>
      <c r="O89" s="198"/>
      <c r="P89" s="384"/>
      <c r="Q89" s="384"/>
      <c r="R89" s="198"/>
    </row>
    <row r="90" spans="1:19" ht="15.75" customHeight="1">
      <c r="A90" s="655"/>
      <c r="B90" s="658"/>
      <c r="C90" s="199">
        <v>5</v>
      </c>
      <c r="D90" s="648"/>
      <c r="E90" s="649"/>
      <c r="F90" s="650"/>
      <c r="G90" s="199"/>
      <c r="H90" s="201"/>
      <c r="I90" s="202"/>
      <c r="J90" s="351">
        <f>I90-I64</f>
        <v>-81.824575585373125</v>
      </c>
      <c r="K90" s="648"/>
      <c r="L90" s="650"/>
      <c r="O90" s="198"/>
      <c r="P90" s="384"/>
      <c r="Q90" s="384"/>
      <c r="R90" s="198"/>
    </row>
    <row r="91" spans="1:19" ht="15.75" customHeight="1">
      <c r="A91" s="655"/>
      <c r="B91" s="658"/>
      <c r="C91" s="203" t="s">
        <v>204</v>
      </c>
      <c r="D91" s="648"/>
      <c r="E91" s="649"/>
      <c r="F91" s="650"/>
      <c r="G91" s="199"/>
      <c r="H91" s="201"/>
      <c r="I91" s="202"/>
      <c r="J91" s="199"/>
      <c r="K91" s="648"/>
      <c r="L91" s="650"/>
      <c r="O91" s="198"/>
      <c r="P91" s="384"/>
      <c r="Q91" s="384"/>
      <c r="R91" s="198"/>
    </row>
    <row r="92" spans="1:19" ht="15.75" customHeight="1">
      <c r="A92" s="655"/>
      <c r="B92" s="658"/>
      <c r="C92" s="203" t="s">
        <v>209</v>
      </c>
      <c r="D92" s="648"/>
      <c r="E92" s="649"/>
      <c r="F92" s="650"/>
      <c r="G92" s="199"/>
      <c r="H92" s="201"/>
      <c r="I92" s="202"/>
      <c r="J92" s="199"/>
      <c r="K92" s="648"/>
      <c r="L92" s="650"/>
      <c r="N92" s="177"/>
      <c r="O92" s="177"/>
      <c r="P92" s="383"/>
      <c r="Q92" s="383"/>
      <c r="R92" s="177"/>
    </row>
    <row r="93" spans="1:19" ht="15.75" customHeight="1">
      <c r="A93" s="655"/>
      <c r="B93" s="658"/>
      <c r="C93" s="203" t="s">
        <v>205</v>
      </c>
      <c r="D93" s="648"/>
      <c r="E93" s="649"/>
      <c r="F93" s="650"/>
      <c r="G93" s="199"/>
      <c r="H93" s="201"/>
      <c r="I93" s="202"/>
      <c r="J93" s="199"/>
      <c r="K93" s="648"/>
      <c r="L93" s="650"/>
      <c r="O93" s="198"/>
      <c r="P93" s="384"/>
      <c r="Q93" s="384"/>
      <c r="R93" s="198"/>
    </row>
    <row r="94" spans="1:19" ht="15.75" customHeight="1">
      <c r="A94" s="655"/>
      <c r="B94" s="658"/>
      <c r="C94" s="203" t="s">
        <v>210</v>
      </c>
      <c r="D94" s="648"/>
      <c r="E94" s="649"/>
      <c r="F94" s="650"/>
      <c r="G94" s="199"/>
      <c r="H94" s="201"/>
      <c r="I94" s="202"/>
      <c r="J94" s="199"/>
      <c r="K94" s="648"/>
      <c r="L94" s="650"/>
      <c r="M94" s="98"/>
      <c r="O94" s="198"/>
      <c r="P94" s="384"/>
      <c r="Q94" s="384"/>
      <c r="R94" s="198"/>
    </row>
    <row r="95" spans="1:19" ht="15.75" customHeight="1">
      <c r="A95" s="656"/>
      <c r="B95" s="659"/>
      <c r="C95" s="203" t="s">
        <v>211</v>
      </c>
      <c r="D95" s="648"/>
      <c r="E95" s="649"/>
      <c r="F95" s="650"/>
      <c r="G95" s="199"/>
      <c r="H95" s="201"/>
      <c r="I95" s="202"/>
      <c r="J95" s="199"/>
      <c r="K95" s="648"/>
      <c r="L95" s="650"/>
      <c r="M95" s="98"/>
      <c r="O95" s="198"/>
      <c r="P95" s="384"/>
      <c r="Q95" s="384"/>
      <c r="R95" s="198"/>
    </row>
    <row r="96" spans="1:19" s="103" customFormat="1" ht="15.75" customHeight="1">
      <c r="A96" s="651" t="s">
        <v>188</v>
      </c>
      <c r="B96" s="652"/>
      <c r="C96" s="206" t="s">
        <v>47</v>
      </c>
      <c r="D96" s="651" t="s">
        <v>12</v>
      </c>
      <c r="E96" s="653"/>
      <c r="F96" s="652"/>
      <c r="G96" s="206" t="s">
        <v>46</v>
      </c>
      <c r="H96" s="206" t="s">
        <v>374</v>
      </c>
      <c r="I96" s="206" t="s">
        <v>375</v>
      </c>
      <c r="J96" s="159" t="s">
        <v>332</v>
      </c>
      <c r="K96" s="651" t="s">
        <v>51</v>
      </c>
      <c r="L96" s="652"/>
      <c r="M96" s="127"/>
      <c r="N96" s="188"/>
      <c r="O96" s="198"/>
      <c r="P96" s="384"/>
      <c r="Q96" s="384"/>
      <c r="R96" s="198"/>
    </row>
    <row r="97" spans="1:18" ht="15.75" customHeight="1">
      <c r="A97" s="654"/>
      <c r="B97" s="657"/>
      <c r="C97" s="199">
        <v>1</v>
      </c>
      <c r="D97" s="648"/>
      <c r="E97" s="649"/>
      <c r="F97" s="650"/>
      <c r="G97" s="199"/>
      <c r="H97" s="201"/>
      <c r="I97" s="202"/>
      <c r="J97" s="199"/>
      <c r="K97" s="648"/>
      <c r="L97" s="650"/>
      <c r="M97" s="98"/>
      <c r="N97" s="198"/>
      <c r="O97" s="198"/>
      <c r="P97" s="384"/>
      <c r="Q97" s="384"/>
      <c r="R97" s="198"/>
    </row>
    <row r="98" spans="1:18" ht="15.75" customHeight="1">
      <c r="A98" s="655"/>
      <c r="B98" s="658"/>
      <c r="C98" s="199">
        <v>2</v>
      </c>
      <c r="D98" s="648"/>
      <c r="E98" s="649"/>
      <c r="F98" s="650"/>
      <c r="G98" s="199"/>
      <c r="H98" s="201"/>
      <c r="I98" s="202"/>
      <c r="J98" s="199"/>
      <c r="K98" s="648"/>
      <c r="L98" s="650"/>
      <c r="M98" s="98"/>
      <c r="O98" s="198"/>
      <c r="P98" s="384"/>
      <c r="Q98" s="384"/>
      <c r="R98" s="198"/>
    </row>
    <row r="99" spans="1:18" ht="15.75" customHeight="1">
      <c r="A99" s="655"/>
      <c r="B99" s="658"/>
      <c r="C99" s="199">
        <v>3</v>
      </c>
      <c r="D99" s="648"/>
      <c r="E99" s="649"/>
      <c r="F99" s="650"/>
      <c r="G99" s="199"/>
      <c r="H99" s="201"/>
      <c r="I99" s="202"/>
      <c r="J99" s="199"/>
      <c r="K99" s="648"/>
      <c r="L99" s="650"/>
      <c r="M99" s="98"/>
      <c r="O99" s="198"/>
      <c r="P99" s="384"/>
      <c r="Q99" s="384"/>
      <c r="R99" s="198"/>
    </row>
    <row r="100" spans="1:18" ht="15.75" customHeight="1">
      <c r="A100" s="655"/>
      <c r="B100" s="658"/>
      <c r="C100" s="199">
        <v>4</v>
      </c>
      <c r="D100" s="648"/>
      <c r="E100" s="649"/>
      <c r="F100" s="650"/>
      <c r="G100" s="199"/>
      <c r="H100" s="201"/>
      <c r="I100" s="202"/>
      <c r="J100" s="199"/>
      <c r="K100" s="648"/>
      <c r="L100" s="650"/>
      <c r="M100" s="98"/>
      <c r="O100" s="198"/>
      <c r="P100" s="384"/>
      <c r="Q100" s="384"/>
      <c r="R100" s="198"/>
    </row>
    <row r="101" spans="1:18" ht="15.75" customHeight="1">
      <c r="A101" s="655"/>
      <c r="B101" s="658"/>
      <c r="C101" s="199">
        <v>5</v>
      </c>
      <c r="D101" s="648"/>
      <c r="E101" s="649"/>
      <c r="F101" s="650"/>
      <c r="G101" s="199"/>
      <c r="H101" s="201"/>
      <c r="I101" s="202"/>
      <c r="J101" s="199"/>
      <c r="K101" s="648"/>
      <c r="L101" s="650"/>
      <c r="M101" s="98"/>
      <c r="O101" s="198"/>
      <c r="P101" s="384"/>
      <c r="Q101" s="384"/>
      <c r="R101" s="198"/>
    </row>
    <row r="102" spans="1:18" ht="15.75" customHeight="1">
      <c r="A102" s="655"/>
      <c r="B102" s="658"/>
      <c r="C102" s="203" t="s">
        <v>204</v>
      </c>
      <c r="D102" s="648"/>
      <c r="E102" s="649"/>
      <c r="F102" s="650"/>
      <c r="G102" s="199"/>
      <c r="H102" s="201"/>
      <c r="I102" s="202"/>
      <c r="J102" s="199"/>
      <c r="K102" s="648"/>
      <c r="L102" s="650"/>
      <c r="M102" s="98"/>
      <c r="O102" s="198"/>
      <c r="P102" s="384"/>
      <c r="Q102" s="384"/>
      <c r="R102" s="198"/>
    </row>
    <row r="103" spans="1:18" ht="15.75" customHeight="1">
      <c r="A103" s="655"/>
      <c r="B103" s="658"/>
      <c r="C103" s="203" t="s">
        <v>209</v>
      </c>
      <c r="D103" s="648"/>
      <c r="E103" s="649"/>
      <c r="F103" s="650"/>
      <c r="G103" s="199"/>
      <c r="H103" s="201"/>
      <c r="I103" s="202"/>
      <c r="J103" s="199"/>
      <c r="K103" s="648"/>
      <c r="L103" s="650"/>
      <c r="M103" s="98"/>
      <c r="O103" s="198"/>
      <c r="P103" s="384"/>
      <c r="Q103" s="384"/>
      <c r="R103" s="198"/>
    </row>
    <row r="104" spans="1:18" ht="15.75" customHeight="1">
      <c r="A104" s="655"/>
      <c r="B104" s="658"/>
      <c r="C104" s="203" t="s">
        <v>205</v>
      </c>
      <c r="D104" s="648"/>
      <c r="E104" s="649"/>
      <c r="F104" s="650"/>
      <c r="G104" s="199"/>
      <c r="H104" s="201"/>
      <c r="I104" s="202"/>
      <c r="J104" s="199"/>
      <c r="K104" s="648"/>
      <c r="L104" s="650"/>
      <c r="M104" s="98"/>
      <c r="O104" s="198"/>
      <c r="P104" s="384"/>
      <c r="Q104" s="384"/>
      <c r="R104" s="198"/>
    </row>
    <row r="105" spans="1:18" ht="15.75" customHeight="1">
      <c r="A105" s="655"/>
      <c r="B105" s="658"/>
      <c r="C105" s="203" t="s">
        <v>210</v>
      </c>
      <c r="D105" s="648"/>
      <c r="E105" s="649"/>
      <c r="F105" s="650"/>
      <c r="G105" s="199"/>
      <c r="H105" s="201"/>
      <c r="I105" s="202"/>
      <c r="J105" s="199"/>
      <c r="K105" s="648"/>
      <c r="L105" s="650"/>
      <c r="M105" s="98"/>
      <c r="O105" s="198"/>
      <c r="P105" s="384"/>
      <c r="Q105" s="384"/>
      <c r="R105" s="198"/>
    </row>
    <row r="106" spans="1:18" ht="15.75" customHeight="1">
      <c r="A106" s="656"/>
      <c r="B106" s="659"/>
      <c r="C106" s="203" t="s">
        <v>211</v>
      </c>
      <c r="D106" s="648"/>
      <c r="E106" s="649"/>
      <c r="F106" s="650"/>
      <c r="G106" s="199"/>
      <c r="H106" s="201"/>
      <c r="I106" s="202"/>
      <c r="J106" s="199"/>
      <c r="K106" s="648"/>
      <c r="L106" s="650"/>
      <c r="M106" s="98"/>
      <c r="O106" s="198"/>
      <c r="P106" s="384"/>
      <c r="Q106" s="384"/>
      <c r="R106" s="198"/>
    </row>
  </sheetData>
  <mergeCells count="209">
    <mergeCell ref="A57:A58"/>
    <mergeCell ref="A59:B59"/>
    <mergeCell ref="D59:F59"/>
    <mergeCell ref="K59:L59"/>
    <mergeCell ref="D66:F66"/>
    <mergeCell ref="D27:F27"/>
    <mergeCell ref="K27:L27"/>
    <mergeCell ref="D28:F28"/>
    <mergeCell ref="K28:L28"/>
    <mergeCell ref="D65:F65"/>
    <mergeCell ref="K65:L65"/>
    <mergeCell ref="A55:L56"/>
    <mergeCell ref="K40:L40"/>
    <mergeCell ref="D41:F41"/>
    <mergeCell ref="K41:L41"/>
    <mergeCell ref="D42:F42"/>
    <mergeCell ref="D51:F51"/>
    <mergeCell ref="K51:L51"/>
    <mergeCell ref="D52:F52"/>
    <mergeCell ref="K52:L52"/>
    <mergeCell ref="A29:L30"/>
    <mergeCell ref="A31:A32"/>
    <mergeCell ref="A33:B33"/>
    <mergeCell ref="D33:F33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A1:L2"/>
    <mergeCell ref="K66:L66"/>
    <mergeCell ref="K80:L80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92:L92"/>
    <mergeCell ref="D93:F93"/>
    <mergeCell ref="K93:L93"/>
    <mergeCell ref="D94:F94"/>
    <mergeCell ref="D53:F53"/>
    <mergeCell ref="K53:L53"/>
    <mergeCell ref="D54:F54"/>
    <mergeCell ref="K54:L54"/>
    <mergeCell ref="K42:L42"/>
    <mergeCell ref="D43:F43"/>
    <mergeCell ref="K43:L43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9" sqref="B9:B14"/>
    </sheetView>
  </sheetViews>
  <sheetFormatPr defaultColWidth="12.5703125" defaultRowHeight="15.75" customHeight="1"/>
  <cols>
    <col min="1" max="1" width="18" style="135" bestFit="1" customWidth="1"/>
    <col min="2" max="2" width="14.85546875" style="135" customWidth="1"/>
    <col min="3" max="3" width="12.85546875" style="135" customWidth="1"/>
    <col min="4" max="4" width="2.5703125" style="135" customWidth="1"/>
    <col min="5" max="5" width="7.5703125" style="135" customWidth="1"/>
    <col min="6" max="6" width="12.85546875" style="135" customWidth="1"/>
    <col min="7" max="7" width="9.42578125" style="135" customWidth="1"/>
    <col min="8" max="8" width="12.85546875" style="135" customWidth="1"/>
    <col min="9" max="9" width="9.42578125" style="135" customWidth="1"/>
    <col min="10" max="10" width="12.85546875" style="135" customWidth="1"/>
    <col min="11" max="11" width="9.42578125" style="135" customWidth="1"/>
    <col min="12" max="12" width="12.85546875" style="135" customWidth="1"/>
    <col min="13" max="13" width="9.42578125" style="135" customWidth="1"/>
    <col min="14" max="16384" width="12.5703125" style="135"/>
  </cols>
  <sheetData>
    <row r="1" spans="1:13" ht="15.75" customHeight="1">
      <c r="A1" s="665" t="s">
        <v>361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</row>
    <row r="2" spans="1:13" s="136" customFormat="1" ht="15.75" customHeight="1">
      <c r="A2" s="665"/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3" ht="15.75" customHeight="1">
      <c r="A3" s="666" t="s">
        <v>238</v>
      </c>
      <c r="B3" s="666"/>
      <c r="C3" s="666"/>
      <c r="D3" s="666"/>
      <c r="E3" s="666"/>
      <c r="F3" s="666"/>
      <c r="G3" s="666"/>
      <c r="H3" s="666"/>
      <c r="I3" s="666"/>
      <c r="J3" s="666"/>
      <c r="K3" s="666"/>
      <c r="L3" s="666"/>
      <c r="M3" s="666"/>
    </row>
    <row r="4" spans="1:13" s="136" customFormat="1" ht="15.75" customHeight="1">
      <c r="A4" s="666"/>
      <c r="B4" s="666"/>
      <c r="C4" s="666"/>
      <c r="D4" s="666"/>
      <c r="E4" s="666"/>
      <c r="F4" s="666"/>
      <c r="G4" s="666"/>
      <c r="H4" s="666"/>
      <c r="I4" s="666"/>
      <c r="J4" s="666"/>
      <c r="K4" s="666"/>
      <c r="L4" s="666"/>
      <c r="M4" s="666"/>
    </row>
    <row r="5" spans="1:13" ht="15.75" customHeight="1">
      <c r="A5" s="225" t="s">
        <v>421</v>
      </c>
      <c r="B5" s="137" t="e">
        <f>'生產管理報表(月)'!B6</f>
        <v>#REF!</v>
      </c>
    </row>
    <row r="6" spans="1:13" ht="15.75" customHeight="1">
      <c r="A6" s="667" t="s">
        <v>239</v>
      </c>
      <c r="B6" s="668" t="s">
        <v>10</v>
      </c>
      <c r="C6" s="668"/>
      <c r="D6" s="669"/>
      <c r="E6" s="667" t="s">
        <v>197</v>
      </c>
      <c r="F6" s="671">
        <v>1</v>
      </c>
      <c r="G6" s="671"/>
      <c r="H6" s="671">
        <v>2</v>
      </c>
      <c r="I6" s="671"/>
      <c r="J6" s="671">
        <v>3</v>
      </c>
      <c r="K6" s="671"/>
      <c r="L6" s="671">
        <v>4</v>
      </c>
      <c r="M6" s="671"/>
    </row>
    <row r="7" spans="1:13" ht="31.35" customHeight="1">
      <c r="A7" s="667"/>
      <c r="B7" s="668"/>
      <c r="C7" s="668"/>
      <c r="D7" s="670"/>
      <c r="E7" s="667"/>
      <c r="F7" s="673" t="s">
        <v>452</v>
      </c>
      <c r="G7" s="673"/>
      <c r="H7" s="673" t="s">
        <v>240</v>
      </c>
      <c r="I7" s="673"/>
      <c r="J7" s="673" t="s">
        <v>166</v>
      </c>
      <c r="K7" s="673"/>
      <c r="L7" s="673" t="s">
        <v>429</v>
      </c>
      <c r="M7" s="673"/>
    </row>
    <row r="8" spans="1:13" ht="15.75" customHeight="1">
      <c r="A8" s="667"/>
      <c r="B8" s="154" t="s">
        <v>11</v>
      </c>
      <c r="C8" s="154" t="s">
        <v>241</v>
      </c>
      <c r="D8" s="670"/>
      <c r="E8" s="667"/>
      <c r="F8" s="154" t="s">
        <v>11</v>
      </c>
      <c r="G8" s="154" t="s">
        <v>41</v>
      </c>
      <c r="H8" s="154" t="s">
        <v>11</v>
      </c>
      <c r="I8" s="154" t="s">
        <v>41</v>
      </c>
      <c r="J8" s="154" t="s">
        <v>11</v>
      </c>
      <c r="K8" s="154" t="s">
        <v>41</v>
      </c>
      <c r="L8" s="154" t="s">
        <v>11</v>
      </c>
      <c r="M8" s="154" t="s">
        <v>41</v>
      </c>
    </row>
    <row r="9" spans="1:13" ht="19.350000000000001" customHeight="1">
      <c r="A9" s="138" t="s">
        <v>242</v>
      </c>
      <c r="B9" s="139">
        <f>日別報廢率總表!B2</f>
        <v>263747.9326</v>
      </c>
      <c r="C9" s="140" t="e">
        <f>B9/($B$5*1000)</f>
        <v>#REF!</v>
      </c>
      <c r="D9" s="670"/>
      <c r="E9" s="138" t="s">
        <v>242</v>
      </c>
      <c r="F9" s="141">
        <f>'報廢20大－原因別分析'!AG113</f>
        <v>32991.704942857148</v>
      </c>
      <c r="G9" s="356">
        <f>'報廢20大－原因別分析'!AG114</f>
        <v>0.35</v>
      </c>
      <c r="H9" s="141">
        <f>'報廢20大－原因別分析'!AH113</f>
        <v>0</v>
      </c>
      <c r="I9" s="356">
        <f>'報廢20大－原因別分析'!AH114</f>
        <v>0</v>
      </c>
      <c r="J9" s="141">
        <f>'報廢20大－原因別分析'!AI113</f>
        <v>40853.813199999997</v>
      </c>
      <c r="K9" s="356">
        <f>'報廢20大－原因別分析'!AI114</f>
        <v>0.32500000000000001</v>
      </c>
      <c r="L9" s="141">
        <f>'報廢20大－原因別分析'!AJ113</f>
        <v>0</v>
      </c>
      <c r="M9" s="356">
        <f>'報廢20大－原因別分析'!AJ114</f>
        <v>0</v>
      </c>
    </row>
    <row r="10" spans="1:13" ht="19.350000000000001" customHeight="1">
      <c r="A10" s="143" t="s">
        <v>243</v>
      </c>
      <c r="B10" s="144" t="str">
        <f>日別報廢率總表!F2</f>
        <v>7月總超用率A
(多展)</v>
      </c>
      <c r="C10" s="140" t="e">
        <f>B10/($B$5*1000)</f>
        <v>#VALUE!</v>
      </c>
      <c r="D10" s="670"/>
      <c r="E10" s="143" t="s">
        <v>243</v>
      </c>
      <c r="F10" s="141">
        <f>'超用20大－原因別分析'!AG113</f>
        <v>0</v>
      </c>
      <c r="G10" s="356">
        <f>'超用20大－原因別分析'!AG114</f>
        <v>0</v>
      </c>
      <c r="H10" s="141">
        <f>'超用20大－原因別分析'!AH113</f>
        <v>0</v>
      </c>
      <c r="I10" s="356">
        <f>'超用20大－原因別分析'!AH114</f>
        <v>0</v>
      </c>
      <c r="J10" s="141">
        <f>'報廢20大－原因別分析'!AI113</f>
        <v>40853.813199999997</v>
      </c>
      <c r="K10" s="356">
        <f>'超用20大－原因別分析'!AI114</f>
        <v>0</v>
      </c>
      <c r="L10" s="141">
        <f>'超用20大－原因別分析'!AJ113</f>
        <v>289451.13219999993</v>
      </c>
      <c r="M10" s="356">
        <f>'超用20大－原因別分析'!AJ114</f>
        <v>0.57999999999999996</v>
      </c>
    </row>
    <row r="11" spans="1:13" ht="15.75" customHeight="1">
      <c r="D11" s="670"/>
      <c r="E11" s="667" t="s">
        <v>197</v>
      </c>
      <c r="F11" s="671">
        <v>5</v>
      </c>
      <c r="G11" s="671"/>
      <c r="H11" s="671">
        <v>6</v>
      </c>
      <c r="I11" s="671"/>
      <c r="J11" s="671">
        <v>7</v>
      </c>
      <c r="K11" s="671"/>
      <c r="L11" s="672">
        <v>8</v>
      </c>
      <c r="M11" s="672"/>
    </row>
    <row r="12" spans="1:13" ht="31.35" customHeight="1">
      <c r="D12" s="670"/>
      <c r="E12" s="667"/>
      <c r="F12" s="673" t="s">
        <v>189</v>
      </c>
      <c r="G12" s="673"/>
      <c r="H12" s="673" t="s">
        <v>167</v>
      </c>
      <c r="I12" s="673"/>
      <c r="J12" s="673" t="s">
        <v>190</v>
      </c>
      <c r="K12" s="673"/>
      <c r="L12" s="674"/>
      <c r="M12" s="674"/>
    </row>
    <row r="13" spans="1:13" ht="15.75" customHeight="1">
      <c r="D13" s="670"/>
      <c r="E13" s="667"/>
      <c r="F13" s="154" t="s">
        <v>11</v>
      </c>
      <c r="G13" s="154" t="s">
        <v>41</v>
      </c>
      <c r="H13" s="154" t="s">
        <v>11</v>
      </c>
      <c r="I13" s="154" t="s">
        <v>41</v>
      </c>
      <c r="J13" s="154" t="s">
        <v>11</v>
      </c>
      <c r="K13" s="154" t="s">
        <v>41</v>
      </c>
      <c r="L13" s="154"/>
      <c r="M13" s="154"/>
    </row>
    <row r="14" spans="1:13" ht="19.350000000000001" customHeight="1">
      <c r="D14" s="670"/>
      <c r="E14" s="138" t="s">
        <v>242</v>
      </c>
      <c r="F14" s="141">
        <f>'報廢20大－原因別分析'!AK113</f>
        <v>7198.4020000000019</v>
      </c>
      <c r="G14" s="356">
        <f>'報廢20大－原因別分析'!AK114</f>
        <v>6.25E-2</v>
      </c>
      <c r="H14" s="141">
        <f>'報廢20大－原因別分析'!AL113</f>
        <v>32060.451799999995</v>
      </c>
      <c r="I14" s="356">
        <f>'報廢20大－原因別分析'!AL114</f>
        <v>0.26250000000000001</v>
      </c>
      <c r="J14" s="141">
        <f>'報廢20大－原因別分析'!AM113</f>
        <v>0</v>
      </c>
      <c r="K14" s="356">
        <f>'報廢20大－原因別分析'!AM114</f>
        <v>0</v>
      </c>
      <c r="L14" s="141"/>
      <c r="M14" s="142"/>
    </row>
    <row r="15" spans="1:13" ht="19.350000000000001" customHeight="1">
      <c r="D15" s="670"/>
      <c r="E15" s="143" t="s">
        <v>243</v>
      </c>
      <c r="F15" s="141">
        <f>'超用20大－原因別分析'!AK113</f>
        <v>61171.655599999933</v>
      </c>
      <c r="G15" s="356">
        <f>'超用20大－原因別分析'!AK114</f>
        <v>0.05</v>
      </c>
      <c r="H15" s="141">
        <f>'超用20大－原因別分析'!AL113</f>
        <v>214304.63423000017</v>
      </c>
      <c r="I15" s="356">
        <f>'超用20大－原因別分析'!AL114</f>
        <v>0.37</v>
      </c>
      <c r="J15" s="141">
        <f>'超用20大－原因別分析'!AM113</f>
        <v>0</v>
      </c>
      <c r="K15" s="356">
        <f>'超用20大－原因別分析'!AM114</f>
        <v>0</v>
      </c>
      <c r="L15" s="141"/>
      <c r="M15" s="142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0000"/>
    <outlinePr summaryBelow="0" summaryRight="0"/>
  </sheetPr>
  <dimension ref="A1:BV30"/>
  <sheetViews>
    <sheetView view="pageBreakPreview" topLeftCell="A19" zoomScaleNormal="60" zoomScaleSheetLayoutView="100" workbookViewId="0">
      <selection activeCell="B9" sqref="B9:B14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55.42578125" style="135" customWidth="1"/>
    <col min="17" max="20" width="12.5703125" style="231"/>
    <col min="21" max="21" width="24.42578125" style="135" bestFit="1" customWidth="1"/>
    <col min="22" max="22" width="19.42578125" style="135" bestFit="1" customWidth="1"/>
    <col min="23" max="23" width="23" style="135" bestFit="1" customWidth="1"/>
    <col min="24" max="24" width="11.7109375" style="135" bestFit="1" customWidth="1"/>
    <col min="25" max="25" width="15.85546875" style="135" bestFit="1" customWidth="1"/>
    <col min="26" max="26" width="23.5703125" style="135" bestFit="1" customWidth="1"/>
    <col min="27" max="27" width="23" style="135" bestFit="1" customWidth="1"/>
    <col min="28" max="28" width="11.7109375" style="135" bestFit="1" customWidth="1"/>
    <col min="29" max="29" width="20.5703125" style="135" bestFit="1" customWidth="1"/>
    <col min="30" max="30" width="15" style="135" bestFit="1" customWidth="1"/>
    <col min="31" max="31" width="23" style="135" bestFit="1" customWidth="1"/>
    <col min="32" max="32" width="11.7109375" style="135" bestFit="1" customWidth="1"/>
    <col min="33" max="33" width="15.85546875" style="135" bestFit="1" customWidth="1"/>
    <col min="34" max="34" width="15" style="135" bestFit="1" customWidth="1"/>
    <col min="35" max="35" width="23" style="135" bestFit="1" customWidth="1"/>
    <col min="36" max="36" width="15" style="135" bestFit="1" customWidth="1"/>
    <col min="37" max="37" width="23" style="135" bestFit="1" customWidth="1"/>
    <col min="38" max="38" width="11.7109375" style="135" bestFit="1" customWidth="1"/>
    <col min="39" max="39" width="13.85546875" style="135" bestFit="1" customWidth="1"/>
    <col min="40" max="40" width="27.85546875" style="135" bestFit="1" customWidth="1"/>
    <col min="41" max="41" width="23" style="135" bestFit="1" customWidth="1"/>
    <col min="42" max="42" width="8" style="135" bestFit="1" customWidth="1"/>
    <col min="43" max="43" width="30.7109375" style="135" bestFit="1" customWidth="1"/>
    <col min="44" max="44" width="25.7109375" style="135" bestFit="1" customWidth="1"/>
    <col min="45" max="45" width="23" style="135" bestFit="1" customWidth="1"/>
    <col min="46" max="46" width="15" style="135" bestFit="1" customWidth="1"/>
    <col min="47" max="47" width="23" style="135" bestFit="1" customWidth="1"/>
    <col min="48" max="48" width="11.7109375" style="135" bestFit="1" customWidth="1"/>
    <col min="49" max="49" width="20.140625" style="135" bestFit="1" customWidth="1"/>
    <col min="50" max="50" width="23.5703125" style="135" bestFit="1" customWidth="1"/>
    <col min="51" max="51" width="23" style="135" bestFit="1" customWidth="1"/>
    <col min="52" max="52" width="11.7109375" style="135" bestFit="1" customWidth="1"/>
    <col min="53" max="53" width="21.42578125" style="135" bestFit="1" customWidth="1"/>
    <col min="54" max="54" width="15" style="135" bestFit="1" customWidth="1"/>
    <col min="55" max="55" width="23" style="135" bestFit="1" customWidth="1"/>
    <col min="56" max="56" width="11.7109375" style="135" bestFit="1" customWidth="1"/>
    <col min="57" max="57" width="13.85546875" style="135" bestFit="1" customWidth="1"/>
    <col min="58" max="58" width="22" style="135" bestFit="1" customWidth="1"/>
    <col min="59" max="59" width="23" style="135" bestFit="1" customWidth="1"/>
    <col min="60" max="60" width="15" style="135" bestFit="1" customWidth="1"/>
    <col min="61" max="61" width="23" style="135" bestFit="1" customWidth="1"/>
    <col min="62" max="62" width="11.7109375" style="135" bestFit="1" customWidth="1"/>
    <col min="63" max="63" width="24.7109375" style="135" bestFit="1" customWidth="1"/>
    <col min="64" max="64" width="18.7109375" style="135" bestFit="1" customWidth="1"/>
    <col min="65" max="65" width="23" style="135" bestFit="1" customWidth="1"/>
    <col min="66" max="66" width="15" style="135" bestFit="1" customWidth="1"/>
    <col min="67" max="67" width="23" style="135" bestFit="1" customWidth="1"/>
    <col min="68" max="68" width="15" style="135" bestFit="1" customWidth="1"/>
    <col min="69" max="69" width="23" style="135" bestFit="1" customWidth="1"/>
    <col min="70" max="70" width="15" style="135" bestFit="1" customWidth="1"/>
    <col min="71" max="71" width="21.85546875" style="135" bestFit="1" customWidth="1"/>
    <col min="72" max="72" width="10.5703125" style="135" bestFit="1" customWidth="1"/>
    <col min="73" max="73" width="21.42578125" style="135" bestFit="1" customWidth="1"/>
    <col min="74" max="74" width="5.42578125" style="135" bestFit="1" customWidth="1"/>
    <col min="75" max="16384" width="12.5703125" style="135"/>
  </cols>
  <sheetData>
    <row r="1" spans="1:74" ht="15.75" customHeight="1">
      <c r="A1" s="665" t="s">
        <v>361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</row>
    <row r="2" spans="1:74" s="136" customFormat="1" ht="15.75" customHeight="1">
      <c r="A2" s="665"/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665"/>
    </row>
    <row r="3" spans="1:74" ht="15.75" customHeight="1">
      <c r="A3" s="666" t="s">
        <v>430</v>
      </c>
      <c r="B3" s="694"/>
      <c r="C3" s="694"/>
      <c r="D3" s="694"/>
      <c r="E3" s="694"/>
      <c r="F3" s="694"/>
      <c r="G3" s="694"/>
      <c r="H3" s="694"/>
      <c r="I3" s="694"/>
      <c r="J3" s="694"/>
      <c r="K3" s="694"/>
      <c r="L3" s="694"/>
      <c r="M3" s="694"/>
    </row>
    <row r="4" spans="1:74" s="136" customFormat="1" ht="15.75" customHeight="1">
      <c r="A4" s="694"/>
      <c r="B4" s="694"/>
      <c r="C4" s="694"/>
      <c r="D4" s="694"/>
      <c r="E4" s="694"/>
      <c r="F4" s="694"/>
      <c r="G4" s="694"/>
      <c r="H4" s="694"/>
      <c r="I4" s="694"/>
      <c r="J4" s="694"/>
      <c r="K4" s="694"/>
      <c r="L4" s="694"/>
      <c r="M4" s="694"/>
    </row>
    <row r="5" spans="1:74" ht="15.75" customHeight="1">
      <c r="A5" s="668" t="s">
        <v>191</v>
      </c>
      <c r="B5" s="695">
        <v>1</v>
      </c>
      <c r="C5" s="695"/>
      <c r="D5" s="695">
        <v>2</v>
      </c>
      <c r="E5" s="695"/>
      <c r="F5" s="695">
        <v>3</v>
      </c>
      <c r="G5" s="695"/>
      <c r="H5" s="671">
        <v>4</v>
      </c>
      <c r="I5" s="671"/>
      <c r="J5" s="671">
        <v>5</v>
      </c>
      <c r="K5" s="671"/>
      <c r="L5" s="671">
        <v>6</v>
      </c>
      <c r="M5" s="671"/>
      <c r="N5" s="671">
        <v>7</v>
      </c>
      <c r="O5" s="671"/>
      <c r="P5" s="352">
        <v>8</v>
      </c>
    </row>
    <row r="6" spans="1:74" ht="15.75" customHeight="1">
      <c r="A6" s="668"/>
      <c r="B6" s="696" t="s">
        <v>452</v>
      </c>
      <c r="C6" s="696"/>
      <c r="D6" s="696" t="s">
        <v>212</v>
      </c>
      <c r="E6" s="696"/>
      <c r="F6" s="696" t="s">
        <v>166</v>
      </c>
      <c r="G6" s="696"/>
      <c r="H6" s="668" t="s">
        <v>428</v>
      </c>
      <c r="I6" s="668"/>
      <c r="J6" s="668" t="s">
        <v>189</v>
      </c>
      <c r="K6" s="668"/>
      <c r="L6" s="668" t="s">
        <v>167</v>
      </c>
      <c r="M6" s="668"/>
      <c r="N6" s="668" t="s">
        <v>190</v>
      </c>
      <c r="O6" s="668"/>
      <c r="P6" s="353" t="s">
        <v>217</v>
      </c>
    </row>
    <row r="8" spans="1:74" s="235" customFormat="1" ht="15.75" customHeight="1">
      <c r="A8" s="671" t="s">
        <v>191</v>
      </c>
      <c r="B8" s="671"/>
      <c r="C8" s="234" t="s">
        <v>47</v>
      </c>
      <c r="D8" s="689" t="s">
        <v>12</v>
      </c>
      <c r="E8" s="689"/>
      <c r="F8" s="689"/>
      <c r="G8" s="683" t="s">
        <v>53</v>
      </c>
      <c r="H8" s="684"/>
      <c r="I8" s="685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333</v>
      </c>
      <c r="O8" s="675" t="s">
        <v>51</v>
      </c>
      <c r="P8" s="675"/>
    </row>
    <row r="9" spans="1:74" ht="54.95" customHeight="1">
      <c r="A9" s="671">
        <v>1</v>
      </c>
      <c r="B9" s="686" t="s">
        <v>453</v>
      </c>
      <c r="C9" s="236">
        <v>1</v>
      </c>
      <c r="D9" s="237" t="s">
        <v>340</v>
      </c>
      <c r="E9" s="238"/>
      <c r="F9" s="239"/>
      <c r="G9" s="306" t="s">
        <v>386</v>
      </c>
      <c r="H9" s="305"/>
      <c r="I9" s="306"/>
      <c r="J9" s="236">
        <v>127.84000000000002</v>
      </c>
      <c r="K9" s="242">
        <v>2.551137568927081E-3</v>
      </c>
      <c r="L9" s="236">
        <v>41.82</v>
      </c>
      <c r="M9" s="322">
        <f>L9*J9</f>
        <v>5346.2688000000007</v>
      </c>
      <c r="N9" s="243"/>
      <c r="O9" s="690" t="s">
        <v>711</v>
      </c>
      <c r="P9" s="690"/>
    </row>
    <row r="10" spans="1:74" ht="54.95" customHeight="1">
      <c r="A10" s="671"/>
      <c r="B10" s="686"/>
      <c r="C10" s="236">
        <v>2</v>
      </c>
      <c r="D10" s="237" t="s">
        <v>630</v>
      </c>
      <c r="E10" s="238"/>
      <c r="F10" s="239"/>
      <c r="G10" s="306" t="s">
        <v>634</v>
      </c>
      <c r="H10" s="305"/>
      <c r="I10" s="306"/>
      <c r="J10" s="236">
        <v>212.78</v>
      </c>
      <c r="K10" s="242">
        <v>9.322595695379049E-3</v>
      </c>
      <c r="L10" s="236">
        <v>21.89</v>
      </c>
      <c r="M10" s="322">
        <f t="shared" ref="M10:M13" si="0">L10*J10</f>
        <v>4657.7542000000003</v>
      </c>
      <c r="N10" s="243"/>
      <c r="O10" s="691" t="s">
        <v>712</v>
      </c>
      <c r="P10" s="69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</row>
    <row r="11" spans="1:74" ht="54.95" customHeight="1">
      <c r="A11" s="671"/>
      <c r="B11" s="686"/>
      <c r="C11" s="236">
        <v>3</v>
      </c>
      <c r="D11" s="237" t="s">
        <v>433</v>
      </c>
      <c r="E11" s="238"/>
      <c r="F11" s="239"/>
      <c r="G11" s="306" t="s">
        <v>462</v>
      </c>
      <c r="H11" s="305"/>
      <c r="I11" s="306"/>
      <c r="J11" s="236">
        <v>160.49</v>
      </c>
      <c r="K11" s="242">
        <v>1.0408029179243682E-2</v>
      </c>
      <c r="L11" s="236">
        <v>28.129999999999995</v>
      </c>
      <c r="M11" s="322">
        <f t="shared" si="0"/>
        <v>4514.5836999999992</v>
      </c>
      <c r="N11" s="243"/>
      <c r="O11" s="692" t="s">
        <v>713</v>
      </c>
      <c r="P11" s="692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</row>
    <row r="12" spans="1:74" ht="66.75" customHeight="1">
      <c r="A12" s="671"/>
      <c r="B12" s="686"/>
      <c r="C12" s="236">
        <v>4</v>
      </c>
      <c r="D12" s="237" t="s">
        <v>650</v>
      </c>
      <c r="E12" s="238"/>
      <c r="F12" s="239"/>
      <c r="G12" s="306" t="s">
        <v>651</v>
      </c>
      <c r="H12" s="305"/>
      <c r="I12" s="306"/>
      <c r="J12" s="236">
        <v>655.37</v>
      </c>
      <c r="K12" s="242">
        <v>3.7863375378633744E-3</v>
      </c>
      <c r="L12" s="236">
        <v>3.3499999999999996</v>
      </c>
      <c r="M12" s="322">
        <f t="shared" si="0"/>
        <v>2195.4894999999997</v>
      </c>
      <c r="N12" s="243"/>
      <c r="O12" s="692" t="s">
        <v>714</v>
      </c>
      <c r="P12" s="692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</row>
    <row r="13" spans="1:74" ht="54.95" customHeight="1" thickBot="1">
      <c r="A13" s="671"/>
      <c r="B13" s="686"/>
      <c r="C13" s="236">
        <v>5</v>
      </c>
      <c r="D13" s="244" t="s">
        <v>435</v>
      </c>
      <c r="E13" s="245"/>
      <c r="F13" s="246"/>
      <c r="G13" s="360" t="s">
        <v>638</v>
      </c>
      <c r="H13" s="359"/>
      <c r="I13" s="360"/>
      <c r="J13" s="247">
        <v>1.1500000000000001</v>
      </c>
      <c r="K13" s="248">
        <v>2.0985061815599004E-2</v>
      </c>
      <c r="L13" s="247">
        <v>1833</v>
      </c>
      <c r="M13" s="323">
        <f t="shared" si="0"/>
        <v>2107.9500000000003</v>
      </c>
      <c r="N13" s="243"/>
      <c r="O13" s="693" t="s">
        <v>715</v>
      </c>
      <c r="P13" s="693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</row>
    <row r="14" spans="1:74" ht="15.75" customHeight="1" thickTop="1">
      <c r="A14" s="671"/>
      <c r="B14" s="686"/>
      <c r="C14" s="677"/>
      <c r="D14" s="678"/>
      <c r="E14" s="678"/>
      <c r="F14" s="678"/>
      <c r="G14" s="678"/>
      <c r="H14" s="678"/>
      <c r="I14" s="679"/>
      <c r="J14" s="249" t="s">
        <v>58</v>
      </c>
      <c r="K14" s="338">
        <f>M14/'生產管理報表 7-1(月)'!$B$9</f>
        <v>7.1363767724941782E-2</v>
      </c>
      <c r="L14" s="249" t="s">
        <v>59</v>
      </c>
      <c r="M14" s="354">
        <f>SUM(M9:M13)</f>
        <v>18822.046200000001</v>
      </c>
      <c r="N14" s="688"/>
      <c r="O14" s="688"/>
      <c r="P14" s="688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</row>
    <row r="15" spans="1:74" ht="15.75" customHeight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</row>
    <row r="16" spans="1:74" ht="15.75" customHeight="1">
      <c r="A16" s="671" t="s">
        <v>191</v>
      </c>
      <c r="B16" s="671"/>
      <c r="C16" s="252" t="s">
        <v>47</v>
      </c>
      <c r="D16" s="680" t="s">
        <v>12</v>
      </c>
      <c r="E16" s="681"/>
      <c r="F16" s="682"/>
      <c r="G16" s="683" t="s">
        <v>53</v>
      </c>
      <c r="H16" s="684"/>
      <c r="I16" s="685"/>
      <c r="J16" s="254" t="s">
        <v>54</v>
      </c>
      <c r="K16" s="254" t="s">
        <v>55</v>
      </c>
      <c r="L16" s="254" t="s">
        <v>56</v>
      </c>
      <c r="M16" s="254" t="s">
        <v>11</v>
      </c>
      <c r="N16" s="234" t="s">
        <v>333</v>
      </c>
      <c r="O16" s="675" t="s">
        <v>51</v>
      </c>
      <c r="P16" s="675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</row>
    <row r="17" spans="1:35" ht="20.100000000000001" customHeight="1">
      <c r="A17" s="671">
        <v>2</v>
      </c>
      <c r="B17" s="686" t="s">
        <v>213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43"/>
      <c r="O17" s="676"/>
      <c r="P17" s="676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</row>
    <row r="18" spans="1:35" ht="20.100000000000001" customHeight="1">
      <c r="A18" s="671"/>
      <c r="B18" s="686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43"/>
      <c r="O18" s="676"/>
      <c r="P18" s="676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</row>
    <row r="19" spans="1:35" ht="20.100000000000001" customHeight="1">
      <c r="A19" s="671"/>
      <c r="B19" s="686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43"/>
      <c r="O19" s="697"/>
      <c r="P19" s="697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</row>
    <row r="20" spans="1:35" ht="20.100000000000001" customHeight="1">
      <c r="A20" s="671"/>
      <c r="B20" s="686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43"/>
      <c r="O20" s="697"/>
      <c r="P20" s="697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</row>
    <row r="21" spans="1:35" ht="20.100000000000001" customHeight="1" thickBot="1">
      <c r="A21" s="671"/>
      <c r="B21" s="686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43"/>
      <c r="O21" s="697"/>
      <c r="P21" s="697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</row>
    <row r="22" spans="1:35" ht="15.75" customHeight="1" thickTop="1">
      <c r="A22" s="671"/>
      <c r="B22" s="686"/>
      <c r="C22" s="677"/>
      <c r="D22" s="678"/>
      <c r="E22" s="678"/>
      <c r="F22" s="678"/>
      <c r="G22" s="678"/>
      <c r="H22" s="678"/>
      <c r="I22" s="679"/>
      <c r="J22" s="249" t="s">
        <v>58</v>
      </c>
      <c r="K22" s="338">
        <f>M22/'生產管理報表 7-1(月)'!$B$9</f>
        <v>0</v>
      </c>
      <c r="L22" s="249" t="s">
        <v>59</v>
      </c>
      <c r="M22" s="250">
        <f>SUM(M17:M21)</f>
        <v>0</v>
      </c>
      <c r="N22" s="688"/>
      <c r="O22" s="688"/>
      <c r="P22" s="688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</row>
    <row r="23" spans="1:35" ht="15.75" customHeight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</row>
    <row r="24" spans="1:35" ht="15.75" customHeight="1">
      <c r="A24" s="671" t="s">
        <v>191</v>
      </c>
      <c r="B24" s="671"/>
      <c r="C24" s="252" t="s">
        <v>47</v>
      </c>
      <c r="D24" s="680" t="s">
        <v>12</v>
      </c>
      <c r="E24" s="681"/>
      <c r="F24" s="682"/>
      <c r="G24" s="683" t="s">
        <v>53</v>
      </c>
      <c r="H24" s="684"/>
      <c r="I24" s="685"/>
      <c r="J24" s="253" t="s">
        <v>54</v>
      </c>
      <c r="K24" s="254" t="s">
        <v>55</v>
      </c>
      <c r="L24" s="254" t="s">
        <v>56</v>
      </c>
      <c r="M24" s="254" t="s">
        <v>11</v>
      </c>
      <c r="N24" s="234" t="s">
        <v>333</v>
      </c>
      <c r="O24" s="675" t="s">
        <v>51</v>
      </c>
      <c r="P24" s="675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</row>
    <row r="25" spans="1:35" ht="60" customHeight="1">
      <c r="A25" s="671">
        <v>3</v>
      </c>
      <c r="B25" s="686" t="s">
        <v>422</v>
      </c>
      <c r="C25" s="256">
        <v>1</v>
      </c>
      <c r="D25" s="237" t="s">
        <v>340</v>
      </c>
      <c r="E25" s="238"/>
      <c r="F25" s="239"/>
      <c r="G25" s="360" t="s">
        <v>448</v>
      </c>
      <c r="H25" s="359"/>
      <c r="I25" s="360"/>
      <c r="J25" s="257">
        <v>2.4499999999999997</v>
      </c>
      <c r="K25" s="258">
        <v>6.9048175450579109E-3</v>
      </c>
      <c r="L25" s="257">
        <v>3953</v>
      </c>
      <c r="M25" s="325">
        <f t="shared" ref="M25:M29" si="2">L25*J25</f>
        <v>9684.8499999999985</v>
      </c>
      <c r="N25" s="243"/>
      <c r="O25" s="676" t="s">
        <v>716</v>
      </c>
      <c r="P25" s="676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</row>
    <row r="26" spans="1:35" ht="60" customHeight="1">
      <c r="A26" s="671"/>
      <c r="B26" s="686"/>
      <c r="C26" s="256">
        <v>2</v>
      </c>
      <c r="D26" s="237" t="s">
        <v>340</v>
      </c>
      <c r="E26" s="238"/>
      <c r="F26" s="239"/>
      <c r="G26" s="360" t="s">
        <v>447</v>
      </c>
      <c r="H26" s="359"/>
      <c r="I26" s="360"/>
      <c r="J26" s="257">
        <v>1.17</v>
      </c>
      <c r="K26" s="258">
        <v>7.3295515795044714E-3</v>
      </c>
      <c r="L26" s="257">
        <v>8091</v>
      </c>
      <c r="M26" s="325">
        <f t="shared" si="2"/>
        <v>9466.4699999999993</v>
      </c>
      <c r="N26" s="243"/>
      <c r="O26" s="676" t="s">
        <v>717</v>
      </c>
      <c r="P26" s="676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</row>
    <row r="27" spans="1:35" ht="60" customHeight="1">
      <c r="A27" s="671"/>
      <c r="B27" s="686"/>
      <c r="C27" s="256">
        <v>3</v>
      </c>
      <c r="D27" s="237" t="s">
        <v>342</v>
      </c>
      <c r="E27" s="238"/>
      <c r="F27" s="239"/>
      <c r="G27" s="360" t="s">
        <v>459</v>
      </c>
      <c r="H27" s="359"/>
      <c r="I27" s="360"/>
      <c r="J27" s="257">
        <v>605.77999999999986</v>
      </c>
      <c r="K27" s="258">
        <v>2.5175649885336069E-3</v>
      </c>
      <c r="L27" s="257">
        <v>5.3599999999999994</v>
      </c>
      <c r="M27" s="325">
        <f t="shared" si="2"/>
        <v>3246.9807999999989</v>
      </c>
      <c r="N27" s="243"/>
      <c r="O27" s="687" t="s">
        <v>718</v>
      </c>
      <c r="P27" s="687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</row>
    <row r="28" spans="1:35" ht="60" customHeight="1">
      <c r="A28" s="671"/>
      <c r="B28" s="686"/>
      <c r="C28" s="256">
        <v>4</v>
      </c>
      <c r="D28" s="237" t="s">
        <v>566</v>
      </c>
      <c r="E28" s="238"/>
      <c r="F28" s="239"/>
      <c r="G28" s="246" t="s">
        <v>581</v>
      </c>
      <c r="H28" s="245"/>
      <c r="I28" s="246"/>
      <c r="J28" s="257">
        <v>24.59</v>
      </c>
      <c r="K28" s="258">
        <v>3.6959430920785984E-3</v>
      </c>
      <c r="L28" s="257">
        <v>120</v>
      </c>
      <c r="M28" s="325">
        <f t="shared" si="2"/>
        <v>2950.8</v>
      </c>
      <c r="N28" s="243"/>
      <c r="O28" s="687" t="s">
        <v>719</v>
      </c>
      <c r="P28" s="687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</row>
    <row r="29" spans="1:35" ht="60" customHeight="1" thickBot="1">
      <c r="A29" s="671"/>
      <c r="B29" s="686"/>
      <c r="C29" s="262">
        <v>5</v>
      </c>
      <c r="D29" s="244" t="s">
        <v>340</v>
      </c>
      <c r="E29" s="245"/>
      <c r="F29" s="246"/>
      <c r="G29" s="360" t="s">
        <v>640</v>
      </c>
      <c r="H29" s="359"/>
      <c r="I29" s="360"/>
      <c r="J29" s="263">
        <v>3.2199999999999998</v>
      </c>
      <c r="K29" s="264">
        <v>1.7437132760637964E-3</v>
      </c>
      <c r="L29" s="263">
        <v>715</v>
      </c>
      <c r="M29" s="325">
        <f t="shared" si="2"/>
        <v>2302.2999999999997</v>
      </c>
      <c r="N29" s="243"/>
      <c r="O29" s="687" t="s">
        <v>720</v>
      </c>
      <c r="P29" s="687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</row>
    <row r="30" spans="1:35" ht="15.75" customHeight="1" thickTop="1">
      <c r="A30" s="671"/>
      <c r="B30" s="686"/>
      <c r="C30" s="677"/>
      <c r="D30" s="678"/>
      <c r="E30" s="678"/>
      <c r="F30" s="678"/>
      <c r="G30" s="678"/>
      <c r="H30" s="678"/>
      <c r="I30" s="679"/>
      <c r="J30" s="274" t="s">
        <v>58</v>
      </c>
      <c r="K30" s="338">
        <f>M30/'生產管理報表 7-1(月)'!$B$9</f>
        <v>0.10484025610140459</v>
      </c>
      <c r="L30" s="274" t="s">
        <v>59</v>
      </c>
      <c r="M30" s="326">
        <f>SUM(M25:M29)</f>
        <v>27651.400799999996</v>
      </c>
      <c r="N30" s="688"/>
      <c r="O30" s="688"/>
      <c r="P30" s="688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  <rowBreaks count="1" manualBreakCount="1">
    <brk id="22" max="1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0000"/>
    <outlinePr summaryBelow="0" summaryRight="0"/>
  </sheetPr>
  <dimension ref="A1:T156"/>
  <sheetViews>
    <sheetView view="pageBreakPreview" topLeftCell="A22" zoomScale="91" zoomScaleNormal="60" zoomScaleSheetLayoutView="91" workbookViewId="0">
      <selection activeCell="B9" sqref="B9:B14"/>
    </sheetView>
  </sheetViews>
  <sheetFormatPr defaultColWidth="12.5703125" defaultRowHeight="15.75" customHeight="1"/>
  <cols>
    <col min="1" max="1" width="5.42578125" style="289" customWidth="1"/>
    <col min="2" max="2" width="11.42578125" style="297" customWidth="1"/>
    <col min="3" max="3" width="4" style="298" customWidth="1"/>
    <col min="4" max="4" width="9.5703125" style="289" customWidth="1"/>
    <col min="5" max="5" width="10.28515625" style="289" customWidth="1"/>
    <col min="6" max="15" width="9.5703125" style="289" customWidth="1"/>
    <col min="16" max="16" width="38" style="289" customWidth="1"/>
    <col min="17" max="16384" width="12.5703125" style="289"/>
  </cols>
  <sheetData>
    <row r="1" spans="1:20" s="135" customFormat="1" ht="15.75" customHeight="1">
      <c r="A1" s="665" t="s">
        <v>361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</row>
    <row r="2" spans="1:20" s="136" customFormat="1" ht="15.75" customHeight="1">
      <c r="A2" s="665"/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665"/>
    </row>
    <row r="3" spans="1:20" s="135" customFormat="1" ht="15.75" customHeight="1">
      <c r="A3" s="666" t="s">
        <v>430</v>
      </c>
      <c r="B3" s="666"/>
      <c r="C3" s="666"/>
      <c r="D3" s="666"/>
      <c r="E3" s="666"/>
      <c r="F3" s="666"/>
      <c r="G3" s="666"/>
      <c r="H3" s="666"/>
      <c r="I3" s="666"/>
      <c r="J3" s="666"/>
      <c r="K3" s="666"/>
      <c r="L3" s="666"/>
      <c r="M3" s="666"/>
    </row>
    <row r="4" spans="1:20" s="136" customFormat="1" ht="15.75" customHeight="1">
      <c r="A4" s="763"/>
      <c r="B4" s="763"/>
      <c r="C4" s="763"/>
      <c r="D4" s="763"/>
      <c r="E4" s="763"/>
      <c r="F4" s="763"/>
      <c r="G4" s="763"/>
      <c r="H4" s="763"/>
      <c r="I4" s="763"/>
      <c r="J4" s="763"/>
      <c r="K4" s="763"/>
      <c r="L4" s="763"/>
      <c r="M4" s="763"/>
    </row>
    <row r="5" spans="1:20" s="135" customFormat="1" ht="15.75" customHeight="1">
      <c r="A5" s="764" t="s">
        <v>191</v>
      </c>
      <c r="B5" s="766">
        <v>1</v>
      </c>
      <c r="C5" s="767"/>
      <c r="D5" s="766">
        <v>2</v>
      </c>
      <c r="E5" s="767"/>
      <c r="F5" s="766">
        <v>3</v>
      </c>
      <c r="G5" s="767"/>
      <c r="H5" s="757">
        <v>4</v>
      </c>
      <c r="I5" s="758"/>
      <c r="J5" s="757">
        <v>5</v>
      </c>
      <c r="K5" s="758"/>
      <c r="L5" s="757">
        <v>6</v>
      </c>
      <c r="M5" s="758"/>
      <c r="N5" s="757">
        <v>7</v>
      </c>
      <c r="O5" s="758"/>
      <c r="P5" s="327">
        <v>8</v>
      </c>
    </row>
    <row r="6" spans="1:20" s="135" customFormat="1" ht="15.75" customHeight="1">
      <c r="A6" s="765"/>
      <c r="B6" s="761" t="s">
        <v>452</v>
      </c>
      <c r="C6" s="762"/>
      <c r="D6" s="761" t="s">
        <v>212</v>
      </c>
      <c r="E6" s="762"/>
      <c r="F6" s="761" t="s">
        <v>166</v>
      </c>
      <c r="G6" s="762"/>
      <c r="H6" s="759" t="s">
        <v>428</v>
      </c>
      <c r="I6" s="760"/>
      <c r="J6" s="759" t="s">
        <v>189</v>
      </c>
      <c r="K6" s="760"/>
      <c r="L6" s="759" t="s">
        <v>167</v>
      </c>
      <c r="M6" s="760"/>
      <c r="N6" s="759" t="s">
        <v>190</v>
      </c>
      <c r="O6" s="760"/>
      <c r="P6" s="328" t="s">
        <v>217</v>
      </c>
    </row>
    <row r="7" spans="1:20" s="135" customFormat="1" ht="15.75" customHeight="1">
      <c r="B7" s="232"/>
      <c r="C7" s="233"/>
    </row>
    <row r="8" spans="1:20" s="278" customFormat="1" ht="15.75" customHeight="1">
      <c r="A8" s="701" t="s">
        <v>191</v>
      </c>
      <c r="B8" s="702"/>
      <c r="C8" s="275" t="s">
        <v>47</v>
      </c>
      <c r="D8" s="731" t="s">
        <v>12</v>
      </c>
      <c r="E8" s="732"/>
      <c r="F8" s="733"/>
      <c r="G8" s="734" t="s">
        <v>53</v>
      </c>
      <c r="H8" s="735"/>
      <c r="I8" s="736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333</v>
      </c>
      <c r="O8" s="709" t="s">
        <v>51</v>
      </c>
      <c r="P8" s="710"/>
      <c r="R8" s="339"/>
      <c r="S8" s="340"/>
    </row>
    <row r="9" spans="1:20" s="298" customFormat="1" ht="20.100000000000001" customHeight="1">
      <c r="A9" s="711">
        <v>4</v>
      </c>
      <c r="B9" s="745" t="s">
        <v>428</v>
      </c>
      <c r="C9" s="279">
        <v>1</v>
      </c>
      <c r="D9" s="237"/>
      <c r="E9" s="238"/>
      <c r="F9" s="239"/>
      <c r="G9" s="268"/>
      <c r="H9" s="238"/>
      <c r="I9" s="268"/>
      <c r="J9" s="236"/>
      <c r="K9" s="242"/>
      <c r="L9" s="236"/>
      <c r="M9" s="322">
        <f t="shared" ref="M9:M13" si="0">L9*J9</f>
        <v>0</v>
      </c>
      <c r="N9" s="314"/>
      <c r="O9" s="748"/>
      <c r="P9" s="749"/>
      <c r="R9" s="341"/>
      <c r="S9" s="341"/>
    </row>
    <row r="10" spans="1:20" s="298" customFormat="1" ht="20.100000000000001" customHeight="1">
      <c r="A10" s="712"/>
      <c r="B10" s="746"/>
      <c r="C10" s="279">
        <v>2</v>
      </c>
      <c r="D10" s="237"/>
      <c r="E10" s="238"/>
      <c r="F10" s="239"/>
      <c r="G10" s="237"/>
      <c r="H10" s="238"/>
      <c r="I10" s="268"/>
      <c r="J10" s="236"/>
      <c r="K10" s="242"/>
      <c r="L10" s="236"/>
      <c r="M10" s="322">
        <f t="shared" si="0"/>
        <v>0</v>
      </c>
      <c r="N10" s="314"/>
      <c r="O10" s="741"/>
      <c r="P10" s="742"/>
      <c r="R10" s="341"/>
      <c r="S10" s="341"/>
    </row>
    <row r="11" spans="1:20" s="298" customFormat="1" ht="20.100000000000001" customHeight="1">
      <c r="A11" s="712"/>
      <c r="B11" s="746"/>
      <c r="C11" s="279">
        <v>3</v>
      </c>
      <c r="D11" s="237"/>
      <c r="E11" s="238"/>
      <c r="F11" s="239"/>
      <c r="G11" s="268"/>
      <c r="H11" s="238"/>
      <c r="I11" s="268"/>
      <c r="J11" s="236"/>
      <c r="K11" s="242"/>
      <c r="L11" s="236"/>
      <c r="M11" s="322">
        <f t="shared" si="0"/>
        <v>0</v>
      </c>
      <c r="N11" s="314"/>
      <c r="O11" s="750"/>
      <c r="P11" s="751"/>
      <c r="R11" s="341"/>
      <c r="S11" s="339"/>
    </row>
    <row r="12" spans="1:20" s="298" customFormat="1" ht="20.100000000000001" customHeight="1">
      <c r="A12" s="712"/>
      <c r="B12" s="746"/>
      <c r="C12" s="279">
        <v>4</v>
      </c>
      <c r="D12" s="237"/>
      <c r="E12" s="238"/>
      <c r="F12" s="239"/>
      <c r="G12" s="244"/>
      <c r="H12" s="245"/>
      <c r="I12" s="271"/>
      <c r="J12" s="236"/>
      <c r="K12" s="242"/>
      <c r="L12" s="236"/>
      <c r="M12" s="322">
        <f t="shared" si="0"/>
        <v>0</v>
      </c>
      <c r="N12" s="314"/>
      <c r="O12" s="741"/>
      <c r="P12" s="742"/>
      <c r="R12" s="341"/>
      <c r="S12" s="339"/>
    </row>
    <row r="13" spans="1:20" s="298" customFormat="1" ht="20.100000000000001" customHeight="1" thickBot="1">
      <c r="A13" s="712"/>
      <c r="B13" s="746"/>
      <c r="C13" s="279">
        <v>5</v>
      </c>
      <c r="D13" s="244"/>
      <c r="E13" s="245"/>
      <c r="F13" s="246"/>
      <c r="G13" s="360"/>
      <c r="H13" s="359"/>
      <c r="I13" s="360"/>
      <c r="J13" s="247"/>
      <c r="K13" s="248"/>
      <c r="L13" s="247"/>
      <c r="M13" s="322">
        <f t="shared" si="0"/>
        <v>0</v>
      </c>
      <c r="N13" s="314"/>
      <c r="O13" s="752"/>
      <c r="P13" s="753"/>
      <c r="R13" s="342"/>
      <c r="S13" s="339"/>
      <c r="T13" s="289"/>
    </row>
    <row r="14" spans="1:20" ht="15.75" customHeight="1" thickTop="1" thickBot="1">
      <c r="A14" s="713"/>
      <c r="B14" s="747"/>
      <c r="C14" s="754"/>
      <c r="D14" s="755"/>
      <c r="E14" s="755"/>
      <c r="F14" s="755"/>
      <c r="G14" s="755"/>
      <c r="H14" s="755"/>
      <c r="I14" s="756"/>
      <c r="J14" s="295" t="s">
        <v>58</v>
      </c>
      <c r="K14" s="438">
        <f>M14/'生產管理報表 7-1(月)'!$B$9</f>
        <v>0</v>
      </c>
      <c r="L14" s="296" t="s">
        <v>59</v>
      </c>
      <c r="M14" s="334">
        <f>SUM(M9:M13)</f>
        <v>0</v>
      </c>
      <c r="N14" s="698"/>
      <c r="O14" s="699"/>
      <c r="P14" s="700"/>
      <c r="R14" s="339"/>
      <c r="S14" s="339"/>
    </row>
    <row r="15" spans="1:20" ht="15.75" customHeight="1" thickTop="1">
      <c r="M15" s="329"/>
      <c r="S15" s="339"/>
    </row>
    <row r="16" spans="1:20" ht="15.75" customHeight="1">
      <c r="A16" s="701" t="s">
        <v>191</v>
      </c>
      <c r="B16" s="702"/>
      <c r="C16" s="275" t="s">
        <v>47</v>
      </c>
      <c r="D16" s="731" t="s">
        <v>12</v>
      </c>
      <c r="E16" s="732"/>
      <c r="F16" s="733"/>
      <c r="G16" s="734" t="s">
        <v>53</v>
      </c>
      <c r="H16" s="735"/>
      <c r="I16" s="736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333</v>
      </c>
      <c r="O16" s="709" t="s">
        <v>51</v>
      </c>
      <c r="P16" s="710"/>
      <c r="S16" s="340"/>
      <c r="T16" s="298"/>
    </row>
    <row r="17" spans="1:20" s="298" customFormat="1" ht="66.75" customHeight="1">
      <c r="A17" s="711">
        <v>5</v>
      </c>
      <c r="B17" s="724" t="s">
        <v>215</v>
      </c>
      <c r="C17" s="279">
        <v>1</v>
      </c>
      <c r="D17" s="237" t="s">
        <v>340</v>
      </c>
      <c r="E17" s="238"/>
      <c r="F17" s="239"/>
      <c r="G17" s="306" t="s">
        <v>336</v>
      </c>
      <c r="H17" s="305"/>
      <c r="I17" s="306"/>
      <c r="J17" s="312">
        <v>147.43000000000004</v>
      </c>
      <c r="K17" s="313">
        <v>2.23719723270005E-3</v>
      </c>
      <c r="L17" s="314">
        <v>41.400000000000006</v>
      </c>
      <c r="M17" s="322">
        <f t="shared" ref="M17:M21" si="1">L17*J17</f>
        <v>6103.6020000000026</v>
      </c>
      <c r="N17" s="314"/>
      <c r="O17" s="737" t="s">
        <v>721</v>
      </c>
      <c r="P17" s="738"/>
      <c r="S17" s="339"/>
    </row>
    <row r="18" spans="1:20" s="298" customFormat="1" ht="66.75" customHeight="1">
      <c r="A18" s="712"/>
      <c r="B18" s="725"/>
      <c r="C18" s="279">
        <v>2</v>
      </c>
      <c r="D18" s="237" t="s">
        <v>435</v>
      </c>
      <c r="E18" s="238"/>
      <c r="F18" s="239"/>
      <c r="G18" s="306" t="s">
        <v>638</v>
      </c>
      <c r="H18" s="305"/>
      <c r="I18" s="306"/>
      <c r="J18" s="312">
        <v>1.1500000000000001</v>
      </c>
      <c r="K18" s="313">
        <v>1.9785107134692521E-2</v>
      </c>
      <c r="L18" s="314">
        <v>952</v>
      </c>
      <c r="M18" s="322">
        <f t="shared" si="1"/>
        <v>1094.8000000000002</v>
      </c>
      <c r="N18" s="314"/>
      <c r="O18" s="729" t="s">
        <v>715</v>
      </c>
      <c r="P18" s="730"/>
      <c r="S18" s="289"/>
      <c r="T18" s="289"/>
    </row>
    <row r="19" spans="1:20" ht="20.100000000000001" customHeight="1">
      <c r="A19" s="712"/>
      <c r="B19" s="725"/>
      <c r="C19" s="279">
        <v>3</v>
      </c>
      <c r="D19" s="237"/>
      <c r="E19" s="281"/>
      <c r="F19" s="282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39"/>
      <c r="P19" s="740"/>
    </row>
    <row r="20" spans="1:20" ht="20.100000000000001" customHeight="1">
      <c r="A20" s="712"/>
      <c r="B20" s="725"/>
      <c r="C20" s="279">
        <v>4</v>
      </c>
      <c r="D20" s="237"/>
      <c r="E20" s="281"/>
      <c r="F20" s="282"/>
      <c r="G20" s="350"/>
      <c r="H20" s="305"/>
      <c r="I20" s="306"/>
      <c r="J20" s="312"/>
      <c r="K20" s="313"/>
      <c r="L20" s="314"/>
      <c r="M20" s="322">
        <f t="shared" si="1"/>
        <v>0</v>
      </c>
      <c r="N20" s="288"/>
      <c r="O20" s="741"/>
      <c r="P20" s="742"/>
    </row>
    <row r="21" spans="1:20" ht="20.100000000000001" customHeight="1" thickBot="1">
      <c r="A21" s="712"/>
      <c r="B21" s="725"/>
      <c r="C21" s="279">
        <v>5</v>
      </c>
      <c r="D21" s="244"/>
      <c r="E21" s="291"/>
      <c r="F21" s="292"/>
      <c r="G21" s="350"/>
      <c r="H21" s="305"/>
      <c r="I21" s="306"/>
      <c r="J21" s="316"/>
      <c r="K21" s="264"/>
      <c r="L21" s="317"/>
      <c r="M21" s="322">
        <f t="shared" si="1"/>
        <v>0</v>
      </c>
      <c r="N21" s="288"/>
      <c r="O21" s="743"/>
      <c r="P21" s="744"/>
      <c r="R21" s="343"/>
    </row>
    <row r="22" spans="1:20" ht="15.75" customHeight="1" thickTop="1" thickBot="1">
      <c r="A22" s="713"/>
      <c r="B22" s="726"/>
      <c r="C22" s="721"/>
      <c r="D22" s="722"/>
      <c r="E22" s="722"/>
      <c r="F22" s="722"/>
      <c r="G22" s="722"/>
      <c r="H22" s="722"/>
      <c r="I22" s="723"/>
      <c r="J22" s="295" t="s">
        <v>58</v>
      </c>
      <c r="K22" s="338">
        <f>M22/'生產管理報表 7-1(月)'!$B$9</f>
        <v>2.7292733364917388E-2</v>
      </c>
      <c r="L22" s="296" t="s">
        <v>59</v>
      </c>
      <c r="M22" s="334">
        <f>SUM(M17:M21)</f>
        <v>7198.4020000000028</v>
      </c>
      <c r="N22" s="698"/>
      <c r="O22" s="699"/>
      <c r="P22" s="700"/>
      <c r="R22" s="339"/>
    </row>
    <row r="23" spans="1:20" ht="15.75" customHeight="1" thickTop="1">
      <c r="M23" s="329"/>
      <c r="R23" s="339"/>
    </row>
    <row r="24" spans="1:20" ht="15.75" customHeight="1">
      <c r="A24" s="701" t="s">
        <v>191</v>
      </c>
      <c r="B24" s="702"/>
      <c r="C24" s="303" t="s">
        <v>47</v>
      </c>
      <c r="D24" s="703" t="s">
        <v>12</v>
      </c>
      <c r="E24" s="704"/>
      <c r="F24" s="705"/>
      <c r="G24" s="706" t="s">
        <v>53</v>
      </c>
      <c r="H24" s="707"/>
      <c r="I24" s="708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333</v>
      </c>
      <c r="O24" s="709" t="s">
        <v>51</v>
      </c>
      <c r="P24" s="710"/>
      <c r="R24" s="339"/>
    </row>
    <row r="25" spans="1:20" s="298" customFormat="1" ht="81" customHeight="1">
      <c r="A25" s="711">
        <v>6</v>
      </c>
      <c r="B25" s="724" t="s">
        <v>216</v>
      </c>
      <c r="C25" s="279">
        <v>1</v>
      </c>
      <c r="D25" s="237" t="s">
        <v>523</v>
      </c>
      <c r="E25" s="238"/>
      <c r="F25" s="239"/>
      <c r="G25" s="306" t="s">
        <v>335</v>
      </c>
      <c r="H25" s="305"/>
      <c r="I25" s="306"/>
      <c r="J25" s="312">
        <v>15.450000000000001</v>
      </c>
      <c r="K25" s="313">
        <v>2.2688194130221365E-3</v>
      </c>
      <c r="L25" s="314">
        <v>662.85</v>
      </c>
      <c r="M25" s="322">
        <f t="shared" ref="M25:M29" si="2">L25*J25</f>
        <v>10241.032500000001</v>
      </c>
      <c r="N25" s="314"/>
      <c r="O25" s="727" t="s">
        <v>722</v>
      </c>
      <c r="P25" s="728"/>
    </row>
    <row r="26" spans="1:20" ht="81" customHeight="1">
      <c r="A26" s="712"/>
      <c r="B26" s="725"/>
      <c r="C26" s="279">
        <v>2</v>
      </c>
      <c r="D26" s="237" t="s">
        <v>340</v>
      </c>
      <c r="E26" s="281"/>
      <c r="F26" s="282"/>
      <c r="G26" s="240" t="s">
        <v>534</v>
      </c>
      <c r="H26" s="241"/>
      <c r="I26" s="240"/>
      <c r="J26" s="312">
        <v>39.389999999999993</v>
      </c>
      <c r="K26" s="313">
        <v>1.2078131900386628E-3</v>
      </c>
      <c r="L26" s="314">
        <v>147.94999999999999</v>
      </c>
      <c r="M26" s="322">
        <f t="shared" si="2"/>
        <v>5827.7504999999983</v>
      </c>
      <c r="N26" s="288"/>
      <c r="O26" s="729" t="s">
        <v>723</v>
      </c>
      <c r="P26" s="730"/>
    </row>
    <row r="27" spans="1:20" ht="81" customHeight="1">
      <c r="A27" s="712"/>
      <c r="B27" s="725"/>
      <c r="C27" s="279">
        <v>3</v>
      </c>
      <c r="D27" s="237" t="s">
        <v>543</v>
      </c>
      <c r="E27" s="281"/>
      <c r="F27" s="282"/>
      <c r="G27" s="240" t="s">
        <v>544</v>
      </c>
      <c r="H27" s="241"/>
      <c r="I27" s="240"/>
      <c r="J27" s="312">
        <v>62.43</v>
      </c>
      <c r="K27" s="313">
        <v>8.8527130546013702E-3</v>
      </c>
      <c r="L27" s="314">
        <v>65.03</v>
      </c>
      <c r="M27" s="322">
        <f t="shared" si="2"/>
        <v>4059.8229000000001</v>
      </c>
      <c r="N27" s="288"/>
      <c r="O27" s="729" t="s">
        <v>724</v>
      </c>
      <c r="P27" s="730"/>
    </row>
    <row r="28" spans="1:20" ht="81" customHeight="1">
      <c r="A28" s="712"/>
      <c r="B28" s="725"/>
      <c r="C28" s="279">
        <v>4</v>
      </c>
      <c r="D28" s="237" t="s">
        <v>614</v>
      </c>
      <c r="E28" s="281"/>
      <c r="F28" s="282"/>
      <c r="G28" s="240" t="s">
        <v>619</v>
      </c>
      <c r="H28" s="241"/>
      <c r="I28" s="240"/>
      <c r="J28" s="312">
        <v>39.389999999999993</v>
      </c>
      <c r="K28" s="313">
        <v>5.1635396565913186E-3</v>
      </c>
      <c r="L28" s="314">
        <v>91.46</v>
      </c>
      <c r="M28" s="322">
        <f t="shared" si="2"/>
        <v>3602.6093999999994</v>
      </c>
      <c r="N28" s="288"/>
      <c r="O28" s="729" t="s">
        <v>725</v>
      </c>
      <c r="P28" s="730"/>
    </row>
    <row r="29" spans="1:20" ht="81" customHeight="1" thickBot="1">
      <c r="A29" s="712"/>
      <c r="B29" s="725"/>
      <c r="C29" s="279">
        <v>5</v>
      </c>
      <c r="D29" s="244" t="s">
        <v>630</v>
      </c>
      <c r="E29" s="291"/>
      <c r="F29" s="292"/>
      <c r="G29" s="240" t="s">
        <v>631</v>
      </c>
      <c r="H29" s="241"/>
      <c r="I29" s="240"/>
      <c r="J29" s="316">
        <v>43.889999999999993</v>
      </c>
      <c r="K29" s="382">
        <v>7.1860410301573929E-3</v>
      </c>
      <c r="L29" s="317">
        <v>66.02000000000001</v>
      </c>
      <c r="M29" s="322">
        <f t="shared" si="2"/>
        <v>2897.6178</v>
      </c>
      <c r="N29" s="288"/>
      <c r="O29" s="729" t="s">
        <v>726</v>
      </c>
      <c r="P29" s="730"/>
    </row>
    <row r="30" spans="1:20" ht="15.75" customHeight="1" thickTop="1" thickBot="1">
      <c r="A30" s="713"/>
      <c r="B30" s="726"/>
      <c r="C30" s="721"/>
      <c r="D30" s="722"/>
      <c r="E30" s="722"/>
      <c r="F30" s="722"/>
      <c r="G30" s="722"/>
      <c r="H30" s="722"/>
      <c r="I30" s="723"/>
      <c r="J30" s="295" t="s">
        <v>58</v>
      </c>
      <c r="K30" s="438">
        <f>M30/'生產管理報表 7-1(月)'!$B$9</f>
        <v>0.1009631917774509</v>
      </c>
      <c r="L30" s="296" t="s">
        <v>59</v>
      </c>
      <c r="M30" s="334">
        <f>SUM(M25:M29)</f>
        <v>26628.833099999996</v>
      </c>
      <c r="N30" s="698"/>
      <c r="O30" s="699"/>
      <c r="P30" s="700"/>
    </row>
    <row r="31" spans="1:20" ht="15.75" customHeight="1" thickTop="1">
      <c r="M31" s="329"/>
    </row>
    <row r="32" spans="1:20" ht="15.75" customHeight="1">
      <c r="A32" s="701" t="s">
        <v>191</v>
      </c>
      <c r="B32" s="702"/>
      <c r="C32" s="303" t="s">
        <v>47</v>
      </c>
      <c r="D32" s="703" t="s">
        <v>12</v>
      </c>
      <c r="E32" s="704"/>
      <c r="F32" s="705"/>
      <c r="G32" s="706" t="s">
        <v>53</v>
      </c>
      <c r="H32" s="707"/>
      <c r="I32" s="708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333</v>
      </c>
      <c r="O32" s="709" t="s">
        <v>51</v>
      </c>
      <c r="P32" s="710"/>
    </row>
    <row r="33" spans="1:16" ht="20.100000000000001" customHeight="1">
      <c r="A33" s="711">
        <v>7</v>
      </c>
      <c r="B33" s="714" t="s">
        <v>249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717"/>
      <c r="P33" s="718"/>
    </row>
    <row r="34" spans="1:16" ht="20.100000000000001" customHeight="1">
      <c r="A34" s="712"/>
      <c r="B34" s="715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719"/>
      <c r="P34" s="720"/>
    </row>
    <row r="35" spans="1:16" ht="20.100000000000001" customHeight="1">
      <c r="A35" s="712"/>
      <c r="B35" s="715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719"/>
      <c r="P35" s="720"/>
    </row>
    <row r="36" spans="1:16" ht="20.100000000000001" customHeight="1">
      <c r="A36" s="712"/>
      <c r="B36" s="715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</row>
    <row r="37" spans="1:16" ht="20.100000000000001" customHeight="1" thickBot="1">
      <c r="A37" s="712"/>
      <c r="B37" s="715"/>
      <c r="C37" s="279">
        <v>5</v>
      </c>
      <c r="D37" s="290"/>
      <c r="E37" s="291"/>
      <c r="F37" s="292"/>
      <c r="G37" s="283"/>
      <c r="H37" s="284"/>
      <c r="I37" s="285"/>
      <c r="J37" s="293"/>
      <c r="K37" s="264"/>
      <c r="L37" s="294"/>
      <c r="M37" s="333">
        <v>0</v>
      </c>
      <c r="N37" s="288"/>
      <c r="O37" s="301"/>
      <c r="P37" s="302"/>
    </row>
    <row r="38" spans="1:16" ht="15.75" customHeight="1" thickTop="1" thickBot="1">
      <c r="A38" s="713"/>
      <c r="B38" s="716"/>
      <c r="C38" s="721"/>
      <c r="D38" s="722"/>
      <c r="E38" s="722"/>
      <c r="F38" s="722"/>
      <c r="G38" s="722"/>
      <c r="H38" s="722"/>
      <c r="I38" s="723"/>
      <c r="J38" s="295" t="s">
        <v>58</v>
      </c>
      <c r="K38" s="438">
        <f>M38/'生產管理報表 7-1(月)'!$B$9</f>
        <v>0</v>
      </c>
      <c r="L38" s="296" t="s">
        <v>59</v>
      </c>
      <c r="M38" s="334">
        <f>SUM(M33:M37)</f>
        <v>0</v>
      </c>
      <c r="N38" s="698"/>
      <c r="O38" s="699"/>
      <c r="P38" s="700"/>
    </row>
    <row r="39" spans="1:16" ht="15.75" customHeight="1" thickTop="1"/>
    <row r="44" spans="1:16" ht="15.75" customHeight="1">
      <c r="O44" s="289" ph="1"/>
      <c r="P44" s="289" ph="1"/>
    </row>
    <row r="46" spans="1:16" ht="15.75" customHeight="1">
      <c r="O46" s="289" ph="1"/>
      <c r="P46" s="289" ph="1"/>
    </row>
    <row r="47" spans="1:16" ht="15.75" customHeight="1">
      <c r="O47" s="289" ph="1"/>
      <c r="P47" s="289" ph="1"/>
    </row>
    <row r="117" spans="15:16" ht="15.75" customHeight="1">
      <c r="O117" s="289" ph="1"/>
      <c r="P117" s="289" ph="1"/>
    </row>
    <row r="119" spans="15:16" ht="15.75" customHeight="1">
      <c r="O119" s="289" ph="1"/>
      <c r="P119" s="289" ph="1"/>
    </row>
    <row r="120" spans="15:16" ht="15.75" customHeight="1">
      <c r="O120" s="289" ph="1"/>
      <c r="P120" s="289" ph="1"/>
    </row>
    <row r="153" spans="15:16" ht="15.75" customHeight="1">
      <c r="O153" s="289" ph="1"/>
      <c r="P153" s="289" ph="1"/>
    </row>
    <row r="155" spans="15:16" ht="15.75" customHeight="1">
      <c r="O155" s="289" ph="1"/>
      <c r="P155" s="289" ph="1"/>
    </row>
    <row r="156" spans="15:16" ht="15.75" customHeight="1">
      <c r="O156" s="289" ph="1"/>
      <c r="P156" s="289" ph="1"/>
    </row>
  </sheetData>
  <mergeCells count="67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2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B9" sqref="B9:B14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47.85546875" style="135" customWidth="1"/>
    <col min="17" max="17" width="9.5703125" style="135" customWidth="1"/>
    <col min="18" max="21" width="12.5703125" style="231"/>
    <col min="22" max="22" width="24.42578125" style="135" bestFit="1" customWidth="1"/>
    <col min="23" max="23" width="19.42578125" style="135" bestFit="1" customWidth="1"/>
    <col min="24" max="24" width="23" style="135" bestFit="1" customWidth="1"/>
    <col min="25" max="25" width="11.7109375" style="135" bestFit="1" customWidth="1"/>
    <col min="26" max="26" width="15.85546875" style="135" bestFit="1" customWidth="1"/>
    <col min="27" max="27" width="23.5703125" style="135" bestFit="1" customWidth="1"/>
    <col min="28" max="28" width="23" style="135" bestFit="1" customWidth="1"/>
    <col min="29" max="29" width="11.7109375" style="135" bestFit="1" customWidth="1"/>
    <col min="30" max="30" width="20.5703125" style="135" bestFit="1" customWidth="1"/>
    <col min="31" max="31" width="15" style="135" bestFit="1" customWidth="1"/>
    <col min="32" max="32" width="23" style="135" bestFit="1" customWidth="1"/>
    <col min="33" max="33" width="11.7109375" style="135" bestFit="1" customWidth="1"/>
    <col min="34" max="34" width="15.8554687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109375" style="135" bestFit="1" customWidth="1"/>
    <col min="40" max="40" width="13.85546875" style="135" bestFit="1" customWidth="1"/>
    <col min="41" max="41" width="27.85546875" style="135" bestFit="1" customWidth="1"/>
    <col min="42" max="42" width="23" style="135" bestFit="1" customWidth="1"/>
    <col min="43" max="43" width="8" style="135" bestFit="1" customWidth="1"/>
    <col min="44" max="44" width="30.7109375" style="135" bestFit="1" customWidth="1"/>
    <col min="45" max="45" width="25.710937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109375" style="135" bestFit="1" customWidth="1"/>
    <col min="50" max="50" width="20.140625" style="135" bestFit="1" customWidth="1"/>
    <col min="51" max="51" width="23.5703125" style="135" bestFit="1" customWidth="1"/>
    <col min="52" max="52" width="23" style="135" bestFit="1" customWidth="1"/>
    <col min="53" max="53" width="11.7109375" style="135" bestFit="1" customWidth="1"/>
    <col min="54" max="54" width="21.42578125" style="135" bestFit="1" customWidth="1"/>
    <col min="55" max="55" width="15" style="135" bestFit="1" customWidth="1"/>
    <col min="56" max="56" width="23" style="135" bestFit="1" customWidth="1"/>
    <col min="57" max="57" width="11.7109375" style="135" bestFit="1" customWidth="1"/>
    <col min="58" max="58" width="13.8554687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109375" style="135" bestFit="1" customWidth="1"/>
    <col min="64" max="64" width="24.7109375" style="135" bestFit="1" customWidth="1"/>
    <col min="65" max="65" width="18.710937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5546875" style="135" bestFit="1" customWidth="1"/>
    <col min="73" max="73" width="10.5703125" style="135" bestFit="1" customWidth="1"/>
    <col min="74" max="74" width="21.42578125" style="135" bestFit="1" customWidth="1"/>
    <col min="75" max="75" width="5.42578125" style="135" bestFit="1" customWidth="1"/>
    <col min="76" max="16384" width="12.5703125" style="135"/>
  </cols>
  <sheetData>
    <row r="1" spans="1:75" ht="15.75" customHeight="1">
      <c r="A1" s="665" t="s">
        <v>361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Q1" s="665"/>
    </row>
    <row r="2" spans="1:75" s="136" customFormat="1" ht="15.75" customHeight="1">
      <c r="A2" s="665"/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665"/>
      <c r="Q2" s="665"/>
    </row>
    <row r="3" spans="1:75" ht="15.75" customHeight="1">
      <c r="A3" s="666" t="s">
        <v>431</v>
      </c>
      <c r="B3" s="694"/>
      <c r="C3" s="694"/>
      <c r="D3" s="694"/>
      <c r="E3" s="694"/>
      <c r="F3" s="694"/>
      <c r="G3" s="694"/>
      <c r="H3" s="694"/>
      <c r="I3" s="694"/>
      <c r="J3" s="694"/>
      <c r="K3" s="694"/>
      <c r="L3" s="694"/>
      <c r="M3" s="694"/>
    </row>
    <row r="4" spans="1:75" s="136" customFormat="1" ht="15.75" customHeight="1">
      <c r="A4" s="694"/>
      <c r="B4" s="694"/>
      <c r="C4" s="694"/>
      <c r="D4" s="694"/>
      <c r="E4" s="694"/>
      <c r="F4" s="694"/>
      <c r="G4" s="694"/>
      <c r="H4" s="694"/>
      <c r="I4" s="694"/>
      <c r="J4" s="694"/>
      <c r="K4" s="694"/>
      <c r="L4" s="694"/>
      <c r="M4" s="694"/>
    </row>
    <row r="5" spans="1:75" ht="15.75" customHeight="1">
      <c r="A5" s="668" t="s">
        <v>191</v>
      </c>
      <c r="B5" s="695">
        <v>1</v>
      </c>
      <c r="C5" s="695"/>
      <c r="D5" s="695">
        <v>2</v>
      </c>
      <c r="E5" s="695"/>
      <c r="F5" s="695">
        <v>3</v>
      </c>
      <c r="G5" s="695"/>
      <c r="H5" s="671">
        <v>4</v>
      </c>
      <c r="I5" s="671"/>
      <c r="J5" s="671">
        <v>5</v>
      </c>
      <c r="K5" s="671"/>
      <c r="L5" s="671">
        <v>6</v>
      </c>
      <c r="M5" s="671"/>
      <c r="N5" s="671">
        <v>7</v>
      </c>
      <c r="O5" s="671"/>
      <c r="P5" s="671">
        <v>8</v>
      </c>
      <c r="Q5" s="671"/>
    </row>
    <row r="6" spans="1:75" ht="15.75" customHeight="1">
      <c r="A6" s="668"/>
      <c r="B6" s="696" t="s">
        <v>452</v>
      </c>
      <c r="C6" s="696"/>
      <c r="D6" s="696" t="s">
        <v>212</v>
      </c>
      <c r="E6" s="696"/>
      <c r="F6" s="696" t="s">
        <v>166</v>
      </c>
      <c r="G6" s="696"/>
      <c r="H6" s="668" t="s">
        <v>428</v>
      </c>
      <c r="I6" s="668"/>
      <c r="J6" s="668" t="s">
        <v>189</v>
      </c>
      <c r="K6" s="668"/>
      <c r="L6" s="668" t="s">
        <v>167</v>
      </c>
      <c r="M6" s="668"/>
      <c r="N6" s="668" t="s">
        <v>190</v>
      </c>
      <c r="O6" s="668"/>
      <c r="P6" s="787" t="s">
        <v>217</v>
      </c>
      <c r="Q6" s="668"/>
    </row>
    <row r="8" spans="1:75" s="235" customFormat="1" ht="15.75" customHeight="1">
      <c r="A8" s="671" t="s">
        <v>191</v>
      </c>
      <c r="B8" s="671"/>
      <c r="C8" s="234" t="s">
        <v>47</v>
      </c>
      <c r="D8" s="689" t="s">
        <v>12</v>
      </c>
      <c r="E8" s="689"/>
      <c r="F8" s="689"/>
      <c r="G8" s="683" t="s">
        <v>53</v>
      </c>
      <c r="H8" s="684"/>
      <c r="I8" s="685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333</v>
      </c>
      <c r="O8" s="675" t="s">
        <v>51</v>
      </c>
      <c r="P8" s="675"/>
    </row>
    <row r="9" spans="1:75" ht="24.95" customHeight="1">
      <c r="A9" s="671">
        <v>1</v>
      </c>
      <c r="B9" s="686" t="s">
        <v>453</v>
      </c>
      <c r="C9" s="236">
        <v>1</v>
      </c>
      <c r="D9" s="237"/>
      <c r="E9" s="238"/>
      <c r="F9" s="239"/>
      <c r="G9" s="268"/>
      <c r="H9" s="238"/>
      <c r="I9" s="268"/>
      <c r="J9" s="236"/>
      <c r="K9" s="242"/>
      <c r="L9" s="236"/>
      <c r="M9" s="322">
        <f>L9*J9</f>
        <v>0</v>
      </c>
      <c r="N9" s="243"/>
      <c r="O9" s="748"/>
      <c r="P9" s="749"/>
    </row>
    <row r="10" spans="1:75" ht="24.95" customHeight="1">
      <c r="A10" s="671"/>
      <c r="B10" s="686"/>
      <c r="C10" s="236">
        <v>2</v>
      </c>
      <c r="D10" s="237"/>
      <c r="E10" s="238"/>
      <c r="F10" s="239"/>
      <c r="G10" s="237"/>
      <c r="H10" s="238"/>
      <c r="I10" s="268"/>
      <c r="J10" s="236"/>
      <c r="K10" s="242"/>
      <c r="L10" s="236"/>
      <c r="M10" s="322">
        <f t="shared" ref="M10:M13" si="0">L10*J10</f>
        <v>0</v>
      </c>
      <c r="N10" s="243"/>
      <c r="O10" s="782"/>
      <c r="P10" s="783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ht="24.95" customHeight="1">
      <c r="A11" s="671"/>
      <c r="B11" s="686"/>
      <c r="C11" s="236">
        <v>3</v>
      </c>
      <c r="D11" s="237"/>
      <c r="E11" s="238"/>
      <c r="F11" s="239"/>
      <c r="G11" s="268"/>
      <c r="H11" s="238"/>
      <c r="I11" s="268"/>
      <c r="J11" s="236"/>
      <c r="K11" s="242"/>
      <c r="L11" s="236"/>
      <c r="M11" s="322">
        <f t="shared" si="0"/>
        <v>0</v>
      </c>
      <c r="N11" s="243"/>
      <c r="O11" s="782"/>
      <c r="P11" s="783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ht="24.95" customHeight="1">
      <c r="A12" s="671"/>
      <c r="B12" s="686"/>
      <c r="C12" s="236">
        <v>4</v>
      </c>
      <c r="D12" s="237"/>
      <c r="E12" s="238"/>
      <c r="F12" s="239"/>
      <c r="G12" s="244"/>
      <c r="H12" s="245"/>
      <c r="I12" s="271"/>
      <c r="J12" s="236"/>
      <c r="K12" s="242"/>
      <c r="L12" s="236"/>
      <c r="M12" s="322">
        <f t="shared" si="0"/>
        <v>0</v>
      </c>
      <c r="N12" s="243"/>
      <c r="O12" s="782"/>
      <c r="P12" s="783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ht="24.95" customHeight="1" thickBot="1">
      <c r="A13" s="671"/>
      <c r="B13" s="686"/>
      <c r="C13" s="236">
        <v>5</v>
      </c>
      <c r="D13" s="244"/>
      <c r="E13" s="245"/>
      <c r="F13" s="246"/>
      <c r="G13" s="360"/>
      <c r="H13" s="359"/>
      <c r="I13" s="360"/>
      <c r="J13" s="247"/>
      <c r="K13" s="248"/>
      <c r="L13" s="247"/>
      <c r="M13" s="323">
        <f t="shared" si="0"/>
        <v>0</v>
      </c>
      <c r="N13" s="243"/>
      <c r="O13" s="782"/>
      <c r="P13" s="783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ht="15.75" customHeight="1" thickTop="1">
      <c r="A14" s="671"/>
      <c r="B14" s="686"/>
      <c r="C14" s="677"/>
      <c r="D14" s="678"/>
      <c r="E14" s="678"/>
      <c r="F14" s="678"/>
      <c r="G14" s="678"/>
      <c r="H14" s="678"/>
      <c r="I14" s="679"/>
      <c r="J14" s="249" t="s">
        <v>58</v>
      </c>
      <c r="K14" s="338" t="e">
        <f>M14/'生產管理報表 7-1(月)'!$B$10</f>
        <v>#VALUE!</v>
      </c>
      <c r="L14" s="249" t="s">
        <v>59</v>
      </c>
      <c r="M14" s="324">
        <f>SUM(M9:M13)</f>
        <v>0</v>
      </c>
      <c r="N14" s="784"/>
      <c r="O14" s="785"/>
      <c r="P14" s="786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ht="15.75" customHeight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ht="15.75" customHeight="1">
      <c r="A16" s="671" t="s">
        <v>191</v>
      </c>
      <c r="B16" s="671"/>
      <c r="C16" s="252" t="s">
        <v>47</v>
      </c>
      <c r="D16" s="680" t="s">
        <v>12</v>
      </c>
      <c r="E16" s="681"/>
      <c r="F16" s="682"/>
      <c r="G16" s="683" t="s">
        <v>53</v>
      </c>
      <c r="H16" s="684"/>
      <c r="I16" s="685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333</v>
      </c>
      <c r="O16" s="775" t="s">
        <v>51</v>
      </c>
      <c r="P16" s="776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ht="20.100000000000001" customHeight="1">
      <c r="A17" s="671">
        <v>2</v>
      </c>
      <c r="B17" s="686" t="s">
        <v>213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777"/>
      <c r="P17" s="778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ht="20.100000000000001" customHeight="1">
      <c r="A18" s="671"/>
      <c r="B18" s="686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777"/>
      <c r="P18" s="778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ht="20.100000000000001" customHeight="1">
      <c r="A19" s="671"/>
      <c r="B19" s="686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60"/>
      <c r="O19" s="777"/>
      <c r="P19" s="778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ht="20.100000000000001" customHeight="1">
      <c r="A20" s="671"/>
      <c r="B20" s="686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777"/>
      <c r="P20" s="778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ht="20.100000000000001" customHeight="1" thickBot="1">
      <c r="A21" s="671"/>
      <c r="B21" s="686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66"/>
      <c r="O21" s="777"/>
      <c r="P21" s="778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ht="15.75" customHeight="1" thickTop="1">
      <c r="A22" s="671"/>
      <c r="B22" s="686"/>
      <c r="C22" s="677"/>
      <c r="D22" s="678"/>
      <c r="E22" s="678"/>
      <c r="F22" s="678"/>
      <c r="G22" s="678"/>
      <c r="H22" s="678"/>
      <c r="I22" s="679"/>
      <c r="J22" s="249" t="s">
        <v>58</v>
      </c>
      <c r="K22" s="338" t="e">
        <f>M22/'生產管理報表 7-1(月)'!$B$10</f>
        <v>#VALUE!</v>
      </c>
      <c r="L22" s="249" t="s">
        <v>59</v>
      </c>
      <c r="M22" s="250">
        <f>SUM(M17:M21)</f>
        <v>0</v>
      </c>
      <c r="N22" s="779"/>
      <c r="O22" s="780"/>
      <c r="P22" s="78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ht="15.75" customHeight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ht="15.75" customHeight="1">
      <c r="A24" s="671" t="s">
        <v>191</v>
      </c>
      <c r="B24" s="671"/>
      <c r="C24" s="252" t="s">
        <v>47</v>
      </c>
      <c r="D24" s="680" t="s">
        <v>12</v>
      </c>
      <c r="E24" s="681"/>
      <c r="F24" s="682"/>
      <c r="G24" s="683" t="s">
        <v>53</v>
      </c>
      <c r="H24" s="684"/>
      <c r="I24" s="685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333</v>
      </c>
      <c r="O24" s="773" t="s">
        <v>51</v>
      </c>
      <c r="P24" s="774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ht="24.95" customHeight="1">
      <c r="A25" s="671">
        <v>3</v>
      </c>
      <c r="B25" s="686" t="s">
        <v>422</v>
      </c>
      <c r="C25" s="256">
        <v>1</v>
      </c>
      <c r="D25" s="237"/>
      <c r="E25" s="238"/>
      <c r="F25" s="239"/>
      <c r="G25" s="358"/>
      <c r="H25" s="359"/>
      <c r="I25" s="360"/>
      <c r="J25" s="269"/>
      <c r="K25" s="258"/>
      <c r="L25" s="257"/>
      <c r="M25" s="325">
        <f t="shared" ref="M25:M29" si="2">L25*J25</f>
        <v>0</v>
      </c>
      <c r="N25" s="270"/>
      <c r="O25" s="768"/>
      <c r="P25" s="769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ht="24.95" customHeight="1">
      <c r="A26" s="671"/>
      <c r="B26" s="686"/>
      <c r="C26" s="256">
        <v>2</v>
      </c>
      <c r="D26" s="237"/>
      <c r="E26" s="238"/>
      <c r="F26" s="239"/>
      <c r="G26" s="358"/>
      <c r="H26" s="359"/>
      <c r="I26" s="360"/>
      <c r="J26" s="269"/>
      <c r="K26" s="258"/>
      <c r="L26" s="257"/>
      <c r="M26" s="325">
        <f t="shared" si="2"/>
        <v>0</v>
      </c>
      <c r="N26" s="270"/>
      <c r="O26" s="768"/>
      <c r="P26" s="769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ht="24.95" customHeight="1">
      <c r="A27" s="671"/>
      <c r="B27" s="686"/>
      <c r="C27" s="256">
        <v>3</v>
      </c>
      <c r="D27" s="237"/>
      <c r="E27" s="238"/>
      <c r="F27" s="239"/>
      <c r="G27" s="358"/>
      <c r="H27" s="359"/>
      <c r="I27" s="360"/>
      <c r="J27" s="269"/>
      <c r="K27" s="258"/>
      <c r="L27" s="257"/>
      <c r="M27" s="325">
        <f t="shared" si="2"/>
        <v>0</v>
      </c>
      <c r="N27" s="270"/>
      <c r="O27" s="768"/>
      <c r="P27" s="769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ht="24.95" customHeight="1">
      <c r="A28" s="671"/>
      <c r="B28" s="686"/>
      <c r="C28" s="256">
        <v>4</v>
      </c>
      <c r="D28" s="237"/>
      <c r="E28" s="238"/>
      <c r="F28" s="239"/>
      <c r="G28" s="237"/>
      <c r="H28" s="238"/>
      <c r="I28" s="268"/>
      <c r="J28" s="269"/>
      <c r="K28" s="258"/>
      <c r="L28" s="257"/>
      <c r="M28" s="325">
        <f t="shared" si="2"/>
        <v>0</v>
      </c>
      <c r="N28" s="270"/>
      <c r="O28" s="768"/>
      <c r="P28" s="769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ht="24.95" customHeight="1" thickBot="1">
      <c r="A29" s="671"/>
      <c r="B29" s="686"/>
      <c r="C29" s="262">
        <v>5</v>
      </c>
      <c r="D29" s="244"/>
      <c r="E29" s="245"/>
      <c r="F29" s="246"/>
      <c r="G29" s="244"/>
      <c r="H29" s="245"/>
      <c r="I29" s="271"/>
      <c r="J29" s="272"/>
      <c r="K29" s="264"/>
      <c r="L29" s="273"/>
      <c r="M29" s="325">
        <f t="shared" si="2"/>
        <v>0</v>
      </c>
      <c r="N29" s="270"/>
      <c r="O29" s="768"/>
      <c r="P29" s="769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ht="15.75" customHeight="1" thickTop="1">
      <c r="A30" s="671"/>
      <c r="B30" s="686"/>
      <c r="C30" s="677"/>
      <c r="D30" s="678"/>
      <c r="E30" s="678"/>
      <c r="F30" s="678"/>
      <c r="G30" s="678"/>
      <c r="H30" s="678"/>
      <c r="I30" s="679"/>
      <c r="J30" s="274" t="s">
        <v>58</v>
      </c>
      <c r="K30" s="338" t="e">
        <f>M30/'生產管理報表 7-1(月)'!$B$10</f>
        <v>#VALUE!</v>
      </c>
      <c r="L30" s="274" t="s">
        <v>59</v>
      </c>
      <c r="M30" s="326">
        <f>SUM(M25:M29)</f>
        <v>0</v>
      </c>
      <c r="N30" s="770"/>
      <c r="O30" s="771"/>
      <c r="P30" s="772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0000"/>
    <outlinePr summaryBelow="0" summaryRight="0"/>
  </sheetPr>
  <dimension ref="A1:T156"/>
  <sheetViews>
    <sheetView view="pageBreakPreview" topLeftCell="A25" zoomScale="91" zoomScaleNormal="60" zoomScaleSheetLayoutView="91" workbookViewId="0">
      <selection activeCell="B9" sqref="B9:B14"/>
    </sheetView>
  </sheetViews>
  <sheetFormatPr defaultColWidth="12.5703125" defaultRowHeight="15.75" customHeight="1"/>
  <cols>
    <col min="1" max="1" width="5.42578125" style="289" customWidth="1"/>
    <col min="2" max="2" width="11.42578125" style="297" customWidth="1"/>
    <col min="3" max="3" width="4" style="298" customWidth="1"/>
    <col min="4" max="4" width="9.5703125" style="289" customWidth="1"/>
    <col min="5" max="5" width="10.28515625" style="289" customWidth="1"/>
    <col min="6" max="15" width="9.5703125" style="289" customWidth="1"/>
    <col min="16" max="16" width="52" style="289" customWidth="1"/>
    <col min="17" max="16384" width="12.5703125" style="289"/>
  </cols>
  <sheetData>
    <row r="1" spans="1:20" s="135" customFormat="1" ht="15.75" customHeight="1">
      <c r="A1" s="665" t="s">
        <v>361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</row>
    <row r="2" spans="1:20" s="136" customFormat="1" ht="15.75" customHeight="1">
      <c r="A2" s="665"/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665"/>
    </row>
    <row r="3" spans="1:20" s="135" customFormat="1" ht="15.75" customHeight="1">
      <c r="A3" s="666" t="s">
        <v>431</v>
      </c>
      <c r="B3" s="666"/>
      <c r="C3" s="666"/>
      <c r="D3" s="666"/>
      <c r="E3" s="666"/>
      <c r="F3" s="666"/>
      <c r="G3" s="666"/>
      <c r="H3" s="666"/>
      <c r="I3" s="666"/>
      <c r="J3" s="666"/>
      <c r="K3" s="666"/>
      <c r="L3" s="666"/>
      <c r="M3" s="666"/>
    </row>
    <row r="4" spans="1:20" s="136" customFormat="1" ht="15.75" customHeight="1">
      <c r="A4" s="763"/>
      <c r="B4" s="763"/>
      <c r="C4" s="763"/>
      <c r="D4" s="763"/>
      <c r="E4" s="763"/>
      <c r="F4" s="763"/>
      <c r="G4" s="763"/>
      <c r="H4" s="763"/>
      <c r="I4" s="763"/>
      <c r="J4" s="763"/>
      <c r="K4" s="763"/>
      <c r="L4" s="763"/>
      <c r="M4" s="763"/>
    </row>
    <row r="5" spans="1:20" s="135" customFormat="1" ht="15.75" customHeight="1">
      <c r="A5" s="764" t="s">
        <v>191</v>
      </c>
      <c r="B5" s="766">
        <v>1</v>
      </c>
      <c r="C5" s="767"/>
      <c r="D5" s="766">
        <v>2</v>
      </c>
      <c r="E5" s="767"/>
      <c r="F5" s="766">
        <v>3</v>
      </c>
      <c r="G5" s="767"/>
      <c r="H5" s="757">
        <v>4</v>
      </c>
      <c r="I5" s="758"/>
      <c r="J5" s="757">
        <v>5</v>
      </c>
      <c r="K5" s="758"/>
      <c r="L5" s="757">
        <v>6</v>
      </c>
      <c r="M5" s="758"/>
      <c r="N5" s="757">
        <v>7</v>
      </c>
      <c r="O5" s="758"/>
      <c r="P5" s="327">
        <v>8</v>
      </c>
    </row>
    <row r="6" spans="1:20" s="135" customFormat="1" ht="15.75" customHeight="1">
      <c r="A6" s="765"/>
      <c r="B6" s="761" t="s">
        <v>452</v>
      </c>
      <c r="C6" s="762"/>
      <c r="D6" s="761" t="s">
        <v>212</v>
      </c>
      <c r="E6" s="762"/>
      <c r="F6" s="761" t="s">
        <v>166</v>
      </c>
      <c r="G6" s="762"/>
      <c r="H6" s="759" t="s">
        <v>428</v>
      </c>
      <c r="I6" s="760"/>
      <c r="J6" s="759" t="s">
        <v>189</v>
      </c>
      <c r="K6" s="760"/>
      <c r="L6" s="759" t="s">
        <v>167</v>
      </c>
      <c r="M6" s="760"/>
      <c r="N6" s="759" t="s">
        <v>190</v>
      </c>
      <c r="O6" s="760"/>
      <c r="P6" s="328" t="s">
        <v>217</v>
      </c>
    </row>
    <row r="7" spans="1:20" s="135" customFormat="1" ht="15.75" customHeight="1">
      <c r="B7" s="232"/>
      <c r="C7" s="233"/>
    </row>
    <row r="8" spans="1:20" s="278" customFormat="1" ht="15.75" customHeight="1">
      <c r="A8" s="701" t="s">
        <v>191</v>
      </c>
      <c r="B8" s="702"/>
      <c r="C8" s="275" t="s">
        <v>47</v>
      </c>
      <c r="D8" s="794" t="s">
        <v>12</v>
      </c>
      <c r="E8" s="795"/>
      <c r="F8" s="796"/>
      <c r="G8" s="797" t="s">
        <v>53</v>
      </c>
      <c r="H8" s="798"/>
      <c r="I8" s="799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333</v>
      </c>
      <c r="O8" s="709" t="s">
        <v>51</v>
      </c>
      <c r="P8" s="710"/>
      <c r="R8" s="339"/>
      <c r="S8" s="340"/>
    </row>
    <row r="9" spans="1:20" s="298" customFormat="1" ht="60" customHeight="1">
      <c r="A9" s="711">
        <v>4</v>
      </c>
      <c r="B9" s="745" t="s">
        <v>428</v>
      </c>
      <c r="C9" s="279">
        <v>1</v>
      </c>
      <c r="D9" s="376" t="s">
        <v>340</v>
      </c>
      <c r="E9" s="359"/>
      <c r="F9" s="359"/>
      <c r="G9" s="357" t="s">
        <v>386</v>
      </c>
      <c r="H9" s="305"/>
      <c r="I9" s="306"/>
      <c r="J9" s="312">
        <v>127.84000000000002</v>
      </c>
      <c r="K9" s="313">
        <v>2.551137568927081E-3</v>
      </c>
      <c r="L9" s="314">
        <v>160.19999999999982</v>
      </c>
      <c r="M9" s="322">
        <f t="shared" ref="M9:M13" si="0">L9*J9</f>
        <v>20479.967999999979</v>
      </c>
      <c r="N9" s="314"/>
      <c r="O9" s="741" t="s">
        <v>727</v>
      </c>
      <c r="P9" s="742"/>
      <c r="R9" s="341"/>
      <c r="S9" s="341"/>
    </row>
    <row r="10" spans="1:20" s="298" customFormat="1" ht="60" customHeight="1">
      <c r="A10" s="712"/>
      <c r="B10" s="746"/>
      <c r="C10" s="279">
        <v>2</v>
      </c>
      <c r="D10" s="355" t="s">
        <v>340</v>
      </c>
      <c r="E10" s="238"/>
      <c r="F10" s="239"/>
      <c r="G10" s="357" t="s">
        <v>633</v>
      </c>
      <c r="H10" s="305"/>
      <c r="I10" s="306"/>
      <c r="J10" s="312">
        <v>144.79999999999998</v>
      </c>
      <c r="K10" s="313">
        <v>2.7315573525144138E-3</v>
      </c>
      <c r="L10" s="314">
        <v>138.17000000000007</v>
      </c>
      <c r="M10" s="322">
        <f t="shared" si="0"/>
        <v>20007.016000000007</v>
      </c>
      <c r="N10" s="314"/>
      <c r="O10" s="741" t="s">
        <v>728</v>
      </c>
      <c r="P10" s="742"/>
      <c r="R10" s="341"/>
      <c r="S10" s="341"/>
    </row>
    <row r="11" spans="1:20" s="298" customFormat="1" ht="60" customHeight="1">
      <c r="A11" s="712"/>
      <c r="B11" s="746"/>
      <c r="C11" s="279">
        <v>3</v>
      </c>
      <c r="D11" s="355" t="s">
        <v>616</v>
      </c>
      <c r="E11" s="238"/>
      <c r="F11" s="239"/>
      <c r="G11" s="357" t="s">
        <v>635</v>
      </c>
      <c r="H11" s="305"/>
      <c r="I11" s="306"/>
      <c r="J11" s="312">
        <v>49.82</v>
      </c>
      <c r="K11" s="313">
        <v>6.1906029536992948E-3</v>
      </c>
      <c r="L11" s="314">
        <v>397.05999999999995</v>
      </c>
      <c r="M11" s="322">
        <f t="shared" si="0"/>
        <v>19781.529199999997</v>
      </c>
      <c r="N11" s="314"/>
      <c r="O11" s="741" t="s">
        <v>729</v>
      </c>
      <c r="P11" s="742"/>
      <c r="R11" s="341"/>
      <c r="S11" s="339"/>
    </row>
    <row r="12" spans="1:20" s="298" customFormat="1" ht="60" customHeight="1">
      <c r="A12" s="712"/>
      <c r="B12" s="746"/>
      <c r="C12" s="279">
        <v>4</v>
      </c>
      <c r="D12" s="379" t="s">
        <v>566</v>
      </c>
      <c r="E12" s="238"/>
      <c r="F12" s="239"/>
      <c r="G12" s="357" t="s">
        <v>583</v>
      </c>
      <c r="H12" s="305"/>
      <c r="I12" s="306"/>
      <c r="J12" s="312">
        <v>113.68000000000004</v>
      </c>
      <c r="K12" s="313">
        <v>6.0908484164653581E-3</v>
      </c>
      <c r="L12" s="314">
        <v>161.8599999999999</v>
      </c>
      <c r="M12" s="322">
        <f t="shared" si="0"/>
        <v>18400.244799999993</v>
      </c>
      <c r="N12" s="314"/>
      <c r="O12" s="741" t="s">
        <v>729</v>
      </c>
      <c r="P12" s="742"/>
      <c r="R12" s="341"/>
      <c r="S12" s="339"/>
    </row>
    <row r="13" spans="1:20" s="298" customFormat="1" ht="60" customHeight="1" thickBot="1">
      <c r="A13" s="712"/>
      <c r="B13" s="746"/>
      <c r="C13" s="279">
        <v>5</v>
      </c>
      <c r="D13" s="379" t="s">
        <v>341</v>
      </c>
      <c r="E13" s="245"/>
      <c r="F13" s="246"/>
      <c r="G13" s="357" t="s">
        <v>545</v>
      </c>
      <c r="H13" s="305"/>
      <c r="I13" s="306"/>
      <c r="J13" s="316">
        <v>66.13</v>
      </c>
      <c r="K13" s="264">
        <v>7.4764651319386526E-3</v>
      </c>
      <c r="L13" s="317">
        <v>259.79999999999995</v>
      </c>
      <c r="M13" s="322">
        <f t="shared" si="0"/>
        <v>17180.573999999997</v>
      </c>
      <c r="N13" s="314"/>
      <c r="O13" s="741" t="s">
        <v>729</v>
      </c>
      <c r="P13" s="742"/>
      <c r="R13" s="342"/>
      <c r="S13" s="339"/>
      <c r="T13" s="289"/>
    </row>
    <row r="14" spans="1:20" ht="15.75" customHeight="1" thickTop="1" thickBot="1">
      <c r="A14" s="713"/>
      <c r="B14" s="747"/>
      <c r="C14" s="754"/>
      <c r="D14" s="755"/>
      <c r="E14" s="755"/>
      <c r="F14" s="755"/>
      <c r="G14" s="755"/>
      <c r="H14" s="755"/>
      <c r="I14" s="756"/>
      <c r="J14" s="295" t="s">
        <v>58</v>
      </c>
      <c r="K14" s="438" t="e">
        <f>M14/'生產管理報表 7-1(月)'!$B$10</f>
        <v>#VALUE!</v>
      </c>
      <c r="L14" s="296" t="s">
        <v>59</v>
      </c>
      <c r="M14" s="334">
        <f>SUM(M9:M13)</f>
        <v>95849.331999999966</v>
      </c>
      <c r="N14" s="698"/>
      <c r="O14" s="699"/>
      <c r="P14" s="700"/>
      <c r="R14" s="339"/>
      <c r="S14" s="339"/>
    </row>
    <row r="15" spans="1:20" ht="15.75" customHeight="1" thickTop="1">
      <c r="M15" s="329"/>
      <c r="S15" s="339"/>
    </row>
    <row r="16" spans="1:20" ht="15.75" customHeight="1">
      <c r="A16" s="701" t="s">
        <v>191</v>
      </c>
      <c r="B16" s="702"/>
      <c r="C16" s="275" t="s">
        <v>47</v>
      </c>
      <c r="D16" s="731" t="s">
        <v>12</v>
      </c>
      <c r="E16" s="732"/>
      <c r="F16" s="733"/>
      <c r="G16" s="734" t="s">
        <v>53</v>
      </c>
      <c r="H16" s="735"/>
      <c r="I16" s="736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333</v>
      </c>
      <c r="O16" s="709" t="s">
        <v>51</v>
      </c>
      <c r="P16" s="710"/>
      <c r="S16" s="340"/>
      <c r="T16" s="298"/>
    </row>
    <row r="17" spans="1:20" s="298" customFormat="1" ht="50.1" customHeight="1">
      <c r="A17" s="711">
        <v>5</v>
      </c>
      <c r="B17" s="724" t="s">
        <v>215</v>
      </c>
      <c r="C17" s="279">
        <v>1</v>
      </c>
      <c r="D17" s="237" t="s">
        <v>340</v>
      </c>
      <c r="E17" s="238"/>
      <c r="F17" s="239"/>
      <c r="G17" s="306" t="s">
        <v>336</v>
      </c>
      <c r="H17" s="305"/>
      <c r="I17" s="306"/>
      <c r="J17" s="312">
        <v>147.43000000000004</v>
      </c>
      <c r="K17" s="313">
        <v>2.23719723270005E-3</v>
      </c>
      <c r="L17" s="314">
        <v>303.80999999999949</v>
      </c>
      <c r="M17" s="322">
        <f t="shared" ref="M17:M19" si="1">L17*J17</f>
        <v>44790.708299999933</v>
      </c>
      <c r="N17" s="314"/>
      <c r="O17" s="792" t="s">
        <v>730</v>
      </c>
      <c r="P17" s="793"/>
      <c r="S17" s="339"/>
    </row>
    <row r="18" spans="1:20" s="298" customFormat="1" ht="20.100000000000001" customHeight="1">
      <c r="A18" s="712"/>
      <c r="B18" s="725"/>
      <c r="C18" s="279">
        <v>2</v>
      </c>
      <c r="D18" s="237"/>
      <c r="E18" s="238"/>
      <c r="F18" s="239"/>
      <c r="G18" s="350"/>
      <c r="H18" s="305"/>
      <c r="I18" s="306"/>
      <c r="J18" s="312"/>
      <c r="K18" s="313"/>
      <c r="L18" s="314"/>
      <c r="M18" s="322">
        <f t="shared" si="1"/>
        <v>0</v>
      </c>
      <c r="N18" s="314"/>
      <c r="O18" s="729"/>
      <c r="P18" s="730"/>
      <c r="S18" s="289"/>
      <c r="T18" s="289"/>
    </row>
    <row r="19" spans="1:20" ht="20.100000000000001" customHeight="1">
      <c r="A19" s="712"/>
      <c r="B19" s="725"/>
      <c r="C19" s="279">
        <v>3</v>
      </c>
      <c r="D19" s="237"/>
      <c r="E19" s="281"/>
      <c r="F19" s="282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92"/>
      <c r="P19" s="793"/>
    </row>
    <row r="20" spans="1:20" ht="20.100000000000001" customHeight="1">
      <c r="A20" s="712"/>
      <c r="B20" s="725"/>
      <c r="C20" s="279">
        <v>4</v>
      </c>
      <c r="D20" s="280"/>
      <c r="E20" s="281"/>
      <c r="F20" s="282"/>
      <c r="G20" s="283"/>
      <c r="H20" s="284"/>
      <c r="I20" s="285"/>
      <c r="J20" s="286"/>
      <c r="K20" s="287"/>
      <c r="L20" s="288"/>
      <c r="M20" s="332">
        <v>0</v>
      </c>
      <c r="N20" s="288"/>
      <c r="O20" s="299"/>
      <c r="P20" s="300"/>
    </row>
    <row r="21" spans="1:20" ht="20.100000000000001" customHeight="1" thickBot="1">
      <c r="A21" s="712"/>
      <c r="B21" s="725"/>
      <c r="C21" s="279">
        <v>5</v>
      </c>
      <c r="D21" s="290"/>
      <c r="E21" s="291"/>
      <c r="F21" s="292"/>
      <c r="G21" s="283"/>
      <c r="H21" s="284"/>
      <c r="I21" s="285"/>
      <c r="J21" s="293"/>
      <c r="K21" s="264"/>
      <c r="L21" s="294"/>
      <c r="M21" s="333">
        <v>0</v>
      </c>
      <c r="N21" s="288"/>
      <c r="O21" s="301"/>
      <c r="P21" s="302"/>
      <c r="R21" s="343"/>
    </row>
    <row r="22" spans="1:20" ht="15.75" customHeight="1" thickTop="1" thickBot="1">
      <c r="A22" s="713"/>
      <c r="B22" s="726"/>
      <c r="C22" s="721"/>
      <c r="D22" s="722"/>
      <c r="E22" s="722"/>
      <c r="F22" s="722"/>
      <c r="G22" s="722"/>
      <c r="H22" s="722"/>
      <c r="I22" s="723"/>
      <c r="J22" s="295" t="s">
        <v>58</v>
      </c>
      <c r="K22" s="438" t="e">
        <f>M22/'生產管理報表 7-1(月)'!$B$10</f>
        <v>#VALUE!</v>
      </c>
      <c r="L22" s="296" t="s">
        <v>59</v>
      </c>
      <c r="M22" s="334">
        <f>SUM(M17:M21)</f>
        <v>44790.708299999933</v>
      </c>
      <c r="N22" s="698"/>
      <c r="O22" s="699"/>
      <c r="P22" s="700"/>
      <c r="R22" s="339"/>
    </row>
    <row r="23" spans="1:20" ht="15.75" customHeight="1" thickTop="1">
      <c r="M23" s="329"/>
      <c r="R23" s="339"/>
    </row>
    <row r="24" spans="1:20" ht="15.75" customHeight="1">
      <c r="A24" s="701" t="s">
        <v>191</v>
      </c>
      <c r="B24" s="702"/>
      <c r="C24" s="303" t="s">
        <v>47</v>
      </c>
      <c r="D24" s="703" t="s">
        <v>12</v>
      </c>
      <c r="E24" s="704"/>
      <c r="F24" s="705"/>
      <c r="G24" s="706" t="s">
        <v>53</v>
      </c>
      <c r="H24" s="707"/>
      <c r="I24" s="708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333</v>
      </c>
      <c r="O24" s="709" t="s">
        <v>51</v>
      </c>
      <c r="P24" s="710"/>
      <c r="R24" s="339"/>
    </row>
    <row r="25" spans="1:20" ht="60" customHeight="1">
      <c r="A25" s="711">
        <v>6</v>
      </c>
      <c r="B25" s="724" t="s">
        <v>216</v>
      </c>
      <c r="C25" s="279">
        <v>1</v>
      </c>
      <c r="D25" s="237" t="s">
        <v>340</v>
      </c>
      <c r="E25" s="281"/>
      <c r="F25" s="281"/>
      <c r="G25" s="357" t="s">
        <v>534</v>
      </c>
      <c r="H25" s="305"/>
      <c r="I25" s="306"/>
      <c r="J25" s="312">
        <v>39.389999999999993</v>
      </c>
      <c r="K25" s="313">
        <v>1.2078131900386628E-3</v>
      </c>
      <c r="L25" s="314">
        <v>735.85000000000218</v>
      </c>
      <c r="M25" s="322">
        <f t="shared" ref="M25:M28" si="2">L25*J25</f>
        <v>28985.13150000008</v>
      </c>
      <c r="N25" s="288"/>
      <c r="O25" s="788" t="s">
        <v>731</v>
      </c>
      <c r="P25" s="789"/>
    </row>
    <row r="26" spans="1:20" ht="60" customHeight="1">
      <c r="A26" s="712"/>
      <c r="B26" s="725"/>
      <c r="C26" s="279">
        <v>2</v>
      </c>
      <c r="D26" s="237" t="s">
        <v>463</v>
      </c>
      <c r="E26" s="281"/>
      <c r="F26" s="281"/>
      <c r="G26" s="357" t="s">
        <v>461</v>
      </c>
      <c r="H26" s="305"/>
      <c r="I26" s="306"/>
      <c r="J26" s="312">
        <v>407.74000000000007</v>
      </c>
      <c r="K26" s="313">
        <v>2.2290034167953038E-3</v>
      </c>
      <c r="L26" s="314">
        <v>54.880000000000223</v>
      </c>
      <c r="M26" s="322">
        <f t="shared" si="2"/>
        <v>22376.771200000094</v>
      </c>
      <c r="N26" s="288"/>
      <c r="O26" s="790" t="s">
        <v>732</v>
      </c>
      <c r="P26" s="791"/>
    </row>
    <row r="27" spans="1:20" ht="60" customHeight="1">
      <c r="A27" s="712"/>
      <c r="B27" s="725"/>
      <c r="C27" s="279">
        <v>3</v>
      </c>
      <c r="D27" s="237" t="s">
        <v>630</v>
      </c>
      <c r="E27" s="281"/>
      <c r="F27" s="281"/>
      <c r="G27" s="357" t="s">
        <v>631</v>
      </c>
      <c r="H27" s="305"/>
      <c r="I27" s="306"/>
      <c r="J27" s="312">
        <v>43.889999999999993</v>
      </c>
      <c r="K27" s="313">
        <v>6.7178272876674975E-3</v>
      </c>
      <c r="L27" s="314">
        <v>456.75999999999976</v>
      </c>
      <c r="M27" s="322">
        <f t="shared" si="2"/>
        <v>20047.196399999986</v>
      </c>
      <c r="N27" s="288"/>
      <c r="O27" s="788" t="s">
        <v>733</v>
      </c>
      <c r="P27" s="789"/>
    </row>
    <row r="28" spans="1:20" ht="60" customHeight="1">
      <c r="A28" s="712"/>
      <c r="B28" s="725"/>
      <c r="C28" s="279">
        <v>4</v>
      </c>
      <c r="D28" s="237" t="s">
        <v>614</v>
      </c>
      <c r="E28" s="281"/>
      <c r="F28" s="281"/>
      <c r="G28" s="357" t="s">
        <v>619</v>
      </c>
      <c r="H28" s="305"/>
      <c r="I28" s="306"/>
      <c r="J28" s="312">
        <v>39.389999999999993</v>
      </c>
      <c r="K28" s="313">
        <v>4.7086299203464264E-3</v>
      </c>
      <c r="L28" s="314">
        <v>473.11999999999898</v>
      </c>
      <c r="M28" s="322">
        <f t="shared" si="2"/>
        <v>18636.196799999958</v>
      </c>
      <c r="N28" s="288"/>
      <c r="O28" s="788" t="s">
        <v>734</v>
      </c>
      <c r="P28" s="789"/>
    </row>
    <row r="29" spans="1:20" ht="60" customHeight="1" thickBot="1">
      <c r="A29" s="712"/>
      <c r="B29" s="725"/>
      <c r="C29" s="279">
        <v>5</v>
      </c>
      <c r="D29" s="244" t="s">
        <v>650</v>
      </c>
      <c r="E29" s="291"/>
      <c r="F29" s="291"/>
      <c r="G29" s="357" t="s">
        <v>652</v>
      </c>
      <c r="H29" s="305"/>
      <c r="I29" s="306"/>
      <c r="J29" s="316">
        <v>31.59</v>
      </c>
      <c r="K29" s="264">
        <v>5.1155275168430353E-3</v>
      </c>
      <c r="L29" s="317">
        <v>575.02700000000004</v>
      </c>
      <c r="M29" s="322">
        <f>L29*J29</f>
        <v>18165.102930000001</v>
      </c>
      <c r="N29" s="288"/>
      <c r="O29" s="790" t="s">
        <v>729</v>
      </c>
      <c r="P29" s="791"/>
    </row>
    <row r="30" spans="1:20" ht="15.75" customHeight="1" thickTop="1" thickBot="1">
      <c r="A30" s="713"/>
      <c r="B30" s="726"/>
      <c r="C30" s="721"/>
      <c r="D30" s="722"/>
      <c r="E30" s="722"/>
      <c r="F30" s="722"/>
      <c r="G30" s="722"/>
      <c r="H30" s="722"/>
      <c r="I30" s="723"/>
      <c r="J30" s="295" t="s">
        <v>58</v>
      </c>
      <c r="K30" s="438" t="e">
        <f>M30/'生產管理報表 7-1(月)'!$B$10</f>
        <v>#VALUE!</v>
      </c>
      <c r="L30" s="296" t="s">
        <v>59</v>
      </c>
      <c r="M30" s="334">
        <f>SUM(M25:M29)</f>
        <v>108210.39883000014</v>
      </c>
      <c r="N30" s="698"/>
      <c r="O30" s="699"/>
      <c r="P30" s="700"/>
    </row>
    <row r="31" spans="1:20" ht="15.75" customHeight="1" thickTop="1">
      <c r="M31" s="329"/>
    </row>
    <row r="32" spans="1:20" ht="15.75" customHeight="1">
      <c r="A32" s="701" t="s">
        <v>191</v>
      </c>
      <c r="B32" s="702"/>
      <c r="C32" s="303" t="s">
        <v>47</v>
      </c>
      <c r="D32" s="703" t="s">
        <v>12</v>
      </c>
      <c r="E32" s="704"/>
      <c r="F32" s="705"/>
      <c r="G32" s="706" t="s">
        <v>53</v>
      </c>
      <c r="H32" s="707"/>
      <c r="I32" s="708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333</v>
      </c>
      <c r="O32" s="709" t="s">
        <v>51</v>
      </c>
      <c r="P32" s="710"/>
    </row>
    <row r="33" spans="1:16" ht="15.75" customHeight="1">
      <c r="A33" s="711">
        <v>7</v>
      </c>
      <c r="B33" s="714" t="s">
        <v>249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717"/>
      <c r="P33" s="718"/>
    </row>
    <row r="34" spans="1:16" ht="15.75" customHeight="1">
      <c r="A34" s="712"/>
      <c r="B34" s="715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719"/>
      <c r="P34" s="720"/>
    </row>
    <row r="35" spans="1:16" ht="15.75" customHeight="1">
      <c r="A35" s="712"/>
      <c r="B35" s="715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719"/>
      <c r="P35" s="720"/>
    </row>
    <row r="36" spans="1:16" ht="15.75" customHeight="1">
      <c r="A36" s="712"/>
      <c r="B36" s="715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</row>
    <row r="37" spans="1:16" ht="15.75" customHeight="1" thickBot="1">
      <c r="A37" s="712"/>
      <c r="B37" s="715"/>
      <c r="C37" s="279">
        <v>5</v>
      </c>
      <c r="D37" s="290"/>
      <c r="E37" s="291"/>
      <c r="F37" s="292"/>
      <c r="G37" s="283"/>
      <c r="H37" s="284"/>
      <c r="I37" s="285"/>
      <c r="J37" s="293"/>
      <c r="K37" s="264"/>
      <c r="L37" s="294"/>
      <c r="M37" s="333">
        <v>0</v>
      </c>
      <c r="N37" s="288"/>
      <c r="O37" s="301"/>
      <c r="P37" s="302"/>
    </row>
    <row r="38" spans="1:16" ht="15.75" customHeight="1" thickTop="1" thickBot="1">
      <c r="A38" s="713"/>
      <c r="B38" s="716"/>
      <c r="C38" s="721"/>
      <c r="D38" s="722"/>
      <c r="E38" s="722"/>
      <c r="F38" s="722"/>
      <c r="G38" s="722"/>
      <c r="H38" s="722"/>
      <c r="I38" s="723"/>
      <c r="J38" s="295" t="s">
        <v>58</v>
      </c>
      <c r="K38" s="438" t="e">
        <f>M38/'生產管理報表 7-1(月)'!$B$10</f>
        <v>#VALUE!</v>
      </c>
      <c r="L38" s="296" t="s">
        <v>59</v>
      </c>
      <c r="M38" s="334">
        <f>SUM(M33:M37)</f>
        <v>0</v>
      </c>
      <c r="N38" s="698"/>
      <c r="O38" s="699"/>
      <c r="P38" s="700"/>
    </row>
    <row r="39" spans="1:16" ht="15.75" customHeight="1" thickTop="1"/>
    <row r="44" spans="1:16" ht="15.75" customHeight="1">
      <c r="O44" s="289" ph="1"/>
      <c r="P44" s="289" ph="1"/>
    </row>
    <row r="46" spans="1:16" ht="15.75" customHeight="1">
      <c r="O46" s="289" ph="1"/>
      <c r="P46" s="289" ph="1"/>
    </row>
    <row r="47" spans="1:16" ht="15.75" customHeight="1">
      <c r="O47" s="289" ph="1"/>
      <c r="P47" s="289" ph="1"/>
    </row>
    <row r="117" spans="15:16" ht="15.75" customHeight="1">
      <c r="O117" s="289" ph="1"/>
      <c r="P117" s="289" ph="1"/>
    </row>
    <row r="119" spans="15:16" ht="15.75" customHeight="1">
      <c r="O119" s="289" ph="1"/>
      <c r="P119" s="289" ph="1"/>
    </row>
    <row r="120" spans="15:16" ht="15.75" customHeight="1">
      <c r="O120" s="289" ph="1"/>
      <c r="P120" s="289" ph="1"/>
    </row>
    <row r="153" spans="15:16" ht="15.75" customHeight="1">
      <c r="O153" s="289" ph="1"/>
      <c r="P153" s="289" ph="1"/>
    </row>
    <row r="155" spans="15:16" ht="15.75" customHeight="1">
      <c r="O155" s="289" ph="1"/>
      <c r="P155" s="289" ph="1"/>
    </row>
    <row r="156" spans="15:16" ht="15.75" customHeight="1">
      <c r="O156" s="289" ph="1"/>
      <c r="P156" s="289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92D050"/>
    <outlinePr summaryBelow="0" summaryRight="0"/>
  </sheetPr>
  <dimension ref="A1:N37"/>
  <sheetViews>
    <sheetView tabSelected="1" view="pageBreakPreview" topLeftCell="A19" zoomScale="115" zoomScaleNormal="60" zoomScaleSheetLayoutView="115" workbookViewId="0">
      <selection activeCell="P34" sqref="P34"/>
    </sheetView>
  </sheetViews>
  <sheetFormatPr defaultColWidth="12.5703125" defaultRowHeight="15.75" customHeight="1"/>
  <cols>
    <col min="1" max="1" width="14.140625" style="135" customWidth="1"/>
    <col min="2" max="2" width="14.85546875" style="135" customWidth="1"/>
    <col min="3" max="3" width="12.85546875" style="135" customWidth="1"/>
    <col min="4" max="4" width="2.5703125" style="135" customWidth="1"/>
    <col min="5" max="5" width="7.5703125" style="135" customWidth="1"/>
    <col min="6" max="6" width="12.85546875" style="135" customWidth="1"/>
    <col min="7" max="7" width="9.42578125" style="135" customWidth="1"/>
    <col min="8" max="8" width="12.85546875" style="135" customWidth="1"/>
    <col min="9" max="9" width="9.42578125" style="135" customWidth="1"/>
    <col min="10" max="10" width="12.85546875" style="135" customWidth="1"/>
    <col min="11" max="11" width="9.42578125" style="135" customWidth="1"/>
    <col min="12" max="12" width="12.85546875" style="135" customWidth="1"/>
    <col min="13" max="13" width="9.42578125" style="135" customWidth="1"/>
    <col min="14" max="16384" width="12.5703125" style="135"/>
  </cols>
  <sheetData>
    <row r="1" spans="1:14" ht="15.75" customHeight="1">
      <c r="A1" s="665" t="s">
        <v>361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</row>
    <row r="2" spans="1:14" s="136" customFormat="1" ht="15.75" customHeight="1">
      <c r="A2" s="665"/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</row>
    <row r="3" spans="1:14" ht="15.75" customHeight="1">
      <c r="A3" s="666" t="s">
        <v>450</v>
      </c>
      <c r="B3" s="666"/>
      <c r="C3" s="666"/>
      <c r="D3" s="666"/>
      <c r="E3" s="666"/>
      <c r="F3" s="666"/>
      <c r="G3" s="666"/>
      <c r="H3" s="666"/>
      <c r="I3" s="666"/>
      <c r="J3" s="666"/>
      <c r="K3" s="666"/>
      <c r="L3" s="666"/>
      <c r="M3" s="666"/>
    </row>
    <row r="4" spans="1:14" s="136" customFormat="1" ht="15.75" customHeight="1">
      <c r="A4" s="666"/>
      <c r="B4" s="666"/>
      <c r="C4" s="666"/>
      <c r="D4" s="666"/>
      <c r="E4" s="666"/>
      <c r="F4" s="666"/>
      <c r="G4" s="666"/>
      <c r="H4" s="666"/>
      <c r="I4" s="666"/>
      <c r="J4" s="666"/>
      <c r="K4" s="666"/>
      <c r="L4" s="666"/>
      <c r="M4" s="666"/>
    </row>
    <row r="5" spans="1:14" ht="15.75" customHeight="1">
      <c r="A5" s="225" t="s">
        <v>421</v>
      </c>
      <c r="B5" s="226">
        <v>46397.166829999995</v>
      </c>
      <c r="E5" s="806" t="s">
        <v>451</v>
      </c>
      <c r="F5" s="807"/>
      <c r="G5" s="807"/>
      <c r="H5" s="807"/>
      <c r="I5" s="807"/>
      <c r="J5" s="807"/>
      <c r="K5" s="807"/>
      <c r="L5" s="807"/>
      <c r="M5" s="807"/>
      <c r="N5" s="448"/>
    </row>
    <row r="6" spans="1:14" ht="15.75" customHeight="1">
      <c r="A6" s="808" t="s">
        <v>197</v>
      </c>
      <c r="B6" s="668" t="s">
        <v>10</v>
      </c>
      <c r="C6" s="668"/>
      <c r="D6" s="669"/>
      <c r="E6" s="667" t="s">
        <v>197</v>
      </c>
      <c r="F6" s="671">
        <v>1</v>
      </c>
      <c r="G6" s="671"/>
      <c r="H6" s="671">
        <v>2</v>
      </c>
      <c r="I6" s="671"/>
      <c r="J6" s="671">
        <v>3</v>
      </c>
      <c r="K6" s="671"/>
      <c r="L6" s="671">
        <v>4</v>
      </c>
      <c r="M6" s="671"/>
    </row>
    <row r="7" spans="1:14" ht="31.35" customHeight="1">
      <c r="A7" s="808"/>
      <c r="B7" s="668"/>
      <c r="C7" s="668"/>
      <c r="D7" s="670"/>
      <c r="E7" s="667"/>
      <c r="F7" s="673" t="s">
        <v>452</v>
      </c>
      <c r="G7" s="673"/>
      <c r="H7" s="673" t="s">
        <v>240</v>
      </c>
      <c r="I7" s="673"/>
      <c r="J7" s="673" t="s">
        <v>166</v>
      </c>
      <c r="K7" s="673"/>
      <c r="L7" s="673" t="s">
        <v>428</v>
      </c>
      <c r="M7" s="673"/>
    </row>
    <row r="8" spans="1:14" ht="15.75" customHeight="1">
      <c r="A8" s="808"/>
      <c r="B8" s="154" t="s">
        <v>11</v>
      </c>
      <c r="C8" s="154" t="s">
        <v>41</v>
      </c>
      <c r="D8" s="670"/>
      <c r="E8" s="667"/>
      <c r="F8" s="154" t="s">
        <v>11</v>
      </c>
      <c r="G8" s="154" t="s">
        <v>41</v>
      </c>
      <c r="H8" s="154" t="s">
        <v>11</v>
      </c>
      <c r="I8" s="154" t="s">
        <v>41</v>
      </c>
      <c r="J8" s="154" t="s">
        <v>11</v>
      </c>
      <c r="K8" s="154" t="s">
        <v>41</v>
      </c>
      <c r="L8" s="154" t="s">
        <v>11</v>
      </c>
      <c r="M8" s="154" t="s">
        <v>41</v>
      </c>
    </row>
    <row r="9" spans="1:14" ht="19.350000000000001" customHeight="1">
      <c r="A9" s="227" t="s">
        <v>242</v>
      </c>
      <c r="B9" s="139">
        <f>日別報廢率總表!I12</f>
        <v>93200.448800000013</v>
      </c>
      <c r="C9" s="229">
        <f>B9/($B$5*1000)</f>
        <v>2.0087530159220287E-3</v>
      </c>
      <c r="D9" s="670"/>
      <c r="E9" s="138" t="s">
        <v>242</v>
      </c>
      <c r="F9" s="141">
        <f>'報廢20大－原因別分析'!AG120</f>
        <v>11669.386100000003</v>
      </c>
      <c r="G9" s="142">
        <f>'報廢20大－原因別分析'!AG121</f>
        <v>0.55000000000000004</v>
      </c>
      <c r="H9" s="141">
        <f>'報廢20大－原因別分析'!AH120</f>
        <v>0</v>
      </c>
      <c r="I9" s="142">
        <f>'報廢20大－原因別分析'!AH121</f>
        <v>0</v>
      </c>
      <c r="J9" s="141">
        <f>'報廢20大－原因別分析'!AI120</f>
        <v>6221.9974000000002</v>
      </c>
      <c r="K9" s="142">
        <f>'報廢20大－原因別分析'!AI121</f>
        <v>0.2</v>
      </c>
      <c r="L9" s="141">
        <f>'報廢20大－原因別分析'!AJ120</f>
        <v>0</v>
      </c>
      <c r="M9" s="142">
        <f>'報廢20大－原因別分析'!AJ121</f>
        <v>0</v>
      </c>
    </row>
    <row r="10" spans="1:14" ht="19.350000000000001" customHeight="1">
      <c r="A10" s="228" t="s">
        <v>243</v>
      </c>
      <c r="B10" s="144">
        <f>日別報廢率總表!J12</f>
        <v>279158.78502000007</v>
      </c>
      <c r="C10" s="140">
        <f>B10/($B$5*1000)</f>
        <v>6.0167205045696557E-3</v>
      </c>
      <c r="D10" s="670"/>
      <c r="E10" s="143" t="s">
        <v>243</v>
      </c>
      <c r="F10" s="141">
        <f>'超用20大－原因別分析'!AG120</f>
        <v>0</v>
      </c>
      <c r="G10" s="142">
        <f>'超用20大－原因別分析'!AG121</f>
        <v>0</v>
      </c>
      <c r="H10" s="141">
        <f>'超用20大－原因別分析'!AH120</f>
        <v>0</v>
      </c>
      <c r="I10" s="142">
        <f>'超用20大－原因別分析'!AH121</f>
        <v>0</v>
      </c>
      <c r="J10" s="141">
        <f>'超用20大－原因別分析'!AI120</f>
        <v>0</v>
      </c>
      <c r="K10" s="142">
        <f>'超用20大－原因別分析'!AI121</f>
        <v>0</v>
      </c>
      <c r="L10" s="141">
        <f>'超用20大－原因別分析'!AJ120</f>
        <v>57234.067640000016</v>
      </c>
      <c r="M10" s="142">
        <f>'超用20大－原因別分析'!AJ121</f>
        <v>0.6</v>
      </c>
    </row>
    <row r="11" spans="1:14" ht="15.75" customHeight="1">
      <c r="A11" s="224" t="s">
        <v>418</v>
      </c>
      <c r="B11" s="381" t="s">
        <v>706</v>
      </c>
      <c r="C11" s="223"/>
      <c r="D11" s="670"/>
      <c r="E11" s="667" t="s">
        <v>197</v>
      </c>
      <c r="F11" s="766">
        <v>5</v>
      </c>
      <c r="G11" s="767"/>
      <c r="H11" s="766">
        <v>6</v>
      </c>
      <c r="I11" s="767"/>
      <c r="J11" s="766">
        <v>7</v>
      </c>
      <c r="K11" s="767"/>
      <c r="L11" s="800"/>
      <c r="M11" s="801"/>
    </row>
    <row r="12" spans="1:14" ht="31.35" customHeight="1">
      <c r="A12" s="135" t="s">
        <v>419</v>
      </c>
      <c r="B12" s="381" t="s">
        <v>706</v>
      </c>
      <c r="C12" s="223"/>
      <c r="D12" s="670"/>
      <c r="E12" s="667"/>
      <c r="F12" s="802" t="s">
        <v>189</v>
      </c>
      <c r="G12" s="803"/>
      <c r="H12" s="802" t="s">
        <v>167</v>
      </c>
      <c r="I12" s="803"/>
      <c r="J12" s="802" t="s">
        <v>190</v>
      </c>
      <c r="K12" s="803"/>
      <c r="L12" s="804"/>
      <c r="M12" s="805"/>
    </row>
    <row r="13" spans="1:14" ht="15.75" customHeight="1">
      <c r="D13" s="670"/>
      <c r="E13" s="667"/>
      <c r="F13" s="154" t="s">
        <v>11</v>
      </c>
      <c r="G13" s="154" t="s">
        <v>41</v>
      </c>
      <c r="H13" s="154" t="s">
        <v>11</v>
      </c>
      <c r="I13" s="154" t="s">
        <v>41</v>
      </c>
      <c r="J13" s="154" t="s">
        <v>11</v>
      </c>
      <c r="K13" s="154" t="s">
        <v>41</v>
      </c>
      <c r="L13" s="154"/>
      <c r="M13" s="154"/>
    </row>
    <row r="14" spans="1:14" ht="19.350000000000001" customHeight="1">
      <c r="D14" s="670"/>
      <c r="E14" s="138" t="s">
        <v>242</v>
      </c>
      <c r="F14" s="141">
        <f>'報廢20大－原因別分析'!AK120</f>
        <v>0</v>
      </c>
      <c r="G14" s="142">
        <f>'報廢20大－原因別分析'!AK121</f>
        <v>0</v>
      </c>
      <c r="H14" s="141">
        <f>'報廢20大－原因別分析'!AL120</f>
        <v>7207.4537999999993</v>
      </c>
      <c r="I14" s="142">
        <f>'報廢20大－原因別分析'!AL121</f>
        <v>0.25</v>
      </c>
      <c r="J14" s="141">
        <f>'報廢20大－原因別分析'!AM120</f>
        <v>0</v>
      </c>
      <c r="K14" s="142">
        <f>'報廢20大－原因別分析'!AM121</f>
        <v>0</v>
      </c>
      <c r="L14" s="141"/>
      <c r="M14" s="142"/>
    </row>
    <row r="15" spans="1:14" ht="19.350000000000001" customHeight="1">
      <c r="D15" s="670"/>
      <c r="E15" s="143" t="s">
        <v>243</v>
      </c>
      <c r="F15" s="141">
        <f>'超用20大－原因別分析'!AK120</f>
        <v>9270.3984000000182</v>
      </c>
      <c r="G15" s="142">
        <f>'超用20大－原因別分析'!AK121</f>
        <v>0.05</v>
      </c>
      <c r="H15" s="141">
        <f>'超用20大－原因別分析'!AL120</f>
        <v>34878.453199999967</v>
      </c>
      <c r="I15" s="142">
        <f>'超用20大－原因別分析'!AL121</f>
        <v>0.35</v>
      </c>
      <c r="J15" s="141">
        <f>'超用20大－原因別分析'!AM120</f>
        <v>0</v>
      </c>
      <c r="K15" s="142">
        <f>'超用20大－原因別分析'!AM121</f>
        <v>0</v>
      </c>
      <c r="L15" s="141"/>
      <c r="M15" s="142"/>
    </row>
    <row r="16" spans="1:14" ht="15.75" customHeight="1">
      <c r="A16" s="225" t="s">
        <v>421</v>
      </c>
      <c r="B16" s="226">
        <v>48409.401949999999</v>
      </c>
      <c r="E16" s="806" t="s">
        <v>451</v>
      </c>
      <c r="F16" s="807"/>
      <c r="G16" s="807"/>
      <c r="H16" s="807"/>
      <c r="I16" s="807"/>
      <c r="J16" s="807"/>
      <c r="K16" s="807"/>
      <c r="L16" s="807"/>
      <c r="M16" s="807"/>
      <c r="N16" s="448"/>
    </row>
    <row r="17" spans="1:14" ht="15.75" customHeight="1">
      <c r="A17" s="808" t="s">
        <v>197</v>
      </c>
      <c r="B17" s="668" t="s">
        <v>10</v>
      </c>
      <c r="C17" s="668"/>
      <c r="D17" s="669"/>
      <c r="E17" s="667" t="s">
        <v>197</v>
      </c>
      <c r="F17" s="671">
        <v>1</v>
      </c>
      <c r="G17" s="671"/>
      <c r="H17" s="671">
        <v>2</v>
      </c>
      <c r="I17" s="671"/>
      <c r="J17" s="671">
        <v>3</v>
      </c>
      <c r="K17" s="671"/>
      <c r="L17" s="671">
        <v>4</v>
      </c>
      <c r="M17" s="671"/>
    </row>
    <row r="18" spans="1:14" ht="31.35" customHeight="1">
      <c r="A18" s="808"/>
      <c r="B18" s="668"/>
      <c r="C18" s="668"/>
      <c r="D18" s="670"/>
      <c r="E18" s="667"/>
      <c r="F18" s="673" t="s">
        <v>452</v>
      </c>
      <c r="G18" s="673"/>
      <c r="H18" s="673" t="s">
        <v>240</v>
      </c>
      <c r="I18" s="673"/>
      <c r="J18" s="673" t="s">
        <v>166</v>
      </c>
      <c r="K18" s="673"/>
      <c r="L18" s="673" t="s">
        <v>428</v>
      </c>
      <c r="M18" s="673"/>
    </row>
    <row r="19" spans="1:14" ht="15.75" customHeight="1">
      <c r="A19" s="808"/>
      <c r="B19" s="154" t="s">
        <v>11</v>
      </c>
      <c r="C19" s="154" t="s">
        <v>41</v>
      </c>
      <c r="D19" s="670"/>
      <c r="E19" s="667"/>
      <c r="F19" s="154" t="s">
        <v>11</v>
      </c>
      <c r="G19" s="154" t="s">
        <v>41</v>
      </c>
      <c r="H19" s="154" t="s">
        <v>11</v>
      </c>
      <c r="I19" s="154" t="s">
        <v>41</v>
      </c>
      <c r="J19" s="154" t="s">
        <v>11</v>
      </c>
      <c r="K19" s="154" t="s">
        <v>41</v>
      </c>
      <c r="L19" s="154" t="s">
        <v>11</v>
      </c>
      <c r="M19" s="154" t="s">
        <v>41</v>
      </c>
    </row>
    <row r="20" spans="1:14" ht="19.350000000000001" customHeight="1">
      <c r="A20" s="227" t="s">
        <v>242</v>
      </c>
      <c r="B20" s="139">
        <f>日別報廢率總表!I19</f>
        <v>97471.614600000001</v>
      </c>
      <c r="C20" s="229">
        <f>B20/($B$16*1000)</f>
        <v>2.013485204809476E-3</v>
      </c>
      <c r="D20" s="670"/>
      <c r="E20" s="138" t="s">
        <v>242</v>
      </c>
      <c r="F20" s="141">
        <f>'報廢20大－原因別分析'!AG142</f>
        <v>7386.9941000000008</v>
      </c>
      <c r="G20" s="142">
        <f>'報廢20大－原因別分析'!AG143</f>
        <v>0.35</v>
      </c>
      <c r="H20" s="141">
        <f>'報廢20大－原因別分析'!AH142</f>
        <v>0</v>
      </c>
      <c r="I20" s="142">
        <f>'報廢20大－原因別分析'!AH143</f>
        <v>0</v>
      </c>
      <c r="J20" s="141">
        <f>'報廢20大－原因別分析'!AI142</f>
        <v>9438.261599999998</v>
      </c>
      <c r="K20" s="142">
        <f>'報廢20大－原因別分析'!AI143</f>
        <v>0.35</v>
      </c>
      <c r="L20" s="141">
        <f>'報廢20大－原因別分析'!AJ142</f>
        <v>0</v>
      </c>
      <c r="M20" s="142">
        <f>'報廢20大－原因別分析'!AJ143</f>
        <v>0</v>
      </c>
    </row>
    <row r="21" spans="1:14" ht="19.350000000000001" customHeight="1">
      <c r="A21" s="228" t="s">
        <v>243</v>
      </c>
      <c r="B21" s="144">
        <f>日別報廢率總表!J19</f>
        <v>292062.31539999996</v>
      </c>
      <c r="C21" s="140">
        <f>B21/($B$16*1000)</f>
        <v>6.0331733844111238E-3</v>
      </c>
      <c r="D21" s="670"/>
      <c r="E21" s="143" t="s">
        <v>243</v>
      </c>
      <c r="F21" s="141">
        <f>'超用20大－原因別分析'!AG142</f>
        <v>0</v>
      </c>
      <c r="G21" s="142">
        <f>'超用20大－原因別分析'!AG143</f>
        <v>0</v>
      </c>
      <c r="H21" s="141">
        <f>'超用20大－原因別分析'!AH142</f>
        <v>0</v>
      </c>
      <c r="I21" s="142">
        <f>'超用20大－原因別分析'!AH143</f>
        <v>0</v>
      </c>
      <c r="J21" s="141">
        <f>'超用20大－原因別分析'!AI142</f>
        <v>0</v>
      </c>
      <c r="K21" s="142">
        <f>'超用20大－原因別分析'!AI143</f>
        <v>0</v>
      </c>
      <c r="L21" s="141">
        <f>'超用20大－原因別分析'!AJ142</f>
        <v>59297.47359999999</v>
      </c>
      <c r="M21" s="142">
        <f>'超用20大－原因別分析'!AJ143</f>
        <v>0.6</v>
      </c>
    </row>
    <row r="22" spans="1:14" ht="15.75" customHeight="1">
      <c r="A22" s="224" t="s">
        <v>418</v>
      </c>
      <c r="B22" s="381" t="s">
        <v>777</v>
      </c>
      <c r="C22" s="223"/>
      <c r="D22" s="670"/>
      <c r="E22" s="667" t="s">
        <v>197</v>
      </c>
      <c r="F22" s="766">
        <v>5</v>
      </c>
      <c r="G22" s="767"/>
      <c r="H22" s="766">
        <v>6</v>
      </c>
      <c r="I22" s="767"/>
      <c r="J22" s="766">
        <v>7</v>
      </c>
      <c r="K22" s="767"/>
      <c r="L22" s="800"/>
      <c r="M22" s="801"/>
    </row>
    <row r="23" spans="1:14" ht="31.35" customHeight="1">
      <c r="A23" s="135" t="s">
        <v>419</v>
      </c>
      <c r="B23" s="381" t="s">
        <v>777</v>
      </c>
      <c r="C23" s="223"/>
      <c r="D23" s="670"/>
      <c r="E23" s="667"/>
      <c r="F23" s="802" t="s">
        <v>189</v>
      </c>
      <c r="G23" s="803"/>
      <c r="H23" s="802" t="s">
        <v>167</v>
      </c>
      <c r="I23" s="803"/>
      <c r="J23" s="802" t="s">
        <v>190</v>
      </c>
      <c r="K23" s="803"/>
      <c r="L23" s="804"/>
      <c r="M23" s="805"/>
    </row>
    <row r="24" spans="1:14" ht="15.75" customHeight="1">
      <c r="D24" s="670"/>
      <c r="E24" s="667"/>
      <c r="F24" s="154" t="s">
        <v>11</v>
      </c>
      <c r="G24" s="154" t="s">
        <v>41</v>
      </c>
      <c r="H24" s="154" t="s">
        <v>11</v>
      </c>
      <c r="I24" s="154" t="s">
        <v>41</v>
      </c>
      <c r="J24" s="154" t="s">
        <v>11</v>
      </c>
      <c r="K24" s="154" t="s">
        <v>41</v>
      </c>
      <c r="L24" s="154"/>
      <c r="M24" s="154"/>
    </row>
    <row r="25" spans="1:14" ht="19.350000000000001" customHeight="1">
      <c r="D25" s="670"/>
      <c r="E25" s="138" t="s">
        <v>242</v>
      </c>
      <c r="F25" s="141">
        <f>'報廢20大－原因別分析'!AK142</f>
        <v>1637.9473000000003</v>
      </c>
      <c r="G25" s="142">
        <f>'報廢20大－原因別分析'!AK143</f>
        <v>0.05</v>
      </c>
      <c r="H25" s="141">
        <f>'報廢20大－原因別分析'!AL142</f>
        <v>7115.5838000000003</v>
      </c>
      <c r="I25" s="142">
        <f>'報廢20大－原因別分析'!AL143</f>
        <v>0.25</v>
      </c>
      <c r="J25" s="141">
        <f>'報廢20大－原因別分析'!AM142</f>
        <v>0</v>
      </c>
      <c r="K25" s="142">
        <f>'報廢20大－原因別分析'!AM143</f>
        <v>0</v>
      </c>
      <c r="L25" s="141"/>
      <c r="M25" s="142"/>
    </row>
    <row r="26" spans="1:14" ht="19.350000000000001" customHeight="1">
      <c r="D26" s="670"/>
      <c r="E26" s="143" t="s">
        <v>243</v>
      </c>
      <c r="F26" s="141">
        <f>'超用20大－原因別分析'!AK142</f>
        <v>11128.016399999939</v>
      </c>
      <c r="G26" s="142">
        <f>'超用20大－原因別分析'!AK143</f>
        <v>0.05</v>
      </c>
      <c r="H26" s="141">
        <f>'超用20大－原因別分析'!AL142</f>
        <v>39880.301799999957</v>
      </c>
      <c r="I26" s="142">
        <f>'超用20大－原因別分析'!AL143</f>
        <v>0.35</v>
      </c>
      <c r="J26" s="141">
        <f>'超用20大－原因別分析'!AM142</f>
        <v>0</v>
      </c>
      <c r="K26" s="142">
        <f>'超用20大－原因別分析'!AM143</f>
        <v>0</v>
      </c>
      <c r="L26" s="141"/>
      <c r="M26" s="142"/>
    </row>
    <row r="27" spans="1:14" ht="15.75" customHeight="1">
      <c r="A27" s="225" t="s">
        <v>421</v>
      </c>
      <c r="B27" s="226">
        <f>'生產管理報表(週) '!B6</f>
        <v>43787.408530000001</v>
      </c>
      <c r="E27" s="806" t="s">
        <v>451</v>
      </c>
      <c r="F27" s="807"/>
      <c r="G27" s="807"/>
      <c r="H27" s="807"/>
      <c r="I27" s="807"/>
      <c r="J27" s="807"/>
      <c r="K27" s="807"/>
      <c r="L27" s="807"/>
      <c r="M27" s="807"/>
      <c r="N27" s="448"/>
    </row>
    <row r="28" spans="1:14" ht="15.75" customHeight="1">
      <c r="A28" s="808" t="s">
        <v>197</v>
      </c>
      <c r="B28" s="668" t="s">
        <v>10</v>
      </c>
      <c r="C28" s="668"/>
      <c r="D28" s="669"/>
      <c r="E28" s="667" t="s">
        <v>197</v>
      </c>
      <c r="F28" s="671">
        <v>1</v>
      </c>
      <c r="G28" s="671"/>
      <c r="H28" s="671">
        <v>2</v>
      </c>
      <c r="I28" s="671"/>
      <c r="J28" s="671">
        <v>3</v>
      </c>
      <c r="K28" s="671"/>
      <c r="L28" s="671">
        <v>4</v>
      </c>
      <c r="M28" s="671"/>
    </row>
    <row r="29" spans="1:14" ht="31.35" customHeight="1">
      <c r="A29" s="808"/>
      <c r="B29" s="668"/>
      <c r="C29" s="668"/>
      <c r="D29" s="670"/>
      <c r="E29" s="667"/>
      <c r="F29" s="673" t="s">
        <v>452</v>
      </c>
      <c r="G29" s="673"/>
      <c r="H29" s="673" t="s">
        <v>240</v>
      </c>
      <c r="I29" s="673"/>
      <c r="J29" s="673" t="s">
        <v>166</v>
      </c>
      <c r="K29" s="673"/>
      <c r="L29" s="673" t="s">
        <v>428</v>
      </c>
      <c r="M29" s="673"/>
    </row>
    <row r="30" spans="1:14" ht="15.75" customHeight="1">
      <c r="A30" s="808"/>
      <c r="B30" s="154" t="s">
        <v>11</v>
      </c>
      <c r="C30" s="154" t="s">
        <v>41</v>
      </c>
      <c r="D30" s="670"/>
      <c r="E30" s="667"/>
      <c r="F30" s="154" t="s">
        <v>11</v>
      </c>
      <c r="G30" s="154" t="s">
        <v>41</v>
      </c>
      <c r="H30" s="154" t="s">
        <v>11</v>
      </c>
      <c r="I30" s="154" t="s">
        <v>41</v>
      </c>
      <c r="J30" s="154" t="s">
        <v>11</v>
      </c>
      <c r="K30" s="154" t="s">
        <v>41</v>
      </c>
      <c r="L30" s="154" t="s">
        <v>11</v>
      </c>
      <c r="M30" s="154" t="s">
        <v>41</v>
      </c>
    </row>
    <row r="31" spans="1:14" ht="19.350000000000001" customHeight="1">
      <c r="A31" s="227" t="s">
        <v>242</v>
      </c>
      <c r="B31" s="139">
        <f>日別報廢率總表!I26</f>
        <v>87758.882100000003</v>
      </c>
      <c r="C31" s="229">
        <f>B31/($B$27*1000)</f>
        <v>2.0042036066115648E-3</v>
      </c>
      <c r="D31" s="670"/>
      <c r="E31" s="138" t="s">
        <v>242</v>
      </c>
      <c r="F31" s="141">
        <f>'報廢20大－原因別分析'!AG164</f>
        <v>9777.4308000000037</v>
      </c>
      <c r="G31" s="142">
        <f>'報廢20大－原因別分析'!AG165</f>
        <v>0.45</v>
      </c>
      <c r="H31" s="141">
        <f>'報廢20大－原因別分析'!AH164</f>
        <v>0</v>
      </c>
      <c r="I31" s="142">
        <f>'報廢20大－原因別分析'!AH165</f>
        <v>0</v>
      </c>
      <c r="J31" s="141">
        <f>'報廢20大－原因別分析'!AI164</f>
        <v>10109.269</v>
      </c>
      <c r="K31" s="142">
        <f>'報廢20大－原因別分析'!AI165</f>
        <v>0.3</v>
      </c>
      <c r="L31" s="141">
        <f>'報廢20大－原因別分析'!AJ164</f>
        <v>0</v>
      </c>
      <c r="M31" s="142">
        <f>'報廢20大－原因別分析'!AJ165</f>
        <v>0</v>
      </c>
    </row>
    <row r="32" spans="1:14" ht="19.350000000000001" customHeight="1">
      <c r="A32" s="228" t="s">
        <v>243</v>
      </c>
      <c r="B32" s="144">
        <f>日別報廢率總表!J26</f>
        <v>263344.06062999996</v>
      </c>
      <c r="C32" s="140">
        <f>B32/($B$27*1000)</f>
        <v>6.0141504023828096E-3</v>
      </c>
      <c r="D32" s="670"/>
      <c r="E32" s="143" t="s">
        <v>243</v>
      </c>
      <c r="F32" s="141">
        <f>'超用20大－原因別分析'!AG164</f>
        <v>0</v>
      </c>
      <c r="G32" s="142">
        <f>'超用20大－原因別分析'!AG165</f>
        <v>0</v>
      </c>
      <c r="H32" s="141">
        <f>'超用20大－原因別分析'!AH164</f>
        <v>0</v>
      </c>
      <c r="I32" s="142">
        <f>'超用20大－原因別分析'!AH165</f>
        <v>0</v>
      </c>
      <c r="J32" s="141">
        <f>'超用20大－原因別分析'!AI164</f>
        <v>0</v>
      </c>
      <c r="K32" s="142">
        <f>'超用20大－原因別分析'!AI165</f>
        <v>0</v>
      </c>
      <c r="L32" s="141">
        <f>'超用20大－原因別分析'!AJ164</f>
        <v>49324.882600000026</v>
      </c>
      <c r="M32" s="142">
        <f>'超用20大－原因別分析'!AJ165</f>
        <v>0.55000000000000004</v>
      </c>
    </row>
    <row r="33" spans="1:13" ht="15.75" customHeight="1">
      <c r="A33" s="224" t="s">
        <v>418</v>
      </c>
      <c r="B33" s="381" t="s">
        <v>822</v>
      </c>
      <c r="C33" s="223"/>
      <c r="D33" s="670"/>
      <c r="E33" s="667" t="s">
        <v>197</v>
      </c>
      <c r="F33" s="766">
        <v>5</v>
      </c>
      <c r="G33" s="767"/>
      <c r="H33" s="766">
        <v>6</v>
      </c>
      <c r="I33" s="767"/>
      <c r="J33" s="766">
        <v>7</v>
      </c>
      <c r="K33" s="767"/>
      <c r="L33" s="800"/>
      <c r="M33" s="801"/>
    </row>
    <row r="34" spans="1:13" ht="31.35" customHeight="1">
      <c r="A34" s="135" t="s">
        <v>419</v>
      </c>
      <c r="B34" s="381" t="s">
        <v>822</v>
      </c>
      <c r="C34" s="223"/>
      <c r="D34" s="670"/>
      <c r="E34" s="667"/>
      <c r="F34" s="802" t="s">
        <v>189</v>
      </c>
      <c r="G34" s="803"/>
      <c r="H34" s="802" t="s">
        <v>167</v>
      </c>
      <c r="I34" s="803"/>
      <c r="J34" s="802" t="s">
        <v>190</v>
      </c>
      <c r="K34" s="803"/>
      <c r="L34" s="804"/>
      <c r="M34" s="805"/>
    </row>
    <row r="35" spans="1:13" ht="15.75" customHeight="1">
      <c r="D35" s="670"/>
      <c r="E35" s="667"/>
      <c r="F35" s="154" t="s">
        <v>11</v>
      </c>
      <c r="G35" s="154" t="s">
        <v>41</v>
      </c>
      <c r="H35" s="154" t="s">
        <v>11</v>
      </c>
      <c r="I35" s="154" t="s">
        <v>41</v>
      </c>
      <c r="J35" s="154" t="s">
        <v>11</v>
      </c>
      <c r="K35" s="154" t="s">
        <v>41</v>
      </c>
      <c r="L35" s="154"/>
      <c r="M35" s="154"/>
    </row>
    <row r="36" spans="1:13" ht="19.350000000000001" customHeight="1">
      <c r="D36" s="670"/>
      <c r="E36" s="138" t="s">
        <v>242</v>
      </c>
      <c r="F36" s="141">
        <f>'報廢20大－原因別分析'!AK164</f>
        <v>2642.8573000000006</v>
      </c>
      <c r="G36" s="142">
        <f>'報廢20大－原因別分析'!AK165</f>
        <v>0.1</v>
      </c>
      <c r="H36" s="141">
        <f>'報廢20大－原因別分析'!AL164</f>
        <v>5259.3654000000006</v>
      </c>
      <c r="I36" s="142">
        <f>'報廢20大－原因別分析'!AL165</f>
        <v>0.15</v>
      </c>
      <c r="J36" s="141">
        <f>'報廢20大－原因別分析'!AM164</f>
        <v>0</v>
      </c>
      <c r="K36" s="142">
        <f>'報廢20大－原因別分析'!AM165</f>
        <v>0</v>
      </c>
      <c r="L36" s="141"/>
      <c r="M36" s="142"/>
    </row>
    <row r="37" spans="1:13" ht="19.350000000000001" customHeight="1">
      <c r="D37" s="670"/>
      <c r="E37" s="143" t="s">
        <v>243</v>
      </c>
      <c r="F37" s="141">
        <f>'超用20大－原因別分析'!AK164</f>
        <v>12336.942400000045</v>
      </c>
      <c r="G37" s="142">
        <f>'超用20大－原因別分析'!AK165</f>
        <v>0.05</v>
      </c>
      <c r="H37" s="141">
        <f>'超用20大－原因別分析'!AL164</f>
        <v>44418.50460000008</v>
      </c>
      <c r="I37" s="142">
        <f>'超用20大－原因別分析'!AL165</f>
        <v>0.4</v>
      </c>
      <c r="J37" s="141">
        <f>'超用20大－原因別分析'!AM164</f>
        <v>0</v>
      </c>
      <c r="K37" s="142">
        <f>'超用20大－原因別分析'!AM165</f>
        <v>0</v>
      </c>
      <c r="L37" s="141"/>
      <c r="M37" s="142"/>
    </row>
  </sheetData>
  <mergeCells count="68">
    <mergeCell ref="F11:G11"/>
    <mergeCell ref="H11:I11"/>
    <mergeCell ref="J11:K11"/>
    <mergeCell ref="L11:M11"/>
    <mergeCell ref="F12:G12"/>
    <mergeCell ref="H12:I12"/>
    <mergeCell ref="J12:K12"/>
    <mergeCell ref="L12:M12"/>
    <mergeCell ref="A1:M2"/>
    <mergeCell ref="A3:M4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J22:K22"/>
    <mergeCell ref="L22:M22"/>
    <mergeCell ref="F23:G23"/>
    <mergeCell ref="H23:I23"/>
    <mergeCell ref="J23:K23"/>
    <mergeCell ref="L23:M23"/>
    <mergeCell ref="E16:M16"/>
    <mergeCell ref="A17:A19"/>
    <mergeCell ref="B17:C18"/>
    <mergeCell ref="D17:D26"/>
    <mergeCell ref="E17:E19"/>
    <mergeCell ref="F17:G17"/>
    <mergeCell ref="H17:I17"/>
    <mergeCell ref="J17:K17"/>
    <mergeCell ref="L17:M17"/>
    <mergeCell ref="F18:G18"/>
    <mergeCell ref="H18:I18"/>
    <mergeCell ref="J18:K18"/>
    <mergeCell ref="L18:M18"/>
    <mergeCell ref="E22:E24"/>
    <mergeCell ref="F22:G22"/>
    <mergeCell ref="H22:I22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92D050"/>
    <outlinePr summaryBelow="0" summaryRight="0"/>
  </sheetPr>
  <dimension ref="A1:BV86"/>
  <sheetViews>
    <sheetView view="pageBreakPreview" topLeftCell="A55" zoomScaleNormal="60" zoomScaleSheetLayoutView="100" workbookViewId="0">
      <selection activeCell="N42" sqref="N42:P42"/>
    </sheetView>
  </sheetViews>
  <sheetFormatPr defaultColWidth="12.5703125" defaultRowHeight="15.75" customHeight="1"/>
  <cols>
    <col min="1" max="1" width="5.42578125" style="98" customWidth="1"/>
    <col min="2" max="2" width="11.42578125" style="131" customWidth="1"/>
    <col min="3" max="3" width="4" style="129" customWidth="1"/>
    <col min="4" max="9" width="9.5703125" style="98" customWidth="1"/>
    <col min="10" max="10" width="9.85546875" style="98" customWidth="1"/>
    <col min="11" max="15" width="9.5703125" style="98" customWidth="1"/>
    <col min="16" max="16" width="47.85546875" style="98" customWidth="1"/>
    <col min="21" max="21" width="24.42578125" style="98" bestFit="1" customWidth="1"/>
    <col min="22" max="22" width="19.42578125" style="98" bestFit="1" customWidth="1"/>
    <col min="23" max="23" width="23" style="98" bestFit="1" customWidth="1"/>
    <col min="24" max="24" width="11.7109375" style="98" bestFit="1" customWidth="1"/>
    <col min="25" max="25" width="15.85546875" style="98" bestFit="1" customWidth="1"/>
    <col min="26" max="26" width="23.5703125" style="98" bestFit="1" customWidth="1"/>
    <col min="27" max="27" width="23" style="98" bestFit="1" customWidth="1"/>
    <col min="28" max="28" width="11.7109375" style="98" bestFit="1" customWidth="1"/>
    <col min="29" max="29" width="20.5703125" style="98" bestFit="1" customWidth="1"/>
    <col min="30" max="30" width="15" style="98" bestFit="1" customWidth="1"/>
    <col min="31" max="31" width="23" style="98" bestFit="1" customWidth="1"/>
    <col min="32" max="32" width="11.7109375" style="98" bestFit="1" customWidth="1"/>
    <col min="33" max="33" width="15.85546875" style="98" bestFit="1" customWidth="1"/>
    <col min="34" max="34" width="15" style="98" bestFit="1" customWidth="1"/>
    <col min="35" max="35" width="23" style="98" bestFit="1" customWidth="1"/>
    <col min="36" max="36" width="15" style="98" bestFit="1" customWidth="1"/>
    <col min="37" max="37" width="23" style="98" bestFit="1" customWidth="1"/>
    <col min="38" max="38" width="11.7109375" style="98" bestFit="1" customWidth="1"/>
    <col min="39" max="39" width="13.85546875" style="98" bestFit="1" customWidth="1"/>
    <col min="40" max="40" width="27.85546875" style="98" bestFit="1" customWidth="1"/>
    <col min="41" max="41" width="23" style="98" bestFit="1" customWidth="1"/>
    <col min="42" max="42" width="8" style="98" bestFit="1" customWidth="1"/>
    <col min="43" max="43" width="30.7109375" style="98" bestFit="1" customWidth="1"/>
    <col min="44" max="44" width="25.7109375" style="98" bestFit="1" customWidth="1"/>
    <col min="45" max="45" width="23" style="98" bestFit="1" customWidth="1"/>
    <col min="46" max="46" width="15" style="98" bestFit="1" customWidth="1"/>
    <col min="47" max="47" width="23" style="98" bestFit="1" customWidth="1"/>
    <col min="48" max="48" width="11.7109375" style="98" bestFit="1" customWidth="1"/>
    <col min="49" max="49" width="20.140625" style="98" bestFit="1" customWidth="1"/>
    <col min="50" max="50" width="23.5703125" style="98" bestFit="1" customWidth="1"/>
    <col min="51" max="51" width="23" style="98" bestFit="1" customWidth="1"/>
    <col min="52" max="52" width="11.7109375" style="98" bestFit="1" customWidth="1"/>
    <col min="53" max="53" width="21.42578125" style="98" bestFit="1" customWidth="1"/>
    <col min="54" max="54" width="15" style="98" bestFit="1" customWidth="1"/>
    <col min="55" max="55" width="23" style="98" bestFit="1" customWidth="1"/>
    <col min="56" max="56" width="11.7109375" style="98" bestFit="1" customWidth="1"/>
    <col min="57" max="57" width="13.85546875" style="98" bestFit="1" customWidth="1"/>
    <col min="58" max="58" width="22" style="98" bestFit="1" customWidth="1"/>
    <col min="59" max="59" width="23" style="98" bestFit="1" customWidth="1"/>
    <col min="60" max="60" width="15" style="98" bestFit="1" customWidth="1"/>
    <col min="61" max="61" width="23" style="98" bestFit="1" customWidth="1"/>
    <col min="62" max="62" width="11.7109375" style="98" bestFit="1" customWidth="1"/>
    <col min="63" max="63" width="24.7109375" style="98" bestFit="1" customWidth="1"/>
    <col min="64" max="64" width="18.7109375" style="98" bestFit="1" customWidth="1"/>
    <col min="65" max="65" width="23" style="98" bestFit="1" customWidth="1"/>
    <col min="66" max="66" width="15" style="98" bestFit="1" customWidth="1"/>
    <col min="67" max="67" width="23" style="98" bestFit="1" customWidth="1"/>
    <col min="68" max="68" width="15" style="98" bestFit="1" customWidth="1"/>
    <col min="69" max="69" width="23" style="98" bestFit="1" customWidth="1"/>
    <col min="70" max="70" width="15" style="98" bestFit="1" customWidth="1"/>
    <col min="71" max="71" width="21.85546875" style="98" bestFit="1" customWidth="1"/>
    <col min="72" max="72" width="10.5703125" style="98" bestFit="1" customWidth="1"/>
    <col min="73" max="73" width="21.42578125" style="98" bestFit="1" customWidth="1"/>
    <col min="74" max="74" width="5.42578125" style="98" bestFit="1" customWidth="1"/>
    <col min="75" max="16384" width="12.5703125" style="98"/>
  </cols>
  <sheetData>
    <row r="1" spans="1:74" ht="15.75" customHeight="1">
      <c r="A1" s="536" t="s">
        <v>361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</row>
    <row r="2" spans="1:74" s="99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6"/>
      <c r="P2" s="536"/>
    </row>
    <row r="3" spans="1:74" s="135" customFormat="1" ht="15.75" customHeight="1">
      <c r="A3" s="827" t="s">
        <v>768</v>
      </c>
      <c r="B3" s="827"/>
      <c r="C3" s="827"/>
      <c r="D3" s="827"/>
      <c r="E3" s="827"/>
      <c r="F3" s="827"/>
      <c r="G3" s="827"/>
      <c r="H3" s="827"/>
      <c r="I3" s="827"/>
      <c r="J3" s="827"/>
      <c r="K3" s="827"/>
      <c r="L3" s="827"/>
      <c r="M3" s="827"/>
      <c r="Q3" s="231"/>
      <c r="R3" s="231"/>
      <c r="S3" s="231"/>
      <c r="T3" s="231"/>
    </row>
    <row r="4" spans="1:74" s="136" customFormat="1" ht="15.75" customHeight="1">
      <c r="A4" s="763"/>
      <c r="B4" s="763"/>
      <c r="C4" s="763"/>
      <c r="D4" s="763"/>
      <c r="E4" s="763"/>
      <c r="F4" s="763"/>
      <c r="G4" s="763"/>
      <c r="H4" s="763"/>
      <c r="I4" s="763"/>
      <c r="J4" s="763"/>
      <c r="K4" s="763"/>
      <c r="L4" s="763"/>
      <c r="M4" s="763"/>
    </row>
    <row r="5" spans="1:74" s="135" customFormat="1" ht="15.75" customHeight="1">
      <c r="A5" s="764" t="s">
        <v>191</v>
      </c>
      <c r="B5" s="757">
        <v>1</v>
      </c>
      <c r="C5" s="758"/>
      <c r="D5" s="757">
        <v>2</v>
      </c>
      <c r="E5" s="758"/>
      <c r="F5" s="757">
        <v>3</v>
      </c>
      <c r="G5" s="758"/>
      <c r="H5" s="766">
        <v>4</v>
      </c>
      <c r="I5" s="767"/>
      <c r="J5" s="766">
        <v>5</v>
      </c>
      <c r="K5" s="767"/>
      <c r="L5" s="766">
        <v>6</v>
      </c>
      <c r="M5" s="767"/>
      <c r="N5" s="766">
        <v>7</v>
      </c>
      <c r="O5" s="767"/>
      <c r="P5" s="352">
        <v>8</v>
      </c>
      <c r="Q5" s="231"/>
      <c r="R5" s="231"/>
      <c r="S5" s="231"/>
      <c r="T5" s="231"/>
    </row>
    <row r="6" spans="1:74" s="135" customFormat="1" ht="15.75" customHeight="1">
      <c r="A6" s="765"/>
      <c r="B6" s="759" t="s">
        <v>452</v>
      </c>
      <c r="C6" s="760"/>
      <c r="D6" s="759" t="s">
        <v>212</v>
      </c>
      <c r="E6" s="760"/>
      <c r="F6" s="759" t="s">
        <v>166</v>
      </c>
      <c r="G6" s="760"/>
      <c r="H6" s="761" t="s">
        <v>428</v>
      </c>
      <c r="I6" s="762"/>
      <c r="J6" s="761" t="s">
        <v>189</v>
      </c>
      <c r="K6" s="762"/>
      <c r="L6" s="761" t="s">
        <v>167</v>
      </c>
      <c r="M6" s="762"/>
      <c r="N6" s="761" t="s">
        <v>190</v>
      </c>
      <c r="O6" s="762"/>
      <c r="P6" s="353" t="s">
        <v>217</v>
      </c>
      <c r="Q6" s="231"/>
      <c r="R6" s="231"/>
      <c r="S6" s="231"/>
      <c r="T6" s="231"/>
    </row>
    <row r="7" spans="1:74" s="135" customFormat="1" ht="15.75" customHeight="1">
      <c r="B7" s="232"/>
      <c r="C7" s="233"/>
      <c r="Q7" s="231"/>
      <c r="R7" s="231"/>
      <c r="S7" s="231"/>
      <c r="T7" s="231"/>
    </row>
    <row r="8" spans="1:74" s="235" customFormat="1" ht="15.75" customHeight="1">
      <c r="A8" s="766" t="s">
        <v>191</v>
      </c>
      <c r="B8" s="767"/>
      <c r="C8" s="234" t="s">
        <v>47</v>
      </c>
      <c r="D8" s="819" t="s">
        <v>12</v>
      </c>
      <c r="E8" s="681"/>
      <c r="F8" s="809"/>
      <c r="G8" s="820" t="s">
        <v>53</v>
      </c>
      <c r="H8" s="821"/>
      <c r="I8" s="822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333</v>
      </c>
      <c r="O8" s="823" t="s">
        <v>51</v>
      </c>
      <c r="P8" s="824"/>
    </row>
    <row r="9" spans="1:74" s="135" customFormat="1" ht="50.1" customHeight="1">
      <c r="A9" s="810">
        <v>1</v>
      </c>
      <c r="B9" s="813" t="s">
        <v>453</v>
      </c>
      <c r="C9" s="236">
        <v>1</v>
      </c>
      <c r="D9" s="237" t="s">
        <v>358</v>
      </c>
      <c r="E9" s="238"/>
      <c r="F9" s="238"/>
      <c r="G9" s="357" t="s">
        <v>737</v>
      </c>
      <c r="H9" s="305"/>
      <c r="I9" s="306"/>
      <c r="J9" s="236">
        <v>426.69</v>
      </c>
      <c r="K9" s="242">
        <v>2.4598187766166615E-3</v>
      </c>
      <c r="L9" s="236">
        <v>2.94</v>
      </c>
      <c r="M9" s="322">
        <f>L9*J9</f>
        <v>1254.4685999999999</v>
      </c>
      <c r="N9" s="243"/>
      <c r="O9" s="748" t="s">
        <v>688</v>
      </c>
      <c r="P9" s="749"/>
      <c r="Q9" s="231"/>
      <c r="R9" s="390"/>
      <c r="S9" s="261"/>
      <c r="T9" s="231"/>
    </row>
    <row r="10" spans="1:74" s="135" customFormat="1" ht="50.1" customHeight="1">
      <c r="A10" s="811"/>
      <c r="B10" s="814"/>
      <c r="C10" s="236">
        <v>2</v>
      </c>
      <c r="D10" s="237" t="s">
        <v>710</v>
      </c>
      <c r="E10" s="238"/>
      <c r="F10" s="238"/>
      <c r="G10" s="357" t="s">
        <v>738</v>
      </c>
      <c r="H10" s="305"/>
      <c r="I10" s="306"/>
      <c r="J10" s="236">
        <v>91.13</v>
      </c>
      <c r="K10" s="242">
        <v>6.7821719761284342E-3</v>
      </c>
      <c r="L10" s="236">
        <v>12.909999999999998</v>
      </c>
      <c r="M10" s="322">
        <f t="shared" ref="M10:M13" si="0">L10*J10</f>
        <v>1176.4882999999998</v>
      </c>
      <c r="N10" s="243"/>
      <c r="O10" s="825" t="s">
        <v>576</v>
      </c>
      <c r="P10" s="817"/>
      <c r="Q10" s="231"/>
      <c r="R10" s="391"/>
      <c r="S10" s="391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</row>
    <row r="11" spans="1:74" s="135" customFormat="1" ht="50.1" customHeight="1">
      <c r="A11" s="811"/>
      <c r="B11" s="814"/>
      <c r="C11" s="236">
        <v>3</v>
      </c>
      <c r="D11" s="237" t="s">
        <v>340</v>
      </c>
      <c r="E11" s="238"/>
      <c r="F11" s="238"/>
      <c r="G11" s="357" t="s">
        <v>386</v>
      </c>
      <c r="H11" s="305"/>
      <c r="I11" s="306"/>
      <c r="J11" s="236">
        <v>127.84000000000002</v>
      </c>
      <c r="K11" s="242">
        <v>2.1443798327383731E-3</v>
      </c>
      <c r="L11" s="236">
        <v>8.5</v>
      </c>
      <c r="M11" s="322">
        <f t="shared" si="0"/>
        <v>1086.6400000000001</v>
      </c>
      <c r="N11" s="243"/>
      <c r="O11" s="826" t="s">
        <v>689</v>
      </c>
      <c r="P11" s="769"/>
      <c r="Q11" s="231"/>
      <c r="R11" s="390"/>
      <c r="S11" s="390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</row>
    <row r="12" spans="1:74" s="135" customFormat="1" ht="50.1" customHeight="1">
      <c r="A12" s="811"/>
      <c r="B12" s="814"/>
      <c r="C12" s="236">
        <v>4</v>
      </c>
      <c r="D12" s="237" t="s">
        <v>340</v>
      </c>
      <c r="E12" s="238"/>
      <c r="F12" s="238"/>
      <c r="G12" s="357" t="s">
        <v>633</v>
      </c>
      <c r="H12" s="305"/>
      <c r="I12" s="306"/>
      <c r="J12" s="236">
        <v>144.79999999999998</v>
      </c>
      <c r="K12" s="242">
        <v>2.7763492311934945E-3</v>
      </c>
      <c r="L12" s="236">
        <v>7.4500000000000011</v>
      </c>
      <c r="M12" s="322">
        <f t="shared" si="0"/>
        <v>1078.76</v>
      </c>
      <c r="N12" s="243"/>
      <c r="O12" s="826" t="s">
        <v>689</v>
      </c>
      <c r="P12" s="769"/>
      <c r="Q12" s="231"/>
      <c r="R12" s="391"/>
      <c r="S12" s="391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</row>
    <row r="13" spans="1:74" s="135" customFormat="1" ht="50.1" customHeight="1" thickBot="1">
      <c r="A13" s="811"/>
      <c r="B13" s="814"/>
      <c r="C13" s="236">
        <v>5</v>
      </c>
      <c r="D13" s="244" t="s">
        <v>616</v>
      </c>
      <c r="E13" s="245"/>
      <c r="F13" s="245"/>
      <c r="G13" s="357" t="s">
        <v>635</v>
      </c>
      <c r="H13" s="305"/>
      <c r="I13" s="306"/>
      <c r="J13" s="247">
        <v>49.82</v>
      </c>
      <c r="K13" s="248">
        <v>7.1838542110193304E-3</v>
      </c>
      <c r="L13" s="247">
        <v>21.09</v>
      </c>
      <c r="M13" s="323">
        <f t="shared" si="0"/>
        <v>1050.7038</v>
      </c>
      <c r="N13" s="243"/>
      <c r="O13" s="826" t="s">
        <v>624</v>
      </c>
      <c r="P13" s="769"/>
      <c r="Q13" s="231"/>
      <c r="R13" s="390"/>
      <c r="S13" s="390"/>
      <c r="T13" s="231"/>
      <c r="U13" s="392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</row>
    <row r="14" spans="1:74" s="135" customFormat="1" ht="15.75" customHeight="1" thickTop="1">
      <c r="A14" s="812"/>
      <c r="B14" s="815"/>
      <c r="C14" s="683"/>
      <c r="D14" s="684"/>
      <c r="E14" s="684"/>
      <c r="F14" s="684"/>
      <c r="G14" s="684"/>
      <c r="H14" s="684"/>
      <c r="I14" s="818"/>
      <c r="J14" s="249" t="s">
        <v>58</v>
      </c>
      <c r="K14" s="212">
        <f>M14/'生產管理報表 7-1 (週)'!$B$9</f>
        <v>6.0590488272412688E-2</v>
      </c>
      <c r="L14" s="249" t="s">
        <v>59</v>
      </c>
      <c r="M14" s="324">
        <f>SUM(M9:M13)</f>
        <v>5647.0607</v>
      </c>
      <c r="N14" s="784"/>
      <c r="O14" s="785"/>
      <c r="P14" s="786"/>
      <c r="Q14" s="231"/>
      <c r="R14" s="210"/>
      <c r="S14" s="210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</row>
    <row r="15" spans="1:74" s="135" customFormat="1" ht="15.75" customHeight="1">
      <c r="B15" s="232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Q15" s="231"/>
      <c r="R15" s="261"/>
      <c r="S15" s="261"/>
      <c r="T15" s="23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</row>
    <row r="16" spans="1:74" s="135" customFormat="1" ht="15.75" customHeight="1">
      <c r="A16" s="766" t="s">
        <v>191</v>
      </c>
      <c r="B16" s="767"/>
      <c r="C16" s="252" t="s">
        <v>47</v>
      </c>
      <c r="D16" s="680" t="s">
        <v>12</v>
      </c>
      <c r="E16" s="681"/>
      <c r="F16" s="682"/>
      <c r="G16" s="680" t="s">
        <v>53</v>
      </c>
      <c r="H16" s="681"/>
      <c r="I16" s="682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333</v>
      </c>
      <c r="O16" s="775" t="s">
        <v>51</v>
      </c>
      <c r="P16" s="776"/>
      <c r="Q16" s="231"/>
      <c r="R16" s="210"/>
      <c r="S16" s="210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</row>
    <row r="17" spans="1:35" s="135" customFormat="1" ht="20.100000000000001" customHeight="1">
      <c r="A17" s="810">
        <v>2</v>
      </c>
      <c r="B17" s="813" t="s">
        <v>213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777"/>
      <c r="P17" s="778"/>
      <c r="Q17" s="231"/>
      <c r="R17" s="261"/>
      <c r="S17" s="261"/>
      <c r="T17" s="231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</row>
    <row r="18" spans="1:35" s="135" customFormat="1" ht="20.100000000000001" customHeight="1">
      <c r="A18" s="811"/>
      <c r="B18" s="814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777"/>
      <c r="P18" s="778"/>
      <c r="Q18" s="231"/>
      <c r="R18" s="210"/>
      <c r="S18" s="210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</row>
    <row r="19" spans="1:35" s="135" customFormat="1" ht="20.100000000000001" customHeight="1">
      <c r="A19" s="811"/>
      <c r="B19" s="814"/>
      <c r="C19" s="256">
        <v>3</v>
      </c>
      <c r="D19" s="237"/>
      <c r="E19" s="238"/>
      <c r="F19" s="239"/>
      <c r="G19" s="237"/>
      <c r="H19" s="238"/>
      <c r="I19" s="268"/>
      <c r="J19" s="257"/>
      <c r="K19" s="258"/>
      <c r="L19" s="257"/>
      <c r="M19" s="259">
        <f t="shared" si="1"/>
        <v>0</v>
      </c>
      <c r="N19" s="260"/>
      <c r="O19" s="777"/>
      <c r="P19" s="778"/>
      <c r="Q19" s="231"/>
      <c r="R19" s="261"/>
      <c r="S19" s="26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</row>
    <row r="20" spans="1:35" s="135" customFormat="1" ht="20.100000000000001" customHeight="1">
      <c r="A20" s="811"/>
      <c r="B20" s="814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777"/>
      <c r="P20" s="778"/>
      <c r="Q20" s="231"/>
      <c r="R20" s="210"/>
      <c r="S20" s="210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</row>
    <row r="21" spans="1:35" s="135" customFormat="1" ht="20.100000000000001" customHeight="1" thickBot="1">
      <c r="A21" s="811"/>
      <c r="B21" s="814"/>
      <c r="C21" s="262">
        <v>5</v>
      </c>
      <c r="D21" s="244"/>
      <c r="E21" s="245"/>
      <c r="F21" s="246"/>
      <c r="G21" s="237"/>
      <c r="H21" s="238"/>
      <c r="I21" s="239"/>
      <c r="J21" s="263"/>
      <c r="K21" s="264"/>
      <c r="L21" s="263"/>
      <c r="M21" s="265">
        <f t="shared" si="1"/>
        <v>0</v>
      </c>
      <c r="N21" s="266"/>
      <c r="O21" s="777"/>
      <c r="P21" s="778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</row>
    <row r="22" spans="1:35" s="135" customFormat="1" ht="15.75" customHeight="1" thickTop="1">
      <c r="A22" s="812"/>
      <c r="B22" s="815"/>
      <c r="C22" s="683"/>
      <c r="D22" s="684"/>
      <c r="E22" s="684"/>
      <c r="F22" s="684"/>
      <c r="G22" s="684"/>
      <c r="H22" s="684"/>
      <c r="I22" s="818"/>
      <c r="J22" s="249" t="s">
        <v>58</v>
      </c>
      <c r="K22" s="212">
        <f>M22/'生產管理報表 7-1 (週)'!$B$9</f>
        <v>0</v>
      </c>
      <c r="L22" s="249" t="s">
        <v>59</v>
      </c>
      <c r="M22" s="250">
        <f>SUM(M17:M21)</f>
        <v>0</v>
      </c>
      <c r="N22" s="779"/>
      <c r="O22" s="780"/>
      <c r="P22" s="781"/>
      <c r="Q22" s="231"/>
      <c r="R22" s="231"/>
      <c r="S22" s="231"/>
      <c r="T22" s="23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</row>
    <row r="23" spans="1:35" s="135" customFormat="1" ht="15.75" customHeight="1">
      <c r="B23" s="232"/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</row>
    <row r="24" spans="1:35" s="135" customFormat="1" ht="15.75" customHeight="1">
      <c r="A24" s="766" t="s">
        <v>191</v>
      </c>
      <c r="B24" s="767"/>
      <c r="C24" s="252" t="s">
        <v>47</v>
      </c>
      <c r="D24" s="680" t="s">
        <v>12</v>
      </c>
      <c r="E24" s="681"/>
      <c r="F24" s="682"/>
      <c r="G24" s="680" t="s">
        <v>53</v>
      </c>
      <c r="H24" s="681"/>
      <c r="I24" s="809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333</v>
      </c>
      <c r="O24" s="773" t="s">
        <v>51</v>
      </c>
      <c r="P24" s="774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</row>
    <row r="25" spans="1:35" s="135" customFormat="1" ht="50.1" customHeight="1">
      <c r="A25" s="810">
        <v>3</v>
      </c>
      <c r="B25" s="813" t="s">
        <v>422</v>
      </c>
      <c r="C25" s="256">
        <v>1</v>
      </c>
      <c r="D25" s="237" t="s">
        <v>340</v>
      </c>
      <c r="E25" s="238"/>
      <c r="F25" s="239"/>
      <c r="G25" s="246" t="s">
        <v>448</v>
      </c>
      <c r="H25" s="245"/>
      <c r="I25" s="246"/>
      <c r="J25" s="257">
        <v>2.4499999999999997</v>
      </c>
      <c r="K25" s="258">
        <v>6.8011560527413114E-3</v>
      </c>
      <c r="L25" s="257">
        <v>946</v>
      </c>
      <c r="M25" s="325">
        <f t="shared" ref="M25:M29" si="2">L25*J25</f>
        <v>2317.6999999999998</v>
      </c>
      <c r="N25" s="270"/>
      <c r="O25" s="816" t="s">
        <v>460</v>
      </c>
      <c r="P25" s="817"/>
      <c r="Q25" s="231"/>
      <c r="R25" s="392"/>
      <c r="S25" s="392"/>
      <c r="T25" s="2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</row>
    <row r="26" spans="1:35" s="135" customFormat="1" ht="50.1" customHeight="1">
      <c r="A26" s="811"/>
      <c r="B26" s="814"/>
      <c r="C26" s="256">
        <v>2</v>
      </c>
      <c r="D26" s="237" t="s">
        <v>340</v>
      </c>
      <c r="E26" s="238"/>
      <c r="F26" s="239"/>
      <c r="G26" s="246" t="s">
        <v>447</v>
      </c>
      <c r="H26" s="245"/>
      <c r="I26" s="246"/>
      <c r="J26" s="257">
        <v>1.17</v>
      </c>
      <c r="K26" s="258">
        <v>6.8587695496433012E-3</v>
      </c>
      <c r="L26" s="257">
        <v>1595</v>
      </c>
      <c r="M26" s="325">
        <f t="shared" si="2"/>
        <v>1866.1499999999999</v>
      </c>
      <c r="N26" s="270"/>
      <c r="O26" s="768" t="s">
        <v>528</v>
      </c>
      <c r="P26" s="769"/>
      <c r="Q26" s="231"/>
      <c r="R26" s="392"/>
      <c r="S26" s="398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</row>
    <row r="27" spans="1:35" s="135" customFormat="1" ht="50.1" customHeight="1">
      <c r="A27" s="811"/>
      <c r="B27" s="814"/>
      <c r="C27" s="256">
        <v>3</v>
      </c>
      <c r="D27" s="237" t="s">
        <v>463</v>
      </c>
      <c r="E27" s="238"/>
      <c r="F27" s="239"/>
      <c r="G27" s="246" t="s">
        <v>461</v>
      </c>
      <c r="H27" s="245"/>
      <c r="I27" s="246"/>
      <c r="J27" s="257">
        <v>407.74000000000007</v>
      </c>
      <c r="K27" s="258">
        <v>2.3218811862870253E-3</v>
      </c>
      <c r="L27" s="257">
        <v>2.5100000000000002</v>
      </c>
      <c r="M27" s="325">
        <f t="shared" si="2"/>
        <v>1023.4274000000003</v>
      </c>
      <c r="N27" s="270"/>
      <c r="O27" s="768" t="s">
        <v>594</v>
      </c>
      <c r="P27" s="769"/>
      <c r="Q27" s="392"/>
      <c r="R27" s="392"/>
      <c r="S27" s="398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</row>
    <row r="28" spans="1:35" s="135" customFormat="1" ht="50.1" customHeight="1">
      <c r="A28" s="811"/>
      <c r="B28" s="814"/>
      <c r="C28" s="256">
        <v>4</v>
      </c>
      <c r="D28" s="237" t="s">
        <v>508</v>
      </c>
      <c r="E28" s="238"/>
      <c r="F28" s="239"/>
      <c r="G28" s="358" t="s">
        <v>598</v>
      </c>
      <c r="H28" s="359"/>
      <c r="I28" s="378"/>
      <c r="J28" s="269">
        <v>6.04</v>
      </c>
      <c r="K28" s="258">
        <v>2.5408348457350273E-2</v>
      </c>
      <c r="L28" s="257">
        <v>168</v>
      </c>
      <c r="M28" s="325">
        <f t="shared" si="2"/>
        <v>1014.72</v>
      </c>
      <c r="N28" s="270"/>
      <c r="O28" s="768" t="s">
        <v>648</v>
      </c>
      <c r="P28" s="769"/>
      <c r="Q28" s="231"/>
      <c r="R28" s="231"/>
      <c r="S28"/>
      <c r="T28" s="23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</row>
    <row r="29" spans="1:35" s="135" customFormat="1" ht="50.1" customHeight="1" thickBot="1">
      <c r="A29" s="811"/>
      <c r="B29" s="814"/>
      <c r="C29" s="262">
        <v>5</v>
      </c>
      <c r="D29" s="244"/>
      <c r="E29" s="245"/>
      <c r="F29" s="246"/>
      <c r="G29" s="244"/>
      <c r="H29" s="245"/>
      <c r="I29" s="271"/>
      <c r="J29" s="272"/>
      <c r="K29" s="264"/>
      <c r="L29" s="273"/>
      <c r="M29" s="325">
        <f t="shared" si="2"/>
        <v>0</v>
      </c>
      <c r="N29" s="270"/>
      <c r="O29" s="768"/>
      <c r="P29" s="769"/>
      <c r="Q29" s="231"/>
      <c r="R29" s="231"/>
      <c r="S29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</row>
    <row r="30" spans="1:35" s="135" customFormat="1" ht="15.75" customHeight="1" thickTop="1">
      <c r="A30" s="812"/>
      <c r="B30" s="815"/>
      <c r="C30" s="683"/>
      <c r="D30" s="684"/>
      <c r="E30" s="684"/>
      <c r="F30" s="684"/>
      <c r="G30" s="684"/>
      <c r="H30" s="684"/>
      <c r="I30" s="818"/>
      <c r="J30" s="274" t="s">
        <v>58</v>
      </c>
      <c r="K30" s="212">
        <f>M30/'生產管理報表 7-1 (週)'!$B$9</f>
        <v>6.6759307279215585E-2</v>
      </c>
      <c r="L30" s="274" t="s">
        <v>59</v>
      </c>
      <c r="M30" s="326">
        <f>SUM(M25:M29)</f>
        <v>6221.9974000000002</v>
      </c>
      <c r="N30" s="770"/>
      <c r="O30" s="771"/>
      <c r="P30" s="772"/>
      <c r="Q30" s="231"/>
      <c r="R30" s="231"/>
      <c r="S30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</row>
    <row r="31" spans="1:35" s="135" customFormat="1" ht="15.75" customHeight="1">
      <c r="A31" s="827" t="s">
        <v>815</v>
      </c>
      <c r="B31" s="827"/>
      <c r="C31" s="827"/>
      <c r="D31" s="827"/>
      <c r="E31" s="827"/>
      <c r="F31" s="827"/>
      <c r="G31" s="827"/>
      <c r="H31" s="827"/>
      <c r="I31" s="827"/>
      <c r="J31" s="827"/>
      <c r="K31" s="827"/>
      <c r="L31" s="827"/>
      <c r="M31" s="827"/>
      <c r="Q31" s="231"/>
      <c r="R31" s="231"/>
      <c r="S31" s="231"/>
      <c r="T31" s="231"/>
    </row>
    <row r="32" spans="1:35" s="136" customFormat="1" ht="15.75" customHeight="1">
      <c r="A32" s="763"/>
      <c r="B32" s="763"/>
      <c r="C32" s="763"/>
      <c r="D32" s="763"/>
      <c r="E32" s="763"/>
      <c r="F32" s="763"/>
      <c r="G32" s="763"/>
      <c r="H32" s="763"/>
      <c r="I32" s="763"/>
      <c r="J32" s="763"/>
      <c r="K32" s="763"/>
      <c r="L32" s="763"/>
      <c r="M32" s="763"/>
    </row>
    <row r="33" spans="1:74" s="135" customFormat="1" ht="15.75" customHeight="1">
      <c r="A33" s="764" t="s">
        <v>191</v>
      </c>
      <c r="B33" s="757">
        <v>1</v>
      </c>
      <c r="C33" s="758"/>
      <c r="D33" s="757">
        <v>2</v>
      </c>
      <c r="E33" s="758"/>
      <c r="F33" s="757">
        <v>3</v>
      </c>
      <c r="G33" s="758"/>
      <c r="H33" s="766">
        <v>4</v>
      </c>
      <c r="I33" s="767"/>
      <c r="J33" s="766">
        <v>5</v>
      </c>
      <c r="K33" s="767"/>
      <c r="L33" s="766">
        <v>6</v>
      </c>
      <c r="M33" s="767"/>
      <c r="N33" s="766">
        <v>7</v>
      </c>
      <c r="O33" s="767"/>
      <c r="P33" s="352">
        <v>8</v>
      </c>
      <c r="Q33" s="231"/>
      <c r="R33" s="231"/>
      <c r="S33" s="231"/>
      <c r="T33" s="231"/>
    </row>
    <row r="34" spans="1:74" s="135" customFormat="1" ht="15.75" customHeight="1">
      <c r="A34" s="765"/>
      <c r="B34" s="759" t="s">
        <v>452</v>
      </c>
      <c r="C34" s="760"/>
      <c r="D34" s="759" t="s">
        <v>212</v>
      </c>
      <c r="E34" s="760"/>
      <c r="F34" s="759" t="s">
        <v>166</v>
      </c>
      <c r="G34" s="760"/>
      <c r="H34" s="761" t="s">
        <v>428</v>
      </c>
      <c r="I34" s="762"/>
      <c r="J34" s="761" t="s">
        <v>189</v>
      </c>
      <c r="K34" s="762"/>
      <c r="L34" s="761" t="s">
        <v>167</v>
      </c>
      <c r="M34" s="762"/>
      <c r="N34" s="761" t="s">
        <v>190</v>
      </c>
      <c r="O34" s="762"/>
      <c r="P34" s="353" t="s">
        <v>217</v>
      </c>
      <c r="Q34" s="231"/>
      <c r="R34" s="231"/>
      <c r="S34" s="231"/>
      <c r="T34" s="231"/>
    </row>
    <row r="35" spans="1:74" s="135" customFormat="1" ht="15.75" customHeight="1">
      <c r="B35" s="232"/>
      <c r="C35" s="233"/>
      <c r="Q35" s="231"/>
      <c r="R35" s="231"/>
      <c r="S35" s="231"/>
      <c r="T35" s="231"/>
    </row>
    <row r="36" spans="1:74" s="235" customFormat="1" ht="15.75" customHeight="1">
      <c r="A36" s="766" t="s">
        <v>191</v>
      </c>
      <c r="B36" s="767"/>
      <c r="C36" s="234" t="s">
        <v>47</v>
      </c>
      <c r="D36" s="819" t="s">
        <v>12</v>
      </c>
      <c r="E36" s="681"/>
      <c r="F36" s="809"/>
      <c r="G36" s="820" t="s">
        <v>53</v>
      </c>
      <c r="H36" s="821"/>
      <c r="I36" s="822"/>
      <c r="J36" s="234" t="s">
        <v>54</v>
      </c>
      <c r="K36" s="234" t="s">
        <v>55</v>
      </c>
      <c r="L36" s="234" t="s">
        <v>56</v>
      </c>
      <c r="M36" s="234" t="s">
        <v>11</v>
      </c>
      <c r="N36" s="234" t="s">
        <v>333</v>
      </c>
      <c r="O36" s="823" t="s">
        <v>51</v>
      </c>
      <c r="P36" s="824"/>
    </row>
    <row r="37" spans="1:74" s="135" customFormat="1" ht="50.1" customHeight="1">
      <c r="A37" s="810">
        <v>1</v>
      </c>
      <c r="B37" s="813" t="s">
        <v>453</v>
      </c>
      <c r="C37" s="236">
        <v>1</v>
      </c>
      <c r="D37" s="237" t="s">
        <v>340</v>
      </c>
      <c r="E37" s="238"/>
      <c r="F37" s="238"/>
      <c r="G37" s="357" t="s">
        <v>386</v>
      </c>
      <c r="H37" s="305"/>
      <c r="I37" s="306"/>
      <c r="J37" s="236">
        <v>127.84000000000002</v>
      </c>
      <c r="K37" s="242">
        <v>2.6586357415105209E-3</v>
      </c>
      <c r="L37" s="236">
        <v>10.469999999999999</v>
      </c>
      <c r="M37" s="322">
        <f>L37*J37</f>
        <v>1338.4848</v>
      </c>
      <c r="N37" s="243"/>
      <c r="O37" s="748" t="s">
        <v>689</v>
      </c>
      <c r="P37" s="749"/>
      <c r="Q37" s="231"/>
      <c r="R37" s="390"/>
      <c r="S37" s="261"/>
      <c r="T37" s="231"/>
    </row>
    <row r="38" spans="1:74" s="135" customFormat="1" ht="50.1" customHeight="1">
      <c r="A38" s="811"/>
      <c r="B38" s="814"/>
      <c r="C38" s="236">
        <v>2</v>
      </c>
      <c r="D38" s="237" t="s">
        <v>775</v>
      </c>
      <c r="E38" s="238"/>
      <c r="F38" s="238"/>
      <c r="G38" s="357" t="s">
        <v>796</v>
      </c>
      <c r="H38" s="305"/>
      <c r="I38" s="306"/>
      <c r="J38" s="236">
        <v>24.789999999999996</v>
      </c>
      <c r="K38" s="242">
        <v>4.7125703755580162E-3</v>
      </c>
      <c r="L38" s="236">
        <v>48.180000000000007</v>
      </c>
      <c r="M38" s="322">
        <f t="shared" ref="M38:M41" si="3">L38*J38</f>
        <v>1194.3822</v>
      </c>
      <c r="N38" s="243"/>
      <c r="O38" s="825" t="s">
        <v>624</v>
      </c>
      <c r="P38" s="817"/>
      <c r="Q38" s="231"/>
      <c r="R38" s="391"/>
      <c r="S38" s="391"/>
      <c r="T38" s="231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1"/>
      <c r="AQ38" s="231"/>
      <c r="AR38" s="231"/>
      <c r="AS38" s="231"/>
      <c r="AT38" s="231"/>
      <c r="AU38" s="231"/>
      <c r="AV38" s="231"/>
      <c r="AW38" s="231"/>
      <c r="AX38" s="231"/>
      <c r="AY38" s="231"/>
      <c r="AZ38" s="231"/>
      <c r="BA38" s="231"/>
      <c r="BB38" s="231"/>
      <c r="BC38" s="231"/>
      <c r="BD38" s="231"/>
      <c r="BE38" s="231"/>
      <c r="BF38" s="231"/>
      <c r="BG38" s="231"/>
      <c r="BH38" s="231"/>
      <c r="BI38" s="231"/>
      <c r="BJ38" s="231"/>
      <c r="BK38" s="231"/>
      <c r="BL38" s="231"/>
      <c r="BM38" s="231"/>
      <c r="BN38" s="231"/>
      <c r="BO38" s="231"/>
      <c r="BP38" s="231"/>
      <c r="BQ38" s="231"/>
      <c r="BR38" s="231"/>
      <c r="BS38" s="231"/>
      <c r="BT38" s="231"/>
      <c r="BU38" s="231"/>
      <c r="BV38" s="231"/>
    </row>
    <row r="39" spans="1:74" s="135" customFormat="1" ht="50.1" customHeight="1">
      <c r="A39" s="811"/>
      <c r="B39" s="814"/>
      <c r="C39" s="236">
        <v>3</v>
      </c>
      <c r="D39" s="237" t="s">
        <v>710</v>
      </c>
      <c r="E39" s="238"/>
      <c r="F39" s="238"/>
      <c r="G39" s="357" t="s">
        <v>797</v>
      </c>
      <c r="H39" s="305"/>
      <c r="I39" s="306"/>
      <c r="J39" s="236">
        <v>122.85000000000001</v>
      </c>
      <c r="K39" s="242">
        <v>7.9865817625088976E-3</v>
      </c>
      <c r="L39" s="236">
        <v>8.19</v>
      </c>
      <c r="M39" s="322">
        <f t="shared" si="3"/>
        <v>1006.1415000000001</v>
      </c>
      <c r="N39" s="243"/>
      <c r="O39" s="826" t="s">
        <v>817</v>
      </c>
      <c r="P39" s="769"/>
      <c r="Q39" s="231"/>
      <c r="R39" s="390"/>
      <c r="S39" s="390"/>
      <c r="T39" s="231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  <c r="AK39" s="231"/>
      <c r="AL39" s="231"/>
      <c r="AM39" s="231"/>
      <c r="AN39" s="231"/>
      <c r="AO39" s="231"/>
      <c r="AP39" s="231"/>
      <c r="AQ39" s="231"/>
      <c r="AR39" s="231"/>
      <c r="AS39" s="231"/>
      <c r="AT39" s="231"/>
      <c r="AU39" s="231"/>
      <c r="AV39" s="231"/>
      <c r="AW39" s="231"/>
      <c r="AX39" s="231"/>
      <c r="AY39" s="231"/>
      <c r="AZ39" s="231"/>
      <c r="BA39" s="231"/>
      <c r="BB39" s="231"/>
      <c r="BC39" s="231"/>
      <c r="BD39" s="231"/>
      <c r="BE39" s="231"/>
      <c r="BF39" s="231"/>
      <c r="BG39" s="231"/>
      <c r="BH39" s="231"/>
      <c r="BI39" s="231"/>
      <c r="BJ39" s="231"/>
      <c r="BK39" s="231"/>
      <c r="BL39" s="231"/>
      <c r="BM39" s="231"/>
      <c r="BN39" s="231"/>
      <c r="BO39" s="231"/>
      <c r="BP39" s="231"/>
      <c r="BQ39" s="231"/>
      <c r="BR39" s="231"/>
      <c r="BS39" s="231"/>
      <c r="BT39" s="231"/>
      <c r="BU39" s="231"/>
      <c r="BV39" s="231"/>
    </row>
    <row r="40" spans="1:74" s="135" customFormat="1" ht="50.1" customHeight="1">
      <c r="A40" s="811"/>
      <c r="B40" s="814"/>
      <c r="C40" s="236">
        <v>4</v>
      </c>
      <c r="D40" s="237" t="s">
        <v>580</v>
      </c>
      <c r="E40" s="238"/>
      <c r="F40" s="238"/>
      <c r="G40" s="357" t="s">
        <v>798</v>
      </c>
      <c r="H40" s="305"/>
      <c r="I40" s="306"/>
      <c r="J40" s="236">
        <v>79.98</v>
      </c>
      <c r="K40" s="242">
        <v>1.9285826647789838E-2</v>
      </c>
      <c r="L40" s="236">
        <v>12.26</v>
      </c>
      <c r="M40" s="322">
        <f t="shared" si="3"/>
        <v>980.5548</v>
      </c>
      <c r="N40" s="243"/>
      <c r="O40" s="826" t="s">
        <v>818</v>
      </c>
      <c r="P40" s="769"/>
      <c r="Q40" s="231"/>
      <c r="R40" s="391"/>
      <c r="S40" s="391"/>
      <c r="T40" s="231"/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231"/>
      <c r="AP40" s="231"/>
      <c r="AQ40" s="231"/>
      <c r="AR40" s="231"/>
      <c r="AS40" s="231"/>
      <c r="AT40" s="231"/>
      <c r="AU40" s="231"/>
      <c r="AV40" s="231"/>
      <c r="AW40" s="231"/>
      <c r="AX40" s="231"/>
      <c r="AY40" s="231"/>
      <c r="AZ40" s="231"/>
      <c r="BA40" s="231"/>
      <c r="BB40" s="231"/>
      <c r="BC40" s="231"/>
      <c r="BD40" s="231"/>
      <c r="BE40" s="231"/>
      <c r="BF40" s="231"/>
      <c r="BG40" s="231"/>
      <c r="BH40" s="231"/>
      <c r="BI40" s="231"/>
      <c r="BJ40" s="231"/>
      <c r="BK40" s="231"/>
      <c r="BL40" s="231"/>
      <c r="BM40" s="231"/>
      <c r="BN40" s="231"/>
      <c r="BO40" s="231"/>
      <c r="BP40" s="231"/>
      <c r="BQ40" s="231"/>
      <c r="BR40" s="231"/>
      <c r="BS40" s="231"/>
      <c r="BT40" s="231"/>
      <c r="BU40" s="231"/>
      <c r="BV40" s="231"/>
    </row>
    <row r="41" spans="1:74" s="135" customFormat="1" ht="50.1" customHeight="1" thickBot="1">
      <c r="A41" s="811"/>
      <c r="B41" s="814"/>
      <c r="C41" s="236">
        <v>5</v>
      </c>
      <c r="D41" s="244" t="s">
        <v>710</v>
      </c>
      <c r="E41" s="245"/>
      <c r="F41" s="245"/>
      <c r="G41" s="357" t="s">
        <v>738</v>
      </c>
      <c r="H41" s="305"/>
      <c r="I41" s="306"/>
      <c r="J41" s="247">
        <v>91.13</v>
      </c>
      <c r="K41" s="248">
        <v>8.253760219684202E-3</v>
      </c>
      <c r="L41" s="247">
        <v>10.579999999999998</v>
      </c>
      <c r="M41" s="323">
        <f t="shared" si="3"/>
        <v>964.15539999999976</v>
      </c>
      <c r="N41" s="243"/>
      <c r="O41" s="826" t="s">
        <v>576</v>
      </c>
      <c r="P41" s="769"/>
      <c r="Q41" s="231"/>
      <c r="R41" s="390"/>
      <c r="S41" s="390"/>
      <c r="T41" s="231"/>
      <c r="U41" s="392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/>
      <c r="AP41" s="231"/>
      <c r="AQ41" s="231"/>
      <c r="AR41" s="231"/>
      <c r="AS41" s="231"/>
      <c r="AT41" s="231"/>
      <c r="AU41" s="231"/>
      <c r="AV41" s="231"/>
      <c r="AW41" s="231"/>
      <c r="AX41" s="231"/>
      <c r="AY41" s="231"/>
      <c r="AZ41" s="231"/>
      <c r="BA41" s="231"/>
      <c r="BB41" s="231"/>
      <c r="BC41" s="231"/>
      <c r="BD41" s="231"/>
      <c r="BE41" s="231"/>
      <c r="BF41" s="231"/>
      <c r="BG41" s="231"/>
      <c r="BH41" s="231"/>
      <c r="BI41" s="231"/>
      <c r="BJ41" s="231"/>
      <c r="BK41" s="231"/>
      <c r="BL41" s="231"/>
      <c r="BM41" s="231"/>
      <c r="BN41" s="231"/>
      <c r="BO41" s="231"/>
      <c r="BP41" s="231"/>
      <c r="BQ41" s="231"/>
      <c r="BR41" s="231"/>
      <c r="BS41" s="231"/>
      <c r="BT41" s="231"/>
      <c r="BU41" s="231"/>
      <c r="BV41" s="231"/>
    </row>
    <row r="42" spans="1:74" s="135" customFormat="1" ht="15.75" customHeight="1" thickTop="1">
      <c r="A42" s="812"/>
      <c r="B42" s="815"/>
      <c r="C42" s="683"/>
      <c r="D42" s="684"/>
      <c r="E42" s="684"/>
      <c r="F42" s="684"/>
      <c r="G42" s="684"/>
      <c r="H42" s="684"/>
      <c r="I42" s="818"/>
      <c r="J42" s="249" t="s">
        <v>58</v>
      </c>
      <c r="K42" s="212">
        <f>M42/'生產管理報表 7-1 (週)'!$B$20</f>
        <v>5.6259647719019118E-2</v>
      </c>
      <c r="L42" s="249" t="s">
        <v>59</v>
      </c>
      <c r="M42" s="324">
        <f>SUM(M37:M41)</f>
        <v>5483.7187000000004</v>
      </c>
      <c r="N42" s="784"/>
      <c r="O42" s="785"/>
      <c r="P42" s="786"/>
      <c r="Q42" s="231"/>
      <c r="R42" s="210"/>
      <c r="S42" s="210"/>
      <c r="T42" s="231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1"/>
      <c r="AG42" s="231"/>
      <c r="AH42" s="231"/>
      <c r="AI42" s="231"/>
      <c r="AJ42" s="231"/>
      <c r="AK42" s="231"/>
      <c r="AL42" s="231"/>
      <c r="AM42" s="231"/>
      <c r="AN42" s="231"/>
      <c r="AO42" s="231"/>
      <c r="AP42" s="231"/>
      <c r="AQ42" s="231"/>
      <c r="AR42" s="231"/>
      <c r="AS42" s="231"/>
      <c r="AT42" s="231"/>
      <c r="AU42" s="231"/>
      <c r="AV42" s="231"/>
      <c r="AW42" s="231"/>
      <c r="AX42" s="231"/>
      <c r="AY42" s="231"/>
      <c r="AZ42" s="231"/>
      <c r="BA42" s="231"/>
      <c r="BB42" s="231"/>
      <c r="BC42" s="231"/>
      <c r="BD42" s="231"/>
      <c r="BE42" s="231"/>
      <c r="BF42" s="231"/>
      <c r="BG42" s="231"/>
      <c r="BH42" s="231"/>
      <c r="BI42" s="231"/>
      <c r="BJ42" s="231"/>
      <c r="BK42" s="231"/>
      <c r="BL42" s="231"/>
      <c r="BM42" s="231"/>
      <c r="BN42" s="231"/>
      <c r="BO42" s="231"/>
      <c r="BP42" s="231"/>
      <c r="BQ42" s="231"/>
      <c r="BR42" s="231"/>
      <c r="BS42" s="231"/>
      <c r="BT42" s="231"/>
      <c r="BU42" s="231"/>
      <c r="BV42" s="231"/>
    </row>
    <row r="43" spans="1:74" s="135" customFormat="1" ht="15.75" customHeight="1">
      <c r="B43" s="232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51"/>
      <c r="O43" s="251"/>
      <c r="P43" s="251"/>
      <c r="Q43" s="231"/>
      <c r="R43" s="261"/>
      <c r="S43" s="261"/>
      <c r="T43" s="231"/>
      <c r="U43" s="231"/>
      <c r="V43" s="231"/>
      <c r="W43" s="231"/>
      <c r="X43" s="231"/>
      <c r="Y43" s="231"/>
      <c r="Z43" s="231"/>
      <c r="AA43" s="231"/>
      <c r="AB43" s="231"/>
      <c r="AC43" s="231"/>
      <c r="AD43" s="231"/>
      <c r="AE43" s="231"/>
      <c r="AF43" s="231"/>
      <c r="AG43" s="231"/>
      <c r="AH43" s="231"/>
      <c r="AI43" s="231"/>
      <c r="AJ43" s="231"/>
      <c r="AK43" s="231"/>
      <c r="AL43" s="231"/>
      <c r="AM43" s="231"/>
      <c r="AN43" s="231"/>
      <c r="AO43" s="231"/>
      <c r="AP43" s="231"/>
      <c r="AQ43" s="231"/>
      <c r="AR43" s="231"/>
      <c r="AS43" s="231"/>
      <c r="AT43" s="231"/>
      <c r="AU43" s="231"/>
      <c r="AV43" s="231"/>
      <c r="AW43" s="231"/>
      <c r="AX43" s="231"/>
      <c r="AY43" s="231"/>
      <c r="AZ43" s="231"/>
      <c r="BA43" s="231"/>
      <c r="BB43" s="231"/>
      <c r="BC43" s="231"/>
      <c r="BD43" s="231"/>
      <c r="BE43" s="231"/>
      <c r="BF43" s="231"/>
      <c r="BG43" s="231"/>
      <c r="BH43" s="231"/>
      <c r="BI43" s="231"/>
      <c r="BJ43" s="231"/>
      <c r="BK43" s="231"/>
      <c r="BL43" s="231"/>
      <c r="BM43" s="231"/>
      <c r="BN43" s="231"/>
      <c r="BO43" s="231"/>
      <c r="BP43" s="231"/>
      <c r="BQ43" s="231"/>
      <c r="BR43" s="231"/>
      <c r="BS43" s="231"/>
      <c r="BT43" s="231"/>
      <c r="BU43" s="231"/>
      <c r="BV43" s="231"/>
    </row>
    <row r="44" spans="1:74" s="135" customFormat="1" ht="15.75" customHeight="1">
      <c r="A44" s="766" t="s">
        <v>191</v>
      </c>
      <c r="B44" s="767"/>
      <c r="C44" s="252" t="s">
        <v>47</v>
      </c>
      <c r="D44" s="680" t="s">
        <v>12</v>
      </c>
      <c r="E44" s="681"/>
      <c r="F44" s="682"/>
      <c r="G44" s="680" t="s">
        <v>53</v>
      </c>
      <c r="H44" s="681"/>
      <c r="I44" s="682"/>
      <c r="J44" s="254" t="s">
        <v>54</v>
      </c>
      <c r="K44" s="254" t="s">
        <v>55</v>
      </c>
      <c r="L44" s="254" t="s">
        <v>56</v>
      </c>
      <c r="M44" s="254" t="s">
        <v>11</v>
      </c>
      <c r="N44" s="255" t="s">
        <v>333</v>
      </c>
      <c r="O44" s="775" t="s">
        <v>51</v>
      </c>
      <c r="P44" s="776"/>
      <c r="Q44" s="231"/>
      <c r="R44" s="210"/>
      <c r="S44" s="210"/>
      <c r="T44" s="231"/>
      <c r="U44" s="231"/>
      <c r="V44" s="231"/>
      <c r="W44" s="231"/>
      <c r="X44" s="231"/>
      <c r="Y44" s="231"/>
      <c r="Z44" s="231"/>
      <c r="AA44" s="231"/>
      <c r="AB44" s="231"/>
      <c r="AC44" s="231"/>
      <c r="AD44" s="231"/>
      <c r="AE44" s="231"/>
      <c r="AF44" s="231"/>
      <c r="AG44" s="231"/>
      <c r="AH44" s="231"/>
      <c r="AI44" s="231"/>
    </row>
    <row r="45" spans="1:74" s="135" customFormat="1" ht="20.100000000000001" customHeight="1">
      <c r="A45" s="810">
        <v>2</v>
      </c>
      <c r="B45" s="813" t="s">
        <v>213</v>
      </c>
      <c r="C45" s="256">
        <v>1</v>
      </c>
      <c r="D45" s="237"/>
      <c r="E45" s="238"/>
      <c r="F45" s="239"/>
      <c r="G45" s="237"/>
      <c r="H45" s="238"/>
      <c r="I45" s="239"/>
      <c r="J45" s="257"/>
      <c r="K45" s="258"/>
      <c r="L45" s="257"/>
      <c r="M45" s="259">
        <f t="shared" ref="M45:M49" si="4">L45*J45</f>
        <v>0</v>
      </c>
      <c r="N45" s="260"/>
      <c r="O45" s="777"/>
      <c r="P45" s="778"/>
      <c r="Q45" s="231"/>
      <c r="R45" s="261"/>
      <c r="S45" s="261"/>
      <c r="T45" s="23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</row>
    <row r="46" spans="1:74" s="135" customFormat="1" ht="20.100000000000001" customHeight="1">
      <c r="A46" s="811"/>
      <c r="B46" s="814"/>
      <c r="C46" s="256">
        <v>2</v>
      </c>
      <c r="D46" s="237"/>
      <c r="E46" s="238"/>
      <c r="F46" s="239"/>
      <c r="G46" s="237"/>
      <c r="H46" s="238"/>
      <c r="I46" s="239"/>
      <c r="J46" s="257"/>
      <c r="K46" s="258"/>
      <c r="L46" s="257"/>
      <c r="M46" s="259">
        <f t="shared" si="4"/>
        <v>0</v>
      </c>
      <c r="N46" s="260"/>
      <c r="O46" s="777"/>
      <c r="P46" s="778"/>
      <c r="Q46" s="231"/>
      <c r="R46" s="210"/>
      <c r="S46" s="210"/>
      <c r="T46" s="231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</row>
    <row r="47" spans="1:74" s="135" customFormat="1" ht="20.100000000000001" customHeight="1">
      <c r="A47" s="811"/>
      <c r="B47" s="814"/>
      <c r="C47" s="256">
        <v>3</v>
      </c>
      <c r="D47" s="237"/>
      <c r="E47" s="238"/>
      <c r="F47" s="239"/>
      <c r="G47" s="237"/>
      <c r="H47" s="238"/>
      <c r="I47" s="268"/>
      <c r="J47" s="257"/>
      <c r="K47" s="258"/>
      <c r="L47" s="257"/>
      <c r="M47" s="259">
        <f t="shared" si="4"/>
        <v>0</v>
      </c>
      <c r="N47" s="260"/>
      <c r="O47" s="777"/>
      <c r="P47" s="778"/>
      <c r="Q47" s="231"/>
      <c r="R47" s="261"/>
      <c r="S47" s="261"/>
      <c r="T47" s="231"/>
      <c r="U47" s="231"/>
      <c r="V47" s="231"/>
      <c r="W47" s="231"/>
      <c r="X47" s="231"/>
      <c r="Y47" s="231"/>
      <c r="Z47" s="231"/>
      <c r="AA47" s="231"/>
      <c r="AB47" s="231"/>
      <c r="AC47" s="231"/>
      <c r="AD47" s="231"/>
      <c r="AE47" s="231"/>
      <c r="AF47" s="231"/>
      <c r="AG47" s="231"/>
    </row>
    <row r="48" spans="1:74" s="135" customFormat="1" ht="20.100000000000001" customHeight="1">
      <c r="A48" s="811"/>
      <c r="B48" s="814"/>
      <c r="C48" s="256">
        <v>4</v>
      </c>
      <c r="D48" s="237"/>
      <c r="E48" s="238"/>
      <c r="F48" s="239"/>
      <c r="G48" s="237"/>
      <c r="H48" s="238"/>
      <c r="I48" s="239"/>
      <c r="J48" s="257"/>
      <c r="K48" s="258"/>
      <c r="L48" s="257"/>
      <c r="M48" s="259">
        <f t="shared" si="4"/>
        <v>0</v>
      </c>
      <c r="N48" s="260"/>
      <c r="O48" s="777"/>
      <c r="P48" s="778"/>
      <c r="Q48" s="231"/>
      <c r="R48" s="210"/>
      <c r="S48" s="210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</row>
    <row r="49" spans="1:35" s="135" customFormat="1" ht="20.100000000000001" customHeight="1" thickBot="1">
      <c r="A49" s="811"/>
      <c r="B49" s="814"/>
      <c r="C49" s="262">
        <v>5</v>
      </c>
      <c r="D49" s="244"/>
      <c r="E49" s="245"/>
      <c r="F49" s="246"/>
      <c r="G49" s="237"/>
      <c r="H49" s="238"/>
      <c r="I49" s="239"/>
      <c r="J49" s="263"/>
      <c r="K49" s="264"/>
      <c r="L49" s="263"/>
      <c r="M49" s="265">
        <f t="shared" si="4"/>
        <v>0</v>
      </c>
      <c r="N49" s="266"/>
      <c r="O49" s="777"/>
      <c r="P49" s="778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1"/>
      <c r="AG49" s="231"/>
    </row>
    <row r="50" spans="1:35" s="135" customFormat="1" ht="15.75" customHeight="1" thickTop="1">
      <c r="A50" s="812"/>
      <c r="B50" s="815"/>
      <c r="C50" s="683"/>
      <c r="D50" s="684"/>
      <c r="E50" s="684"/>
      <c r="F50" s="684"/>
      <c r="G50" s="684"/>
      <c r="H50" s="684"/>
      <c r="I50" s="818"/>
      <c r="J50" s="249" t="s">
        <v>58</v>
      </c>
      <c r="K50" s="212">
        <f>M50/'生產管理報表 7-1 (週)'!$B$20</f>
        <v>0</v>
      </c>
      <c r="L50" s="249" t="s">
        <v>59</v>
      </c>
      <c r="M50" s="250">
        <f>SUM(M45:M49)</f>
        <v>0</v>
      </c>
      <c r="N50" s="779"/>
      <c r="O50" s="780"/>
      <c r="P50" s="781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</row>
    <row r="51" spans="1:35" s="135" customFormat="1" ht="15.75" customHeight="1">
      <c r="B51" s="232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67"/>
      <c r="O51" s="267"/>
      <c r="P51" s="267"/>
      <c r="Q51" s="231"/>
      <c r="R51" s="231"/>
      <c r="S51" s="231"/>
      <c r="T51" s="231"/>
      <c r="U51" s="231"/>
      <c r="V51" s="231"/>
      <c r="W51" s="231"/>
      <c r="X51" s="231"/>
      <c r="Y51" s="231"/>
      <c r="Z51" s="231"/>
      <c r="AA51" s="231"/>
      <c r="AB51" s="231"/>
      <c r="AC51" s="231"/>
      <c r="AD51" s="231"/>
      <c r="AE51" s="231"/>
      <c r="AF51" s="231"/>
      <c r="AG51" s="231"/>
    </row>
    <row r="52" spans="1:35" s="135" customFormat="1" ht="15.75" customHeight="1">
      <c r="A52" s="766" t="s">
        <v>191</v>
      </c>
      <c r="B52" s="767"/>
      <c r="C52" s="252" t="s">
        <v>47</v>
      </c>
      <c r="D52" s="680" t="s">
        <v>12</v>
      </c>
      <c r="E52" s="681"/>
      <c r="F52" s="682"/>
      <c r="G52" s="680" t="s">
        <v>53</v>
      </c>
      <c r="H52" s="681"/>
      <c r="I52" s="809"/>
      <c r="J52" s="253" t="s">
        <v>54</v>
      </c>
      <c r="K52" s="254" t="s">
        <v>55</v>
      </c>
      <c r="L52" s="254" t="s">
        <v>56</v>
      </c>
      <c r="M52" s="254" t="s">
        <v>11</v>
      </c>
      <c r="N52" s="255" t="s">
        <v>333</v>
      </c>
      <c r="O52" s="773" t="s">
        <v>51</v>
      </c>
      <c r="P52" s="774"/>
      <c r="Q52" s="231"/>
      <c r="R52" s="231"/>
      <c r="S52" s="231"/>
      <c r="T52" s="231"/>
      <c r="U52" s="231"/>
      <c r="V52" s="23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</row>
    <row r="53" spans="1:35" s="135" customFormat="1" ht="50.1" customHeight="1">
      <c r="A53" s="810">
        <v>3</v>
      </c>
      <c r="B53" s="813" t="s">
        <v>422</v>
      </c>
      <c r="C53" s="256">
        <v>1</v>
      </c>
      <c r="D53" s="237" t="s">
        <v>340</v>
      </c>
      <c r="E53" s="238"/>
      <c r="F53" s="239"/>
      <c r="G53" s="246" t="s">
        <v>448</v>
      </c>
      <c r="H53" s="245"/>
      <c r="I53" s="246"/>
      <c r="J53" s="257">
        <v>2.4499999999999997</v>
      </c>
      <c r="K53" s="258">
        <v>6.3649368689486455E-3</v>
      </c>
      <c r="L53" s="257">
        <v>921</v>
      </c>
      <c r="M53" s="325">
        <f t="shared" ref="M53:M57" si="5">L53*J53</f>
        <v>2256.4499999999998</v>
      </c>
      <c r="N53" s="270"/>
      <c r="O53" s="816" t="s">
        <v>460</v>
      </c>
      <c r="P53" s="817"/>
      <c r="Q53" s="231"/>
      <c r="R53" s="392"/>
      <c r="S53" s="392"/>
      <c r="T53" s="231"/>
      <c r="U53" s="231"/>
      <c r="V53" s="231"/>
      <c r="W53" s="231"/>
      <c r="X53" s="231"/>
      <c r="Y53" s="231"/>
      <c r="Z53" s="231"/>
      <c r="AA53" s="231"/>
      <c r="AB53" s="231"/>
      <c r="AC53" s="231"/>
      <c r="AD53" s="231"/>
      <c r="AE53" s="231"/>
      <c r="AF53" s="231"/>
      <c r="AG53" s="231"/>
      <c r="AH53" s="231"/>
      <c r="AI53" s="231"/>
    </row>
    <row r="54" spans="1:35" s="135" customFormat="1" ht="50.1" customHeight="1">
      <c r="A54" s="811"/>
      <c r="B54" s="814"/>
      <c r="C54" s="256">
        <v>2</v>
      </c>
      <c r="D54" s="237" t="s">
        <v>340</v>
      </c>
      <c r="E54" s="238"/>
      <c r="F54" s="239"/>
      <c r="G54" s="246" t="s">
        <v>447</v>
      </c>
      <c r="H54" s="245"/>
      <c r="I54" s="246"/>
      <c r="J54" s="257">
        <v>1.17</v>
      </c>
      <c r="K54" s="258">
        <v>6.7536918502091627E-3</v>
      </c>
      <c r="L54" s="257">
        <v>1608</v>
      </c>
      <c r="M54" s="325">
        <f t="shared" si="5"/>
        <v>1881.36</v>
      </c>
      <c r="N54" s="270"/>
      <c r="O54" s="768" t="s">
        <v>528</v>
      </c>
      <c r="P54" s="769"/>
      <c r="Q54" s="231"/>
      <c r="R54" s="392"/>
      <c r="S54" s="398"/>
      <c r="T54" s="231"/>
      <c r="U54" s="231"/>
      <c r="V54" s="231"/>
      <c r="W54" s="231"/>
      <c r="X54" s="231"/>
      <c r="Y54" s="231"/>
      <c r="Z54" s="231"/>
      <c r="AA54" s="231"/>
      <c r="AB54" s="231"/>
      <c r="AC54" s="231"/>
      <c r="AD54" s="231"/>
      <c r="AE54" s="231"/>
      <c r="AF54" s="231"/>
      <c r="AG54" s="231"/>
      <c r="AH54" s="231"/>
      <c r="AI54" s="231"/>
    </row>
    <row r="55" spans="1:35" s="135" customFormat="1" ht="50.1" customHeight="1">
      <c r="A55" s="811"/>
      <c r="B55" s="814"/>
      <c r="C55" s="256">
        <v>3</v>
      </c>
      <c r="D55" s="237" t="s">
        <v>697</v>
      </c>
      <c r="E55" s="238"/>
      <c r="F55" s="239"/>
      <c r="G55" s="246" t="s">
        <v>692</v>
      </c>
      <c r="H55" s="245"/>
      <c r="I55" s="246"/>
      <c r="J55" s="257">
        <v>625.93999999999994</v>
      </c>
      <c r="K55" s="258">
        <v>1.3508242194836531E-3</v>
      </c>
      <c r="L55" s="257">
        <v>1.87</v>
      </c>
      <c r="M55" s="325">
        <f t="shared" si="5"/>
        <v>1170.5077999999999</v>
      </c>
      <c r="N55" s="270"/>
      <c r="O55" s="768" t="s">
        <v>594</v>
      </c>
      <c r="P55" s="769"/>
      <c r="Q55" s="392"/>
      <c r="R55" s="392"/>
      <c r="S55" s="398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</row>
    <row r="56" spans="1:35" s="135" customFormat="1" ht="50.1" customHeight="1">
      <c r="A56" s="811"/>
      <c r="B56" s="814"/>
      <c r="C56" s="256">
        <v>4</v>
      </c>
      <c r="D56" s="237" t="s">
        <v>463</v>
      </c>
      <c r="E56" s="238"/>
      <c r="F56" s="239"/>
      <c r="G56" s="378" t="s">
        <v>461</v>
      </c>
      <c r="H56" s="359"/>
      <c r="I56" s="378"/>
      <c r="J56" s="269">
        <v>407.74000000000007</v>
      </c>
      <c r="K56" s="258">
        <v>2.5324944629258692E-3</v>
      </c>
      <c r="L56" s="257">
        <v>2.8699999999999997</v>
      </c>
      <c r="M56" s="325">
        <f t="shared" si="5"/>
        <v>1170.2138</v>
      </c>
      <c r="N56" s="270"/>
      <c r="O56" s="768" t="s">
        <v>594</v>
      </c>
      <c r="P56" s="769"/>
      <c r="Q56" s="231"/>
      <c r="R56" s="231"/>
      <c r="S56"/>
      <c r="T56" s="231"/>
      <c r="U56" s="231"/>
      <c r="V56" s="231"/>
      <c r="W56" s="231"/>
      <c r="X56" s="231"/>
      <c r="Y56" s="231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</row>
    <row r="57" spans="1:35" s="135" customFormat="1" ht="50.1" customHeight="1" thickBot="1">
      <c r="A57" s="811"/>
      <c r="B57" s="814"/>
      <c r="C57" s="262">
        <v>5</v>
      </c>
      <c r="D57" s="244" t="s">
        <v>566</v>
      </c>
      <c r="E57" s="245"/>
      <c r="F57" s="246"/>
      <c r="G57" s="271" t="s">
        <v>581</v>
      </c>
      <c r="H57" s="245"/>
      <c r="I57" s="271"/>
      <c r="J57" s="272">
        <v>24.59</v>
      </c>
      <c r="K57" s="264">
        <v>3.2377793571823424E-3</v>
      </c>
      <c r="L57" s="273">
        <v>41</v>
      </c>
      <c r="M57" s="325">
        <f t="shared" si="5"/>
        <v>1008.1899999999999</v>
      </c>
      <c r="N57" s="270"/>
      <c r="O57" s="768" t="s">
        <v>661</v>
      </c>
      <c r="P57" s="769"/>
      <c r="Q57" s="231"/>
      <c r="R57" s="231"/>
      <c r="S57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</row>
    <row r="58" spans="1:35" s="135" customFormat="1" ht="15.75" customHeight="1" thickTop="1">
      <c r="A58" s="812"/>
      <c r="B58" s="815"/>
      <c r="C58" s="683"/>
      <c r="D58" s="684"/>
      <c r="E58" s="684"/>
      <c r="F58" s="684"/>
      <c r="G58" s="684"/>
      <c r="H58" s="684"/>
      <c r="I58" s="818"/>
      <c r="J58" s="274" t="s">
        <v>58</v>
      </c>
      <c r="K58" s="212">
        <f>M58/'生產管理報表 7-1 (週)'!$B$20</f>
        <v>7.6809249859291828E-2</v>
      </c>
      <c r="L58" s="274" t="s">
        <v>59</v>
      </c>
      <c r="M58" s="326">
        <f>SUM(M53:M57)</f>
        <v>7486.721599999998</v>
      </c>
      <c r="N58" s="770"/>
      <c r="O58" s="771"/>
      <c r="P58" s="772"/>
      <c r="Q58" s="231"/>
      <c r="R58" s="231"/>
      <c r="S58"/>
      <c r="T58" s="231"/>
      <c r="U58" s="231"/>
      <c r="V58" s="231"/>
      <c r="W58" s="231"/>
      <c r="X58" s="231"/>
      <c r="Y58" s="231"/>
      <c r="Z58" s="231"/>
      <c r="AA58" s="231"/>
      <c r="AB58" s="231"/>
      <c r="AC58" s="231"/>
      <c r="AD58" s="231"/>
      <c r="AE58" s="231"/>
      <c r="AF58" s="231"/>
      <c r="AG58" s="231"/>
      <c r="AH58" s="231"/>
      <c r="AI58" s="231"/>
    </row>
    <row r="59" spans="1:35" s="135" customFormat="1" ht="15.75" customHeight="1">
      <c r="A59" s="827" t="s">
        <v>816</v>
      </c>
      <c r="B59" s="827"/>
      <c r="C59" s="827"/>
      <c r="D59" s="827"/>
      <c r="E59" s="827"/>
      <c r="F59" s="827"/>
      <c r="G59" s="827"/>
      <c r="H59" s="827"/>
      <c r="I59" s="827"/>
      <c r="J59" s="827"/>
      <c r="K59" s="827"/>
      <c r="L59" s="827"/>
      <c r="M59" s="827"/>
      <c r="Q59" s="231"/>
      <c r="R59" s="231"/>
      <c r="S59" s="231"/>
      <c r="T59" s="231"/>
    </row>
    <row r="60" spans="1:35" s="136" customFormat="1" ht="15.75" customHeight="1">
      <c r="A60" s="763"/>
      <c r="B60" s="763"/>
      <c r="C60" s="763"/>
      <c r="D60" s="763"/>
      <c r="E60" s="763"/>
      <c r="F60" s="763"/>
      <c r="G60" s="763"/>
      <c r="H60" s="763"/>
      <c r="I60" s="763"/>
      <c r="J60" s="763"/>
      <c r="K60" s="763"/>
      <c r="L60" s="763"/>
      <c r="M60" s="763"/>
    </row>
    <row r="61" spans="1:35" s="135" customFormat="1" ht="15.75" customHeight="1">
      <c r="A61" s="764" t="s">
        <v>191</v>
      </c>
      <c r="B61" s="757">
        <v>1</v>
      </c>
      <c r="C61" s="758"/>
      <c r="D61" s="757">
        <v>2</v>
      </c>
      <c r="E61" s="758"/>
      <c r="F61" s="757">
        <v>3</v>
      </c>
      <c r="G61" s="758"/>
      <c r="H61" s="766">
        <v>4</v>
      </c>
      <c r="I61" s="767"/>
      <c r="J61" s="766">
        <v>5</v>
      </c>
      <c r="K61" s="767"/>
      <c r="L61" s="766">
        <v>6</v>
      </c>
      <c r="M61" s="767"/>
      <c r="N61" s="766">
        <v>7</v>
      </c>
      <c r="O61" s="767"/>
      <c r="P61" s="352">
        <v>8</v>
      </c>
      <c r="Q61" s="231"/>
      <c r="R61" s="231"/>
      <c r="S61" s="231"/>
      <c r="T61" s="231"/>
    </row>
    <row r="62" spans="1:35" s="135" customFormat="1" ht="15.75" customHeight="1">
      <c r="A62" s="765"/>
      <c r="B62" s="759" t="s">
        <v>452</v>
      </c>
      <c r="C62" s="760"/>
      <c r="D62" s="759" t="s">
        <v>212</v>
      </c>
      <c r="E62" s="760"/>
      <c r="F62" s="759" t="s">
        <v>166</v>
      </c>
      <c r="G62" s="760"/>
      <c r="H62" s="761" t="s">
        <v>428</v>
      </c>
      <c r="I62" s="762"/>
      <c r="J62" s="761" t="s">
        <v>189</v>
      </c>
      <c r="K62" s="762"/>
      <c r="L62" s="761" t="s">
        <v>167</v>
      </c>
      <c r="M62" s="762"/>
      <c r="N62" s="761" t="s">
        <v>190</v>
      </c>
      <c r="O62" s="762"/>
      <c r="P62" s="353" t="s">
        <v>217</v>
      </c>
      <c r="Q62" s="231"/>
      <c r="R62" s="231"/>
      <c r="S62" s="231"/>
      <c r="T62" s="231"/>
    </row>
    <row r="63" spans="1:35" s="135" customFormat="1" ht="15.75" customHeight="1">
      <c r="B63" s="232"/>
      <c r="C63" s="233"/>
      <c r="Q63" s="231"/>
      <c r="R63" s="231"/>
      <c r="S63" s="231"/>
      <c r="T63" s="231"/>
    </row>
    <row r="64" spans="1:35" s="235" customFormat="1" ht="15.75" customHeight="1">
      <c r="A64" s="766" t="s">
        <v>191</v>
      </c>
      <c r="B64" s="767"/>
      <c r="C64" s="234" t="s">
        <v>47</v>
      </c>
      <c r="D64" s="819" t="s">
        <v>12</v>
      </c>
      <c r="E64" s="681"/>
      <c r="F64" s="809"/>
      <c r="G64" s="820" t="s">
        <v>53</v>
      </c>
      <c r="H64" s="821"/>
      <c r="I64" s="822"/>
      <c r="J64" s="234" t="s">
        <v>54</v>
      </c>
      <c r="K64" s="234" t="s">
        <v>55</v>
      </c>
      <c r="L64" s="234" t="s">
        <v>56</v>
      </c>
      <c r="M64" s="234" t="s">
        <v>11</v>
      </c>
      <c r="N64" s="234" t="s">
        <v>333</v>
      </c>
      <c r="O64" s="823" t="s">
        <v>51</v>
      </c>
      <c r="P64" s="824"/>
    </row>
    <row r="65" spans="1:74" s="135" customFormat="1" ht="50.1" customHeight="1">
      <c r="A65" s="810">
        <v>1</v>
      </c>
      <c r="B65" s="813" t="s">
        <v>453</v>
      </c>
      <c r="C65" s="236">
        <v>1</v>
      </c>
      <c r="D65" s="237"/>
      <c r="E65" s="238"/>
      <c r="F65" s="238"/>
      <c r="G65" s="357"/>
      <c r="H65" s="305"/>
      <c r="I65" s="306"/>
      <c r="J65" s="236"/>
      <c r="K65" s="242"/>
      <c r="L65" s="236"/>
      <c r="M65" s="322">
        <f>L65*J65</f>
        <v>0</v>
      </c>
      <c r="N65" s="243"/>
      <c r="O65" s="748"/>
      <c r="P65" s="749"/>
      <c r="Q65" s="231"/>
      <c r="R65" s="390"/>
      <c r="S65" s="261"/>
      <c r="T65" s="231"/>
    </row>
    <row r="66" spans="1:74" s="135" customFormat="1" ht="50.1" customHeight="1">
      <c r="A66" s="811"/>
      <c r="B66" s="814"/>
      <c r="C66" s="236">
        <v>2</v>
      </c>
      <c r="D66" s="237"/>
      <c r="E66" s="238"/>
      <c r="F66" s="238"/>
      <c r="G66" s="357"/>
      <c r="H66" s="305"/>
      <c r="I66" s="306"/>
      <c r="J66" s="236"/>
      <c r="K66" s="242"/>
      <c r="L66" s="236"/>
      <c r="M66" s="322">
        <f t="shared" ref="M66:M69" si="6">L66*J66</f>
        <v>0</v>
      </c>
      <c r="N66" s="243"/>
      <c r="O66" s="825"/>
      <c r="P66" s="817"/>
      <c r="Q66" s="231"/>
      <c r="R66" s="391"/>
      <c r="S66" s="391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231"/>
      <c r="AO66" s="231"/>
      <c r="AP66" s="231"/>
      <c r="AQ66" s="231"/>
      <c r="AR66" s="231"/>
      <c r="AS66" s="231"/>
      <c r="AT66" s="231"/>
      <c r="AU66" s="231"/>
      <c r="AV66" s="231"/>
      <c r="AW66" s="231"/>
      <c r="AX66" s="231"/>
      <c r="AY66" s="231"/>
      <c r="AZ66" s="231"/>
      <c r="BA66" s="231"/>
      <c r="BB66" s="231"/>
      <c r="BC66" s="231"/>
      <c r="BD66" s="231"/>
      <c r="BE66" s="231"/>
      <c r="BF66" s="231"/>
      <c r="BG66" s="231"/>
      <c r="BH66" s="231"/>
      <c r="BI66" s="231"/>
      <c r="BJ66" s="231"/>
      <c r="BK66" s="231"/>
      <c r="BL66" s="231"/>
      <c r="BM66" s="231"/>
      <c r="BN66" s="231"/>
      <c r="BO66" s="231"/>
      <c r="BP66" s="231"/>
      <c r="BQ66" s="231"/>
      <c r="BR66" s="231"/>
      <c r="BS66" s="231"/>
      <c r="BT66" s="231"/>
      <c r="BU66" s="231"/>
      <c r="BV66" s="231"/>
    </row>
    <row r="67" spans="1:74" s="135" customFormat="1" ht="50.1" customHeight="1">
      <c r="A67" s="811"/>
      <c r="B67" s="814"/>
      <c r="C67" s="236">
        <v>3</v>
      </c>
      <c r="D67" s="237"/>
      <c r="E67" s="238"/>
      <c r="F67" s="238"/>
      <c r="G67" s="357"/>
      <c r="H67" s="305"/>
      <c r="I67" s="306"/>
      <c r="J67" s="236"/>
      <c r="K67" s="242"/>
      <c r="L67" s="236"/>
      <c r="M67" s="322">
        <f t="shared" si="6"/>
        <v>0</v>
      </c>
      <c r="N67" s="243"/>
      <c r="O67" s="826"/>
      <c r="P67" s="769"/>
      <c r="Q67" s="231"/>
      <c r="R67" s="390"/>
      <c r="S67" s="390"/>
      <c r="T67" s="231"/>
      <c r="U67" s="231"/>
      <c r="V67" s="231"/>
      <c r="W67" s="231"/>
      <c r="X67" s="231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1"/>
      <c r="AU67" s="231"/>
      <c r="AV67" s="231"/>
      <c r="AW67" s="231"/>
      <c r="AX67" s="231"/>
      <c r="AY67" s="231"/>
      <c r="AZ67" s="231"/>
      <c r="BA67" s="231"/>
      <c r="BB67" s="231"/>
      <c r="BC67" s="231"/>
      <c r="BD67" s="231"/>
      <c r="BE67" s="231"/>
      <c r="BF67" s="231"/>
      <c r="BG67" s="231"/>
      <c r="BH67" s="231"/>
      <c r="BI67" s="231"/>
      <c r="BJ67" s="231"/>
      <c r="BK67" s="231"/>
      <c r="BL67" s="231"/>
      <c r="BM67" s="231"/>
      <c r="BN67" s="231"/>
      <c r="BO67" s="231"/>
      <c r="BP67" s="231"/>
      <c r="BQ67" s="231"/>
      <c r="BR67" s="231"/>
      <c r="BS67" s="231"/>
      <c r="BT67" s="231"/>
      <c r="BU67" s="231"/>
      <c r="BV67" s="231"/>
    </row>
    <row r="68" spans="1:74" s="135" customFormat="1" ht="50.1" customHeight="1">
      <c r="A68" s="811"/>
      <c r="B68" s="814"/>
      <c r="C68" s="236">
        <v>4</v>
      </c>
      <c r="D68" s="237"/>
      <c r="E68" s="238"/>
      <c r="F68" s="238"/>
      <c r="G68" s="357"/>
      <c r="H68" s="305"/>
      <c r="I68" s="306"/>
      <c r="J68" s="236"/>
      <c r="K68" s="242"/>
      <c r="L68" s="236"/>
      <c r="M68" s="322">
        <f t="shared" si="6"/>
        <v>0</v>
      </c>
      <c r="N68" s="243"/>
      <c r="O68" s="826"/>
      <c r="P68" s="769"/>
      <c r="Q68" s="231"/>
      <c r="R68" s="391"/>
      <c r="S68" s="39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231"/>
      <c r="AO68" s="231"/>
      <c r="AP68" s="231"/>
      <c r="AQ68" s="231"/>
      <c r="AR68" s="231"/>
      <c r="AS68" s="231"/>
      <c r="AT68" s="231"/>
      <c r="AU68" s="231"/>
      <c r="AV68" s="231"/>
      <c r="AW68" s="231"/>
      <c r="AX68" s="231"/>
      <c r="AY68" s="231"/>
      <c r="AZ68" s="231"/>
      <c r="BA68" s="231"/>
      <c r="BB68" s="231"/>
      <c r="BC68" s="231"/>
      <c r="BD68" s="231"/>
      <c r="BE68" s="231"/>
      <c r="BF68" s="231"/>
      <c r="BG68" s="231"/>
      <c r="BH68" s="231"/>
      <c r="BI68" s="231"/>
      <c r="BJ68" s="231"/>
      <c r="BK68" s="231"/>
      <c r="BL68" s="231"/>
      <c r="BM68" s="231"/>
      <c r="BN68" s="231"/>
      <c r="BO68" s="231"/>
      <c r="BP68" s="231"/>
      <c r="BQ68" s="231"/>
      <c r="BR68" s="231"/>
      <c r="BS68" s="231"/>
      <c r="BT68" s="231"/>
      <c r="BU68" s="231"/>
      <c r="BV68" s="231"/>
    </row>
    <row r="69" spans="1:74" s="135" customFormat="1" ht="50.1" customHeight="1" thickBot="1">
      <c r="A69" s="811"/>
      <c r="B69" s="814"/>
      <c r="C69" s="236">
        <v>5</v>
      </c>
      <c r="D69" s="244"/>
      <c r="E69" s="245"/>
      <c r="F69" s="245"/>
      <c r="G69" s="357"/>
      <c r="H69" s="305"/>
      <c r="I69" s="306"/>
      <c r="J69" s="247"/>
      <c r="K69" s="248"/>
      <c r="L69" s="247"/>
      <c r="M69" s="323">
        <f t="shared" si="6"/>
        <v>0</v>
      </c>
      <c r="N69" s="243"/>
      <c r="O69" s="826"/>
      <c r="P69" s="769"/>
      <c r="Q69" s="231"/>
      <c r="R69" s="390"/>
      <c r="S69" s="390"/>
      <c r="T69" s="231"/>
      <c r="U69" s="392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231"/>
      <c r="AZ69" s="231"/>
      <c r="BA69" s="231"/>
      <c r="BB69" s="231"/>
      <c r="BC69" s="231"/>
      <c r="BD69" s="231"/>
      <c r="BE69" s="231"/>
      <c r="BF69" s="231"/>
      <c r="BG69" s="231"/>
      <c r="BH69" s="231"/>
      <c r="BI69" s="231"/>
      <c r="BJ69" s="231"/>
      <c r="BK69" s="231"/>
      <c r="BL69" s="231"/>
      <c r="BM69" s="231"/>
      <c r="BN69" s="231"/>
      <c r="BO69" s="231"/>
      <c r="BP69" s="231"/>
      <c r="BQ69" s="231"/>
      <c r="BR69" s="231"/>
      <c r="BS69" s="231"/>
      <c r="BT69" s="231"/>
      <c r="BU69" s="231"/>
      <c r="BV69" s="231"/>
    </row>
    <row r="70" spans="1:74" s="135" customFormat="1" ht="15.75" customHeight="1" thickTop="1">
      <c r="A70" s="812"/>
      <c r="B70" s="815"/>
      <c r="C70" s="683"/>
      <c r="D70" s="684"/>
      <c r="E70" s="684"/>
      <c r="F70" s="684"/>
      <c r="G70" s="684"/>
      <c r="H70" s="684"/>
      <c r="I70" s="818"/>
      <c r="J70" s="249" t="s">
        <v>58</v>
      </c>
      <c r="K70" s="212">
        <f>M70/'生產管理報表 7-1 (週)'!$B$20</f>
        <v>0</v>
      </c>
      <c r="L70" s="249" t="s">
        <v>59</v>
      </c>
      <c r="M70" s="324">
        <f>SUM(M65:M69)</f>
        <v>0</v>
      </c>
      <c r="N70" s="784"/>
      <c r="O70" s="785"/>
      <c r="P70" s="786"/>
      <c r="Q70" s="231"/>
      <c r="R70" s="210"/>
      <c r="S70" s="210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231"/>
      <c r="AY70" s="231"/>
      <c r="AZ70" s="231"/>
      <c r="BA70" s="231"/>
      <c r="BB70" s="231"/>
      <c r="BC70" s="231"/>
      <c r="BD70" s="231"/>
      <c r="BE70" s="231"/>
      <c r="BF70" s="231"/>
      <c r="BG70" s="231"/>
      <c r="BH70" s="231"/>
      <c r="BI70" s="231"/>
      <c r="BJ70" s="231"/>
      <c r="BK70" s="231"/>
      <c r="BL70" s="231"/>
      <c r="BM70" s="231"/>
      <c r="BN70" s="231"/>
      <c r="BO70" s="231"/>
      <c r="BP70" s="231"/>
      <c r="BQ70" s="231"/>
      <c r="BR70" s="231"/>
      <c r="BS70" s="231"/>
      <c r="BT70" s="231"/>
      <c r="BU70" s="231"/>
      <c r="BV70" s="231"/>
    </row>
    <row r="71" spans="1:74" s="135" customFormat="1" ht="15.75" customHeight="1">
      <c r="B71" s="232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51"/>
      <c r="O71" s="251"/>
      <c r="P71" s="251"/>
      <c r="Q71" s="231"/>
      <c r="R71" s="261"/>
      <c r="S71" s="261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231"/>
      <c r="AT71" s="231"/>
      <c r="AU71" s="231"/>
      <c r="AV71" s="231"/>
      <c r="AW71" s="231"/>
      <c r="AX71" s="231"/>
      <c r="AY71" s="231"/>
      <c r="AZ71" s="231"/>
      <c r="BA71" s="231"/>
      <c r="BB71" s="231"/>
      <c r="BC71" s="231"/>
      <c r="BD71" s="231"/>
      <c r="BE71" s="231"/>
      <c r="BF71" s="231"/>
      <c r="BG71" s="231"/>
      <c r="BH71" s="231"/>
      <c r="BI71" s="231"/>
      <c r="BJ71" s="231"/>
      <c r="BK71" s="231"/>
      <c r="BL71" s="231"/>
      <c r="BM71" s="231"/>
      <c r="BN71" s="231"/>
      <c r="BO71" s="231"/>
      <c r="BP71" s="231"/>
      <c r="BQ71" s="231"/>
      <c r="BR71" s="231"/>
      <c r="BS71" s="231"/>
      <c r="BT71" s="231"/>
      <c r="BU71" s="231"/>
      <c r="BV71" s="231"/>
    </row>
    <row r="72" spans="1:74" s="135" customFormat="1" ht="15.75" customHeight="1">
      <c r="A72" s="766" t="s">
        <v>191</v>
      </c>
      <c r="B72" s="767"/>
      <c r="C72" s="252" t="s">
        <v>47</v>
      </c>
      <c r="D72" s="680" t="s">
        <v>12</v>
      </c>
      <c r="E72" s="681"/>
      <c r="F72" s="682"/>
      <c r="G72" s="680" t="s">
        <v>53</v>
      </c>
      <c r="H72" s="681"/>
      <c r="I72" s="682"/>
      <c r="J72" s="254" t="s">
        <v>54</v>
      </c>
      <c r="K72" s="254" t="s">
        <v>55</v>
      </c>
      <c r="L72" s="254" t="s">
        <v>56</v>
      </c>
      <c r="M72" s="254" t="s">
        <v>11</v>
      </c>
      <c r="N72" s="255" t="s">
        <v>333</v>
      </c>
      <c r="O72" s="775" t="s">
        <v>51</v>
      </c>
      <c r="P72" s="776"/>
      <c r="Q72" s="231"/>
      <c r="R72" s="210"/>
      <c r="S72" s="210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</row>
    <row r="73" spans="1:74" s="135" customFormat="1" ht="20.100000000000001" customHeight="1">
      <c r="A73" s="810">
        <v>2</v>
      </c>
      <c r="B73" s="813" t="s">
        <v>213</v>
      </c>
      <c r="C73" s="256">
        <v>1</v>
      </c>
      <c r="D73" s="237"/>
      <c r="E73" s="238"/>
      <c r="F73" s="239"/>
      <c r="G73" s="237"/>
      <c r="H73" s="238"/>
      <c r="I73" s="239"/>
      <c r="J73" s="257"/>
      <c r="K73" s="258"/>
      <c r="L73" s="257"/>
      <c r="M73" s="259">
        <f t="shared" ref="M73:M77" si="7">L73*J73</f>
        <v>0</v>
      </c>
      <c r="N73" s="260"/>
      <c r="O73" s="777"/>
      <c r="P73" s="778"/>
      <c r="Q73" s="231"/>
      <c r="R73" s="261"/>
      <c r="S73" s="261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</row>
    <row r="74" spans="1:74" s="135" customFormat="1" ht="20.100000000000001" customHeight="1">
      <c r="A74" s="811"/>
      <c r="B74" s="814"/>
      <c r="C74" s="256">
        <v>2</v>
      </c>
      <c r="D74" s="237"/>
      <c r="E74" s="238"/>
      <c r="F74" s="239"/>
      <c r="G74" s="237"/>
      <c r="H74" s="238"/>
      <c r="I74" s="239"/>
      <c r="J74" s="257"/>
      <c r="K74" s="258"/>
      <c r="L74" s="257"/>
      <c r="M74" s="259">
        <f t="shared" si="7"/>
        <v>0</v>
      </c>
      <c r="N74" s="260"/>
      <c r="O74" s="777"/>
      <c r="P74" s="778"/>
      <c r="Q74" s="231"/>
      <c r="R74" s="210"/>
      <c r="S74" s="210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</row>
    <row r="75" spans="1:74" s="135" customFormat="1" ht="20.100000000000001" customHeight="1">
      <c r="A75" s="811"/>
      <c r="B75" s="814"/>
      <c r="C75" s="256">
        <v>3</v>
      </c>
      <c r="D75" s="237"/>
      <c r="E75" s="238"/>
      <c r="F75" s="239"/>
      <c r="G75" s="237"/>
      <c r="H75" s="238"/>
      <c r="I75" s="268"/>
      <c r="J75" s="257"/>
      <c r="K75" s="258"/>
      <c r="L75" s="257"/>
      <c r="M75" s="259">
        <f t="shared" si="7"/>
        <v>0</v>
      </c>
      <c r="N75" s="260"/>
      <c r="O75" s="777"/>
      <c r="P75" s="778"/>
      <c r="Q75" s="231"/>
      <c r="R75" s="261"/>
      <c r="S75" s="26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</row>
    <row r="76" spans="1:74" s="135" customFormat="1" ht="20.100000000000001" customHeight="1">
      <c r="A76" s="811"/>
      <c r="B76" s="814"/>
      <c r="C76" s="256">
        <v>4</v>
      </c>
      <c r="D76" s="237"/>
      <c r="E76" s="238"/>
      <c r="F76" s="239"/>
      <c r="G76" s="237"/>
      <c r="H76" s="238"/>
      <c r="I76" s="239"/>
      <c r="J76" s="257"/>
      <c r="K76" s="258"/>
      <c r="L76" s="257"/>
      <c r="M76" s="259">
        <f t="shared" si="7"/>
        <v>0</v>
      </c>
      <c r="N76" s="260"/>
      <c r="O76" s="777"/>
      <c r="P76" s="778"/>
      <c r="Q76" s="231"/>
      <c r="R76" s="210"/>
      <c r="S76" s="210"/>
      <c r="T76" s="231"/>
      <c r="U76" s="231"/>
      <c r="V76" s="231"/>
      <c r="W76" s="231"/>
      <c r="X76" s="231"/>
      <c r="Y76" s="231"/>
      <c r="Z76" s="231"/>
      <c r="AA76" s="231"/>
      <c r="AB76" s="231"/>
      <c r="AC76" s="231"/>
      <c r="AD76" s="231"/>
      <c r="AE76" s="231"/>
      <c r="AF76" s="231"/>
      <c r="AG76" s="231"/>
    </row>
    <row r="77" spans="1:74" s="135" customFormat="1" ht="20.100000000000001" customHeight="1" thickBot="1">
      <c r="A77" s="811"/>
      <c r="B77" s="814"/>
      <c r="C77" s="262">
        <v>5</v>
      </c>
      <c r="D77" s="244"/>
      <c r="E77" s="245"/>
      <c r="F77" s="246"/>
      <c r="G77" s="237"/>
      <c r="H77" s="238"/>
      <c r="I77" s="239"/>
      <c r="J77" s="263"/>
      <c r="K77" s="264"/>
      <c r="L77" s="263"/>
      <c r="M77" s="265">
        <f t="shared" si="7"/>
        <v>0</v>
      </c>
      <c r="N77" s="266"/>
      <c r="O77" s="777"/>
      <c r="P77" s="778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</row>
    <row r="78" spans="1:74" s="135" customFormat="1" ht="15.75" customHeight="1" thickTop="1">
      <c r="A78" s="812"/>
      <c r="B78" s="815"/>
      <c r="C78" s="683"/>
      <c r="D78" s="684"/>
      <c r="E78" s="684"/>
      <c r="F78" s="684"/>
      <c r="G78" s="684"/>
      <c r="H78" s="684"/>
      <c r="I78" s="818"/>
      <c r="J78" s="249" t="s">
        <v>58</v>
      </c>
      <c r="K78" s="212">
        <f>M78/'生產管理報表 7-1 (週)'!$B$20</f>
        <v>0</v>
      </c>
      <c r="L78" s="249" t="s">
        <v>59</v>
      </c>
      <c r="M78" s="250">
        <f>SUM(M73:M77)</f>
        <v>0</v>
      </c>
      <c r="N78" s="779"/>
      <c r="O78" s="780"/>
      <c r="P78" s="781"/>
      <c r="Q78" s="231"/>
      <c r="R78" s="231"/>
      <c r="S78" s="231"/>
      <c r="T78" s="231"/>
      <c r="U78" s="231"/>
      <c r="V78" s="231"/>
      <c r="W78" s="231"/>
      <c r="X78" s="231"/>
      <c r="Y78" s="231"/>
      <c r="Z78" s="231"/>
      <c r="AA78" s="231"/>
      <c r="AB78" s="231"/>
      <c r="AC78" s="231"/>
      <c r="AD78" s="231"/>
      <c r="AE78" s="231"/>
      <c r="AF78" s="231"/>
      <c r="AG78" s="231"/>
    </row>
    <row r="79" spans="1:74" s="135" customFormat="1" ht="15.75" customHeight="1">
      <c r="B79" s="232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67"/>
      <c r="O79" s="267"/>
      <c r="P79" s="267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</row>
    <row r="80" spans="1:74" s="135" customFormat="1" ht="15.75" customHeight="1">
      <c r="A80" s="766" t="s">
        <v>191</v>
      </c>
      <c r="B80" s="767"/>
      <c r="C80" s="252" t="s">
        <v>47</v>
      </c>
      <c r="D80" s="680" t="s">
        <v>12</v>
      </c>
      <c r="E80" s="681"/>
      <c r="F80" s="682"/>
      <c r="G80" s="680" t="s">
        <v>53</v>
      </c>
      <c r="H80" s="681"/>
      <c r="I80" s="809"/>
      <c r="J80" s="253" t="s">
        <v>54</v>
      </c>
      <c r="K80" s="254" t="s">
        <v>55</v>
      </c>
      <c r="L80" s="254" t="s">
        <v>56</v>
      </c>
      <c r="M80" s="254" t="s">
        <v>11</v>
      </c>
      <c r="N80" s="255" t="s">
        <v>333</v>
      </c>
      <c r="O80" s="773" t="s">
        <v>51</v>
      </c>
      <c r="P80" s="774"/>
      <c r="Q80" s="231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</row>
    <row r="81" spans="1:35" s="135" customFormat="1" ht="50.1" customHeight="1">
      <c r="A81" s="810">
        <v>3</v>
      </c>
      <c r="B81" s="813" t="s">
        <v>422</v>
      </c>
      <c r="C81" s="256">
        <v>1</v>
      </c>
      <c r="D81" s="237"/>
      <c r="E81" s="238"/>
      <c r="F81" s="239"/>
      <c r="G81" s="246"/>
      <c r="H81" s="245"/>
      <c r="I81" s="246"/>
      <c r="J81" s="257"/>
      <c r="K81" s="258"/>
      <c r="L81" s="257"/>
      <c r="M81" s="325">
        <f t="shared" ref="M81:M85" si="8">L81*J81</f>
        <v>0</v>
      </c>
      <c r="N81" s="270"/>
      <c r="O81" s="816"/>
      <c r="P81" s="817"/>
      <c r="Q81" s="231"/>
      <c r="R81" s="392"/>
      <c r="S81" s="392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</row>
    <row r="82" spans="1:35" s="135" customFormat="1" ht="50.1" customHeight="1">
      <c r="A82" s="811"/>
      <c r="B82" s="814"/>
      <c r="C82" s="256">
        <v>2</v>
      </c>
      <c r="D82" s="237"/>
      <c r="E82" s="238"/>
      <c r="F82" s="239"/>
      <c r="G82" s="246"/>
      <c r="H82" s="245"/>
      <c r="I82" s="246"/>
      <c r="J82" s="257"/>
      <c r="K82" s="258"/>
      <c r="L82" s="257"/>
      <c r="M82" s="325">
        <f t="shared" si="8"/>
        <v>0</v>
      </c>
      <c r="N82" s="270"/>
      <c r="O82" s="768"/>
      <c r="P82" s="769"/>
      <c r="Q82" s="231"/>
      <c r="R82" s="392"/>
      <c r="S82" s="398"/>
      <c r="T82" s="23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</row>
    <row r="83" spans="1:35" s="135" customFormat="1" ht="50.1" customHeight="1">
      <c r="A83" s="811"/>
      <c r="B83" s="814"/>
      <c r="C83" s="256">
        <v>3</v>
      </c>
      <c r="D83" s="237"/>
      <c r="E83" s="238"/>
      <c r="F83" s="239"/>
      <c r="G83" s="246"/>
      <c r="H83" s="245"/>
      <c r="I83" s="246"/>
      <c r="J83" s="257"/>
      <c r="K83" s="258"/>
      <c r="L83" s="257"/>
      <c r="M83" s="325">
        <f t="shared" si="8"/>
        <v>0</v>
      </c>
      <c r="N83" s="270"/>
      <c r="O83" s="768"/>
      <c r="P83" s="769"/>
      <c r="Q83" s="392"/>
      <c r="R83" s="392"/>
      <c r="S83" s="398"/>
      <c r="T83" s="23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</row>
    <row r="84" spans="1:35" s="135" customFormat="1" ht="50.1" customHeight="1">
      <c r="A84" s="811"/>
      <c r="B84" s="814"/>
      <c r="C84" s="256">
        <v>4</v>
      </c>
      <c r="D84" s="237"/>
      <c r="E84" s="238"/>
      <c r="F84" s="239"/>
      <c r="G84" s="358"/>
      <c r="H84" s="359"/>
      <c r="I84" s="378"/>
      <c r="J84" s="269"/>
      <c r="K84" s="258"/>
      <c r="L84" s="257"/>
      <c r="M84" s="325">
        <f t="shared" si="8"/>
        <v>0</v>
      </c>
      <c r="N84" s="270"/>
      <c r="O84" s="768"/>
      <c r="P84" s="769"/>
      <c r="Q84" s="231"/>
      <c r="R84" s="231"/>
      <c r="S84"/>
      <c r="T84" s="231"/>
      <c r="U84" s="231"/>
      <c r="V84" s="231"/>
      <c r="W84" s="231"/>
      <c r="X84" s="231"/>
      <c r="Y84" s="231"/>
      <c r="Z84" s="231"/>
      <c r="AA84" s="231"/>
      <c r="AB84" s="231"/>
      <c r="AC84" s="231"/>
      <c r="AD84" s="231"/>
      <c r="AE84" s="231"/>
      <c r="AF84" s="231"/>
      <c r="AG84" s="231"/>
      <c r="AH84" s="231"/>
      <c r="AI84" s="231"/>
    </row>
    <row r="85" spans="1:35" s="135" customFormat="1" ht="50.1" customHeight="1" thickBot="1">
      <c r="A85" s="811"/>
      <c r="B85" s="814"/>
      <c r="C85" s="262">
        <v>5</v>
      </c>
      <c r="D85" s="244"/>
      <c r="E85" s="245"/>
      <c r="F85" s="246"/>
      <c r="G85" s="244"/>
      <c r="H85" s="245"/>
      <c r="I85" s="271"/>
      <c r="J85" s="272"/>
      <c r="K85" s="264"/>
      <c r="L85" s="273"/>
      <c r="M85" s="325">
        <f t="shared" si="8"/>
        <v>0</v>
      </c>
      <c r="N85" s="270"/>
      <c r="O85" s="768"/>
      <c r="P85" s="769"/>
      <c r="Q85" s="231"/>
      <c r="R85" s="231"/>
      <c r="S85"/>
      <c r="T85" s="231"/>
      <c r="U85" s="231"/>
      <c r="V85" s="231"/>
      <c r="W85" s="231"/>
      <c r="X85" s="231"/>
      <c r="Y85" s="231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</row>
    <row r="86" spans="1:35" s="135" customFormat="1" ht="15.75" customHeight="1" thickTop="1">
      <c r="A86" s="812"/>
      <c r="B86" s="815"/>
      <c r="C86" s="683"/>
      <c r="D86" s="684"/>
      <c r="E86" s="684"/>
      <c r="F86" s="684"/>
      <c r="G86" s="684"/>
      <c r="H86" s="684"/>
      <c r="I86" s="818"/>
      <c r="J86" s="274" t="s">
        <v>58</v>
      </c>
      <c r="K86" s="212">
        <f>M86/'生產管理報表 7-1 (週)'!$B$20</f>
        <v>0</v>
      </c>
      <c r="L86" s="274" t="s">
        <v>59</v>
      </c>
      <c r="M86" s="326">
        <f>SUM(M81:M85)</f>
        <v>0</v>
      </c>
      <c r="N86" s="770"/>
      <c r="O86" s="771"/>
      <c r="P86" s="772"/>
      <c r="Q86" s="231"/>
      <c r="R86" s="231"/>
      <c r="S86"/>
      <c r="T86" s="231"/>
      <c r="U86" s="231"/>
      <c r="V86" s="231"/>
      <c r="W86" s="231"/>
      <c r="X86" s="231"/>
      <c r="Y86" s="231"/>
      <c r="Z86" s="231"/>
      <c r="AA86" s="231"/>
      <c r="AB86" s="231"/>
      <c r="AC86" s="231"/>
      <c r="AD86" s="231"/>
      <c r="AE86" s="231"/>
      <c r="AF86" s="231"/>
      <c r="AG86" s="231"/>
      <c r="AH86" s="231"/>
      <c r="AI86" s="231"/>
    </row>
  </sheetData>
  <mergeCells count="166"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B62:C62"/>
    <mergeCell ref="D62:E62"/>
    <mergeCell ref="F62:G62"/>
    <mergeCell ref="H62:I62"/>
    <mergeCell ref="J62:K62"/>
    <mergeCell ref="L62:M62"/>
    <mergeCell ref="N62:O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30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92D050"/>
    <outlinePr summaryBelow="0" summaryRight="0"/>
  </sheetPr>
  <dimension ref="A1:U111"/>
  <sheetViews>
    <sheetView view="pageBreakPreview" topLeftCell="A50" zoomScale="91" zoomScaleNormal="60" zoomScaleSheetLayoutView="91" workbookViewId="0">
      <selection activeCell="S63" sqref="R63:S66"/>
    </sheetView>
  </sheetViews>
  <sheetFormatPr defaultColWidth="12.5703125" defaultRowHeight="15.75" customHeight="1"/>
  <cols>
    <col min="1" max="1" width="5.42578125" style="2" customWidth="1"/>
    <col min="2" max="2" width="11.42578125" style="97" customWidth="1"/>
    <col min="3" max="3" width="4" style="96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1" s="98" customFormat="1" ht="15.75" customHeight="1">
      <c r="A1" s="536" t="s">
        <v>361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</row>
    <row r="2" spans="1:21" s="99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6"/>
      <c r="P2" s="536"/>
    </row>
    <row r="3" spans="1:21" s="135" customFormat="1" ht="15.75" customHeight="1">
      <c r="A3" s="666" t="s">
        <v>768</v>
      </c>
      <c r="B3" s="666"/>
      <c r="C3" s="666"/>
      <c r="D3" s="666"/>
      <c r="E3" s="666"/>
      <c r="F3" s="666"/>
      <c r="G3" s="666"/>
      <c r="H3" s="666"/>
      <c r="I3" s="666"/>
      <c r="J3" s="666"/>
      <c r="K3" s="666"/>
      <c r="L3" s="666"/>
      <c r="M3" s="666"/>
      <c r="R3" s="231"/>
      <c r="S3" s="231"/>
      <c r="T3" s="231"/>
      <c r="U3" s="231"/>
    </row>
    <row r="4" spans="1:21" s="136" customFormat="1" ht="15.75" customHeight="1">
      <c r="A4" s="666"/>
      <c r="B4" s="666"/>
      <c r="C4" s="666"/>
      <c r="D4" s="666"/>
      <c r="E4" s="666"/>
      <c r="F4" s="666"/>
      <c r="G4" s="666"/>
      <c r="H4" s="666"/>
      <c r="I4" s="666"/>
      <c r="J4" s="666"/>
      <c r="K4" s="666"/>
      <c r="L4" s="666"/>
      <c r="M4" s="666"/>
    </row>
    <row r="5" spans="1:21" s="135" customFormat="1" ht="15.75" customHeight="1">
      <c r="A5" s="764" t="s">
        <v>191</v>
      </c>
      <c r="B5" s="766">
        <v>1</v>
      </c>
      <c r="C5" s="767"/>
      <c r="D5" s="766">
        <v>2</v>
      </c>
      <c r="E5" s="767"/>
      <c r="F5" s="766">
        <v>3</v>
      </c>
      <c r="G5" s="767"/>
      <c r="H5" s="757">
        <v>4</v>
      </c>
      <c r="I5" s="758"/>
      <c r="J5" s="757">
        <v>5</v>
      </c>
      <c r="K5" s="758"/>
      <c r="L5" s="757">
        <v>6</v>
      </c>
      <c r="M5" s="758"/>
      <c r="N5" s="757">
        <v>7</v>
      </c>
      <c r="O5" s="758"/>
      <c r="P5" s="352">
        <v>8</v>
      </c>
    </row>
    <row r="6" spans="1:21" s="135" customFormat="1" ht="15.75" customHeight="1">
      <c r="A6" s="765"/>
      <c r="B6" s="761" t="s">
        <v>452</v>
      </c>
      <c r="C6" s="762"/>
      <c r="D6" s="761" t="s">
        <v>212</v>
      </c>
      <c r="E6" s="762"/>
      <c r="F6" s="761" t="s">
        <v>166</v>
      </c>
      <c r="G6" s="762"/>
      <c r="H6" s="759" t="s">
        <v>428</v>
      </c>
      <c r="I6" s="760"/>
      <c r="J6" s="759" t="s">
        <v>189</v>
      </c>
      <c r="K6" s="760"/>
      <c r="L6" s="759" t="s">
        <v>167</v>
      </c>
      <c r="M6" s="760"/>
      <c r="N6" s="759" t="s">
        <v>190</v>
      </c>
      <c r="O6" s="760"/>
      <c r="P6" s="353" t="s">
        <v>217</v>
      </c>
    </row>
    <row r="7" spans="1:21" s="135" customFormat="1" ht="15.75" customHeight="1">
      <c r="B7" s="232"/>
      <c r="C7" s="233"/>
    </row>
    <row r="8" spans="1:21" s="278" customFormat="1" ht="15.75" customHeight="1">
      <c r="A8" s="701" t="s">
        <v>191</v>
      </c>
      <c r="B8" s="702"/>
      <c r="C8" s="275" t="s">
        <v>47</v>
      </c>
      <c r="D8" s="731" t="s">
        <v>12</v>
      </c>
      <c r="E8" s="732"/>
      <c r="F8" s="733"/>
      <c r="G8" s="734" t="s">
        <v>53</v>
      </c>
      <c r="H8" s="735"/>
      <c r="I8" s="736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333</v>
      </c>
      <c r="O8" s="709" t="s">
        <v>51</v>
      </c>
      <c r="P8" s="710"/>
      <c r="R8" s="210"/>
      <c r="S8" s="261"/>
    </row>
    <row r="9" spans="1:21" s="298" customFormat="1" ht="20.100000000000001" customHeight="1">
      <c r="A9" s="711">
        <v>4</v>
      </c>
      <c r="B9" s="745" t="s">
        <v>428</v>
      </c>
      <c r="C9" s="279">
        <v>1</v>
      </c>
      <c r="D9" s="237"/>
      <c r="E9" s="238"/>
      <c r="F9" s="239"/>
      <c r="G9" s="350"/>
      <c r="H9" s="305"/>
      <c r="I9" s="306"/>
      <c r="J9" s="312"/>
      <c r="K9" s="313"/>
      <c r="L9" s="314"/>
      <c r="M9" s="322">
        <f t="shared" ref="M9:M13" si="0">L9*J9</f>
        <v>0</v>
      </c>
      <c r="N9" s="314"/>
      <c r="O9" s="748"/>
      <c r="P9" s="749"/>
      <c r="R9" s="315"/>
      <c r="S9" s="261"/>
    </row>
    <row r="10" spans="1:21" s="298" customFormat="1" ht="20.100000000000001" customHeight="1">
      <c r="A10" s="712"/>
      <c r="B10" s="746"/>
      <c r="C10" s="279">
        <v>2</v>
      </c>
      <c r="D10" s="237"/>
      <c r="E10" s="238"/>
      <c r="F10" s="239"/>
      <c r="G10" s="350"/>
      <c r="H10" s="305"/>
      <c r="I10" s="306"/>
      <c r="J10" s="312"/>
      <c r="K10" s="313"/>
      <c r="L10" s="314"/>
      <c r="M10" s="322">
        <f t="shared" si="0"/>
        <v>0</v>
      </c>
      <c r="N10" s="314"/>
      <c r="O10" s="741"/>
      <c r="P10" s="742"/>
      <c r="R10" s="315"/>
      <c r="S10" s="210"/>
      <c r="T10" s="335"/>
    </row>
    <row r="11" spans="1:21" s="298" customFormat="1" ht="20.100000000000001" customHeight="1">
      <c r="A11" s="712"/>
      <c r="B11" s="746"/>
      <c r="C11" s="279">
        <v>3</v>
      </c>
      <c r="D11" s="237"/>
      <c r="E11" s="238"/>
      <c r="F11" s="239"/>
      <c r="G11" s="350"/>
      <c r="H11" s="305"/>
      <c r="I11" s="306"/>
      <c r="J11" s="312"/>
      <c r="K11" s="313"/>
      <c r="L11" s="314"/>
      <c r="M11" s="322">
        <f t="shared" si="0"/>
        <v>0</v>
      </c>
      <c r="N11" s="314"/>
      <c r="O11" s="748"/>
      <c r="P11" s="749"/>
      <c r="R11" s="315"/>
      <c r="S11" s="261"/>
    </row>
    <row r="12" spans="1:21" s="298" customFormat="1" ht="20.100000000000001" customHeight="1">
      <c r="A12" s="712"/>
      <c r="B12" s="746"/>
      <c r="C12" s="279">
        <v>4</v>
      </c>
      <c r="D12" s="237"/>
      <c r="E12" s="238"/>
      <c r="F12" s="239"/>
      <c r="G12" s="350"/>
      <c r="H12" s="305"/>
      <c r="I12" s="306"/>
      <c r="J12" s="312"/>
      <c r="K12" s="313"/>
      <c r="L12" s="314"/>
      <c r="M12" s="322">
        <f t="shared" si="0"/>
        <v>0</v>
      </c>
      <c r="N12" s="314"/>
      <c r="O12" s="748"/>
      <c r="P12" s="749"/>
      <c r="R12" s="315"/>
      <c r="S12" s="210"/>
      <c r="T12" s="335"/>
    </row>
    <row r="13" spans="1:21" s="298" customFormat="1" ht="20.100000000000001" customHeight="1" thickBot="1">
      <c r="A13" s="712"/>
      <c r="B13" s="746"/>
      <c r="C13" s="279">
        <v>5</v>
      </c>
      <c r="D13" s="237"/>
      <c r="E13" s="245"/>
      <c r="F13" s="246"/>
      <c r="G13" s="350"/>
      <c r="H13" s="305"/>
      <c r="I13" s="306"/>
      <c r="J13" s="388"/>
      <c r="K13" s="382"/>
      <c r="L13" s="317"/>
      <c r="M13" s="322">
        <f t="shared" si="0"/>
        <v>0</v>
      </c>
      <c r="N13" s="314"/>
      <c r="O13" s="748"/>
      <c r="P13" s="749"/>
      <c r="R13" s="318"/>
      <c r="S13" s="261"/>
      <c r="T13" s="289"/>
    </row>
    <row r="14" spans="1:21" s="289" customFormat="1" ht="15.75" customHeight="1" thickTop="1" thickBot="1">
      <c r="A14" s="713"/>
      <c r="B14" s="747"/>
      <c r="C14" s="754"/>
      <c r="D14" s="755"/>
      <c r="E14" s="755"/>
      <c r="F14" s="755"/>
      <c r="G14" s="755"/>
      <c r="H14" s="755"/>
      <c r="I14" s="756"/>
      <c r="J14" s="347" t="s">
        <v>58</v>
      </c>
      <c r="K14" s="212">
        <f>M14/'生產管理報表 7-1 (週)'!$B$9</f>
        <v>0</v>
      </c>
      <c r="L14" s="348" t="s">
        <v>59</v>
      </c>
      <c r="M14" s="389">
        <f>SUM(M9:M13)</f>
        <v>0</v>
      </c>
      <c r="N14" s="698"/>
      <c r="O14" s="699"/>
      <c r="P14" s="700"/>
      <c r="R14" s="210"/>
      <c r="S14" s="210"/>
    </row>
    <row r="15" spans="1:21" s="289" customFormat="1" ht="15.75" customHeight="1" thickTop="1">
      <c r="B15" s="297"/>
      <c r="C15" s="298"/>
      <c r="M15" s="329"/>
      <c r="S15" s="261"/>
    </row>
    <row r="16" spans="1:21" s="289" customFormat="1" ht="15.75" customHeight="1">
      <c r="A16" s="701" t="s">
        <v>191</v>
      </c>
      <c r="B16" s="702"/>
      <c r="C16" s="275" t="s">
        <v>47</v>
      </c>
      <c r="D16" s="731" t="s">
        <v>12</v>
      </c>
      <c r="E16" s="732"/>
      <c r="F16" s="733"/>
      <c r="G16" s="734" t="s">
        <v>53</v>
      </c>
      <c r="H16" s="735"/>
      <c r="I16" s="736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333</v>
      </c>
      <c r="O16" s="709" t="s">
        <v>51</v>
      </c>
      <c r="P16" s="710"/>
      <c r="S16" s="210"/>
      <c r="T16" s="335"/>
    </row>
    <row r="17" spans="1:20" s="298" customFormat="1" ht="20.100000000000001" customHeight="1">
      <c r="A17" s="711">
        <v>5</v>
      </c>
      <c r="B17" s="724" t="s">
        <v>215</v>
      </c>
      <c r="C17" s="279">
        <v>1</v>
      </c>
      <c r="D17" s="237"/>
      <c r="E17" s="238"/>
      <c r="F17" s="239"/>
      <c r="G17" s="350"/>
      <c r="H17" s="305"/>
      <c r="I17" s="306"/>
      <c r="J17" s="312"/>
      <c r="K17" s="313"/>
      <c r="L17" s="314"/>
      <c r="M17" s="322">
        <f>L17*J17</f>
        <v>0</v>
      </c>
      <c r="N17" s="314"/>
      <c r="O17" s="741"/>
      <c r="P17" s="742"/>
      <c r="R17" s="335"/>
      <c r="S17" s="390"/>
    </row>
    <row r="18" spans="1:20" s="298" customFormat="1" ht="20.100000000000001" customHeight="1">
      <c r="A18" s="712"/>
      <c r="B18" s="725"/>
      <c r="C18" s="279">
        <v>2</v>
      </c>
      <c r="D18" s="237"/>
      <c r="E18" s="238"/>
      <c r="F18" s="239"/>
      <c r="G18" s="350"/>
      <c r="H18" s="305"/>
      <c r="I18" s="306"/>
      <c r="J18" s="312"/>
      <c r="K18" s="313"/>
      <c r="L18" s="314"/>
      <c r="M18" s="322">
        <f t="shared" ref="M18:M21" si="1">L18*J18</f>
        <v>0</v>
      </c>
      <c r="N18" s="314"/>
      <c r="O18" s="741"/>
      <c r="P18" s="742"/>
      <c r="S18" s="210"/>
      <c r="T18" s="336"/>
    </row>
    <row r="19" spans="1:20" s="289" customFormat="1" ht="20.100000000000001" customHeight="1">
      <c r="A19" s="712"/>
      <c r="B19" s="725"/>
      <c r="C19" s="279">
        <v>3</v>
      </c>
      <c r="D19" s="237"/>
      <c r="E19" s="281"/>
      <c r="F19" s="282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29"/>
      <c r="P19" s="730"/>
    </row>
    <row r="20" spans="1:20" s="289" customFormat="1" ht="20.100000000000001" customHeight="1">
      <c r="A20" s="712"/>
      <c r="B20" s="725"/>
      <c r="C20" s="279">
        <v>4</v>
      </c>
      <c r="D20" s="237"/>
      <c r="E20" s="281"/>
      <c r="F20" s="282"/>
      <c r="G20" s="350"/>
      <c r="H20" s="305"/>
      <c r="I20" s="306"/>
      <c r="J20" s="312"/>
      <c r="K20" s="313"/>
      <c r="L20" s="314"/>
      <c r="M20" s="322">
        <f t="shared" si="1"/>
        <v>0</v>
      </c>
      <c r="N20" s="288"/>
      <c r="O20" s="741"/>
      <c r="P20" s="742"/>
    </row>
    <row r="21" spans="1:20" s="289" customFormat="1" ht="20.100000000000001" customHeight="1" thickBot="1">
      <c r="A21" s="712"/>
      <c r="B21" s="725"/>
      <c r="C21" s="279">
        <v>5</v>
      </c>
      <c r="D21" s="244"/>
      <c r="E21" s="291"/>
      <c r="F21" s="292"/>
      <c r="G21" s="350"/>
      <c r="H21" s="305"/>
      <c r="I21" s="306"/>
      <c r="J21" s="388"/>
      <c r="K21" s="382"/>
      <c r="L21" s="317"/>
      <c r="M21" s="322">
        <f t="shared" si="1"/>
        <v>0</v>
      </c>
      <c r="N21" s="288"/>
      <c r="O21" s="830"/>
      <c r="P21" s="832"/>
      <c r="R21" s="211"/>
    </row>
    <row r="22" spans="1:20" s="289" customFormat="1" ht="15.75" customHeight="1" thickTop="1" thickBot="1">
      <c r="A22" s="713"/>
      <c r="B22" s="726"/>
      <c r="C22" s="721"/>
      <c r="D22" s="722"/>
      <c r="E22" s="722"/>
      <c r="F22" s="722"/>
      <c r="G22" s="722"/>
      <c r="H22" s="722"/>
      <c r="I22" s="723"/>
      <c r="J22" s="347" t="s">
        <v>58</v>
      </c>
      <c r="K22" s="212">
        <f>M22/'生產管理報表 7-1 (週)'!$B$9</f>
        <v>0</v>
      </c>
      <c r="L22" s="348" t="s">
        <v>59</v>
      </c>
      <c r="M22" s="389">
        <f>SUM(M17:M21)</f>
        <v>0</v>
      </c>
      <c r="N22" s="698"/>
      <c r="O22" s="699"/>
      <c r="P22" s="700"/>
      <c r="R22" s="210"/>
    </row>
    <row r="23" spans="1:20" s="289" customFormat="1" ht="15.75" customHeight="1" thickTop="1">
      <c r="B23" s="297"/>
      <c r="C23" s="298"/>
      <c r="M23" s="329"/>
      <c r="R23" s="210"/>
    </row>
    <row r="24" spans="1:20" s="289" customFormat="1" ht="15.75" customHeight="1">
      <c r="A24" s="701" t="s">
        <v>191</v>
      </c>
      <c r="B24" s="702"/>
      <c r="C24" s="303" t="s">
        <v>47</v>
      </c>
      <c r="D24" s="703" t="s">
        <v>12</v>
      </c>
      <c r="E24" s="704"/>
      <c r="F24" s="705"/>
      <c r="G24" s="706" t="s">
        <v>53</v>
      </c>
      <c r="H24" s="707"/>
      <c r="I24" s="708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333</v>
      </c>
      <c r="O24" s="709" t="s">
        <v>51</v>
      </c>
      <c r="P24" s="710"/>
      <c r="R24" s="210"/>
      <c r="S24" s="2"/>
    </row>
    <row r="25" spans="1:20" s="289" customFormat="1" ht="39.950000000000003" customHeight="1">
      <c r="A25" s="711">
        <v>6</v>
      </c>
      <c r="B25" s="724" t="s">
        <v>216</v>
      </c>
      <c r="C25" s="279">
        <v>1</v>
      </c>
      <c r="D25" s="337" t="s">
        <v>523</v>
      </c>
      <c r="E25" s="281"/>
      <c r="F25" s="282"/>
      <c r="G25" s="306" t="s">
        <v>335</v>
      </c>
      <c r="H25" s="305"/>
      <c r="I25" s="240"/>
      <c r="J25" s="312">
        <v>15.450000000000001</v>
      </c>
      <c r="K25" s="313">
        <v>1.9950625789413251E-3</v>
      </c>
      <c r="L25" s="314">
        <v>139</v>
      </c>
      <c r="M25" s="322">
        <f t="shared" ref="M25:M29" si="2">L25*J25</f>
        <v>2147.5500000000002</v>
      </c>
      <c r="N25" s="288"/>
      <c r="O25" s="729" t="s">
        <v>575</v>
      </c>
      <c r="P25" s="730"/>
      <c r="R25" s="336"/>
      <c r="S25" s="397"/>
    </row>
    <row r="26" spans="1:20" s="298" customFormat="1" ht="39.950000000000003" customHeight="1">
      <c r="A26" s="712"/>
      <c r="B26" s="725"/>
      <c r="C26" s="279">
        <v>2</v>
      </c>
      <c r="D26" s="237" t="s">
        <v>614</v>
      </c>
      <c r="E26" s="238"/>
      <c r="F26" s="239"/>
      <c r="G26" s="306" t="s">
        <v>619</v>
      </c>
      <c r="H26" s="305"/>
      <c r="I26" s="240"/>
      <c r="J26" s="312">
        <v>39.389999999999993</v>
      </c>
      <c r="K26" s="313">
        <v>6.0830035127875017E-3</v>
      </c>
      <c r="L26" s="314">
        <v>38.270000000000003</v>
      </c>
      <c r="M26" s="322">
        <f t="shared" si="2"/>
        <v>1507.4552999999999</v>
      </c>
      <c r="N26" s="314"/>
      <c r="O26" s="828" t="s">
        <v>687</v>
      </c>
      <c r="P26" s="829"/>
      <c r="S26" s="96"/>
    </row>
    <row r="27" spans="1:20" s="289" customFormat="1" ht="39.950000000000003" customHeight="1">
      <c r="A27" s="712"/>
      <c r="B27" s="725"/>
      <c r="C27" s="279">
        <v>3</v>
      </c>
      <c r="D27" s="237" t="s">
        <v>340</v>
      </c>
      <c r="E27" s="281"/>
      <c r="F27" s="282"/>
      <c r="G27" s="306" t="s">
        <v>534</v>
      </c>
      <c r="H27" s="305"/>
      <c r="I27" s="285"/>
      <c r="J27" s="312">
        <v>39.389999999999993</v>
      </c>
      <c r="K27" s="313">
        <v>1.1123997896361564E-3</v>
      </c>
      <c r="L27" s="314">
        <v>38.01</v>
      </c>
      <c r="M27" s="322">
        <f t="shared" si="2"/>
        <v>1497.2138999999997</v>
      </c>
      <c r="N27" s="288"/>
      <c r="O27" s="828" t="s">
        <v>687</v>
      </c>
      <c r="P27" s="829"/>
      <c r="S27" s="2"/>
    </row>
    <row r="28" spans="1:20" s="289" customFormat="1" ht="39.950000000000003" customHeight="1">
      <c r="A28" s="712"/>
      <c r="B28" s="725"/>
      <c r="C28" s="279">
        <v>4</v>
      </c>
      <c r="D28" s="237" t="s">
        <v>650</v>
      </c>
      <c r="E28" s="281"/>
      <c r="F28" s="282"/>
      <c r="G28" s="306" t="s">
        <v>653</v>
      </c>
      <c r="H28" s="305"/>
      <c r="I28" s="285"/>
      <c r="J28" s="312">
        <v>40.420000000000009</v>
      </c>
      <c r="K28" s="313">
        <v>1.0029803727782324E-2</v>
      </c>
      <c r="L28" s="314">
        <v>25.98</v>
      </c>
      <c r="M28" s="322">
        <f t="shared" si="2"/>
        <v>1050.1116000000002</v>
      </c>
      <c r="N28" s="288"/>
      <c r="O28" s="828" t="s">
        <v>687</v>
      </c>
      <c r="P28" s="829"/>
      <c r="R28" s="2"/>
      <c r="S28" s="2"/>
    </row>
    <row r="29" spans="1:20" s="289" customFormat="1" ht="39.950000000000003" customHeight="1" thickBot="1">
      <c r="A29" s="712"/>
      <c r="B29" s="725"/>
      <c r="C29" s="279">
        <v>5</v>
      </c>
      <c r="D29" s="244" t="s">
        <v>543</v>
      </c>
      <c r="E29" s="291"/>
      <c r="F29" s="292"/>
      <c r="G29" s="306" t="s">
        <v>544</v>
      </c>
      <c r="H29" s="305"/>
      <c r="I29" s="285"/>
      <c r="J29" s="388">
        <v>62.43</v>
      </c>
      <c r="K29" s="382">
        <v>7.3703437510014048E-3</v>
      </c>
      <c r="L29" s="317">
        <v>16.099999999999998</v>
      </c>
      <c r="M29" s="322">
        <f t="shared" si="2"/>
        <v>1005.1229999999998</v>
      </c>
      <c r="N29" s="288"/>
      <c r="O29" s="828" t="s">
        <v>687</v>
      </c>
      <c r="P29" s="829"/>
      <c r="R29" s="2"/>
      <c r="S29" s="2"/>
    </row>
    <row r="30" spans="1:20" s="289" customFormat="1" ht="15.75" customHeight="1" thickTop="1" thickBot="1">
      <c r="A30" s="713"/>
      <c r="B30" s="726"/>
      <c r="C30" s="721"/>
      <c r="D30" s="722"/>
      <c r="E30" s="722"/>
      <c r="F30" s="722"/>
      <c r="G30" s="722"/>
      <c r="H30" s="722"/>
      <c r="I30" s="723"/>
      <c r="J30" s="347" t="s">
        <v>58</v>
      </c>
      <c r="K30" s="212">
        <f>M30/'生產管理報表 7-1 (週)'!$B$9</f>
        <v>7.7332822886578181E-2</v>
      </c>
      <c r="L30" s="348" t="s">
        <v>59</v>
      </c>
      <c r="M30" s="389">
        <f>SUM(M25:M29)</f>
        <v>7207.4537999999993</v>
      </c>
      <c r="N30" s="698"/>
      <c r="O30" s="699"/>
      <c r="P30" s="700"/>
      <c r="R30" s="2"/>
      <c r="S30" s="2"/>
    </row>
    <row r="31" spans="1:20" s="289" customFormat="1" ht="15.75" customHeight="1" thickTop="1">
      <c r="B31" s="297"/>
      <c r="C31" s="298"/>
      <c r="M31" s="329"/>
      <c r="R31" s="2"/>
      <c r="S31" s="2"/>
    </row>
    <row r="32" spans="1:20" s="289" customFormat="1" ht="15.75" customHeight="1">
      <c r="A32" s="701" t="s">
        <v>191</v>
      </c>
      <c r="B32" s="702"/>
      <c r="C32" s="303" t="s">
        <v>47</v>
      </c>
      <c r="D32" s="703" t="s">
        <v>12</v>
      </c>
      <c r="E32" s="704"/>
      <c r="F32" s="705"/>
      <c r="G32" s="706" t="s">
        <v>53</v>
      </c>
      <c r="H32" s="707"/>
      <c r="I32" s="708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333</v>
      </c>
      <c r="O32" s="709" t="s">
        <v>51</v>
      </c>
      <c r="P32" s="710"/>
      <c r="R32" s="2"/>
      <c r="S32" s="2"/>
    </row>
    <row r="33" spans="1:21" s="289" customFormat="1" ht="20.100000000000001" customHeight="1">
      <c r="A33" s="711">
        <v>7</v>
      </c>
      <c r="B33" s="714" t="s">
        <v>249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717"/>
      <c r="P33" s="718"/>
      <c r="R33" s="2"/>
      <c r="S33" s="2"/>
    </row>
    <row r="34" spans="1:21" s="289" customFormat="1" ht="20.100000000000001" customHeight="1">
      <c r="A34" s="712"/>
      <c r="B34" s="715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719"/>
      <c r="P34" s="720"/>
      <c r="R34" s="2"/>
      <c r="S34" s="2"/>
    </row>
    <row r="35" spans="1:21" s="289" customFormat="1" ht="20.100000000000001" customHeight="1">
      <c r="A35" s="712"/>
      <c r="B35" s="715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719"/>
      <c r="P35" s="720"/>
      <c r="R35" s="2"/>
      <c r="S35" s="2"/>
    </row>
    <row r="36" spans="1:21" s="289" customFormat="1" ht="20.100000000000001" customHeight="1">
      <c r="A36" s="712"/>
      <c r="B36" s="715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  <c r="R36" s="2"/>
      <c r="S36" s="2"/>
    </row>
    <row r="37" spans="1:21" s="289" customFormat="1" ht="20.100000000000001" customHeight="1" thickBot="1">
      <c r="A37" s="712"/>
      <c r="B37" s="715"/>
      <c r="C37" s="279">
        <v>5</v>
      </c>
      <c r="D37" s="290"/>
      <c r="E37" s="291"/>
      <c r="F37" s="292"/>
      <c r="G37" s="283"/>
      <c r="H37" s="284"/>
      <c r="I37" s="285"/>
      <c r="J37" s="388"/>
      <c r="K37" s="382"/>
      <c r="L37" s="317"/>
      <c r="M37" s="333">
        <v>0</v>
      </c>
      <c r="N37" s="288"/>
      <c r="O37" s="301"/>
      <c r="P37" s="302"/>
      <c r="R37" s="2"/>
      <c r="S37" s="2"/>
    </row>
    <row r="38" spans="1:21" s="289" customFormat="1" ht="15.75" customHeight="1" thickTop="1" thickBot="1">
      <c r="A38" s="713"/>
      <c r="B38" s="716"/>
      <c r="C38" s="721"/>
      <c r="D38" s="722"/>
      <c r="E38" s="722"/>
      <c r="F38" s="722"/>
      <c r="G38" s="722"/>
      <c r="H38" s="722"/>
      <c r="I38" s="723"/>
      <c r="J38" s="347" t="s">
        <v>58</v>
      </c>
      <c r="K38" s="212">
        <f>M38/'生產管理報表 7-1 (週)'!$B$9</f>
        <v>0</v>
      </c>
      <c r="L38" s="348" t="s">
        <v>59</v>
      </c>
      <c r="M38" s="389">
        <f>SUM(M33:M37)</f>
        <v>0</v>
      </c>
      <c r="N38" s="698"/>
      <c r="O38" s="699"/>
      <c r="P38" s="700"/>
      <c r="R38" s="2"/>
      <c r="S38" s="2"/>
      <c r="T38" s="2"/>
    </row>
    <row r="39" spans="1:21" s="135" customFormat="1" ht="13.5" thickTop="1">
      <c r="A39" s="666" t="s">
        <v>815</v>
      </c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R39" s="231"/>
      <c r="S39" s="231"/>
      <c r="T39" s="231"/>
      <c r="U39" s="231"/>
    </row>
    <row r="40" spans="1:21" s="136" customFormat="1" ht="12">
      <c r="A40" s="763"/>
      <c r="B40" s="763"/>
      <c r="C40" s="763"/>
      <c r="D40" s="763"/>
      <c r="E40" s="763"/>
      <c r="F40" s="763"/>
      <c r="G40" s="763"/>
      <c r="H40" s="763"/>
      <c r="I40" s="763"/>
      <c r="J40" s="763"/>
      <c r="K40" s="763"/>
      <c r="L40" s="763"/>
      <c r="M40" s="763"/>
    </row>
    <row r="41" spans="1:21" s="135" customFormat="1" ht="12">
      <c r="A41" s="764" t="s">
        <v>191</v>
      </c>
      <c r="B41" s="766">
        <v>1</v>
      </c>
      <c r="C41" s="767"/>
      <c r="D41" s="766">
        <v>2</v>
      </c>
      <c r="E41" s="767"/>
      <c r="F41" s="766">
        <v>3</v>
      </c>
      <c r="G41" s="767"/>
      <c r="H41" s="757">
        <v>4</v>
      </c>
      <c r="I41" s="758"/>
      <c r="J41" s="757">
        <v>5</v>
      </c>
      <c r="K41" s="758"/>
      <c r="L41" s="757">
        <v>6</v>
      </c>
      <c r="M41" s="758"/>
      <c r="N41" s="757">
        <v>7</v>
      </c>
      <c r="O41" s="758"/>
      <c r="P41" s="352">
        <v>8</v>
      </c>
    </row>
    <row r="42" spans="1:21" s="135" customFormat="1">
      <c r="A42" s="765"/>
      <c r="B42" s="761" t="s">
        <v>452</v>
      </c>
      <c r="C42" s="762"/>
      <c r="D42" s="761" t="s">
        <v>212</v>
      </c>
      <c r="E42" s="762"/>
      <c r="F42" s="761" t="s">
        <v>166</v>
      </c>
      <c r="G42" s="762"/>
      <c r="H42" s="759" t="s">
        <v>428</v>
      </c>
      <c r="I42" s="760"/>
      <c r="J42" s="759" t="s">
        <v>189</v>
      </c>
      <c r="K42" s="760"/>
      <c r="L42" s="759" t="s">
        <v>167</v>
      </c>
      <c r="M42" s="760"/>
      <c r="N42" s="759" t="s">
        <v>190</v>
      </c>
      <c r="O42" s="760"/>
      <c r="P42" s="353" t="s">
        <v>217</v>
      </c>
    </row>
    <row r="43" spans="1:21" s="135" customFormat="1" ht="15.75" customHeight="1">
      <c r="B43" s="232"/>
      <c r="C43" s="233"/>
    </row>
    <row r="44" spans="1:21" s="278" customFormat="1">
      <c r="A44" s="701" t="s">
        <v>191</v>
      </c>
      <c r="B44" s="702"/>
      <c r="C44" s="275" t="s">
        <v>47</v>
      </c>
      <c r="D44" s="731" t="s">
        <v>12</v>
      </c>
      <c r="E44" s="732"/>
      <c r="F44" s="733"/>
      <c r="G44" s="734" t="s">
        <v>53</v>
      </c>
      <c r="H44" s="735"/>
      <c r="I44" s="736"/>
      <c r="J44" s="276" t="s">
        <v>54</v>
      </c>
      <c r="K44" s="276" t="s">
        <v>55</v>
      </c>
      <c r="L44" s="276" t="s">
        <v>56</v>
      </c>
      <c r="M44" s="277" t="s">
        <v>11</v>
      </c>
      <c r="N44" s="277" t="s">
        <v>333</v>
      </c>
      <c r="O44" s="709" t="s">
        <v>51</v>
      </c>
      <c r="P44" s="710"/>
      <c r="R44" s="210"/>
      <c r="S44" s="261"/>
    </row>
    <row r="45" spans="1:21" s="298" customFormat="1" ht="20.100000000000001" customHeight="1">
      <c r="A45" s="711">
        <v>4</v>
      </c>
      <c r="B45" s="745" t="s">
        <v>428</v>
      </c>
      <c r="C45" s="279">
        <v>1</v>
      </c>
      <c r="D45" s="237"/>
      <c r="E45" s="238"/>
      <c r="F45" s="239"/>
      <c r="G45" s="350"/>
      <c r="H45" s="305"/>
      <c r="I45" s="306"/>
      <c r="J45" s="312"/>
      <c r="K45" s="313"/>
      <c r="L45" s="314"/>
      <c r="M45" s="322">
        <f t="shared" ref="M45:M49" si="4">L45*J45</f>
        <v>0</v>
      </c>
      <c r="N45" s="314"/>
      <c r="O45" s="816"/>
      <c r="P45" s="817"/>
      <c r="R45" s="315"/>
      <c r="S45" s="261"/>
    </row>
    <row r="46" spans="1:21" s="298" customFormat="1" ht="20.100000000000001" customHeight="1">
      <c r="A46" s="712"/>
      <c r="B46" s="746"/>
      <c r="C46" s="279">
        <v>2</v>
      </c>
      <c r="D46" s="237"/>
      <c r="E46" s="238"/>
      <c r="F46" s="239"/>
      <c r="G46" s="350"/>
      <c r="H46" s="305"/>
      <c r="I46" s="306"/>
      <c r="J46" s="312"/>
      <c r="K46" s="313"/>
      <c r="L46" s="314"/>
      <c r="M46" s="322">
        <f t="shared" si="4"/>
        <v>0</v>
      </c>
      <c r="N46" s="314"/>
      <c r="O46" s="741"/>
      <c r="P46" s="742"/>
      <c r="R46" s="315"/>
      <c r="S46" s="210"/>
      <c r="T46" s="335"/>
    </row>
    <row r="47" spans="1:21" s="298" customFormat="1" ht="20.100000000000001" customHeight="1">
      <c r="A47" s="712"/>
      <c r="B47" s="746"/>
      <c r="C47" s="279">
        <v>3</v>
      </c>
      <c r="D47" s="237"/>
      <c r="E47" s="238"/>
      <c r="F47" s="239"/>
      <c r="G47" s="350"/>
      <c r="H47" s="305"/>
      <c r="I47" s="306"/>
      <c r="J47" s="312"/>
      <c r="K47" s="313"/>
      <c r="L47" s="314"/>
      <c r="M47" s="322">
        <f t="shared" si="4"/>
        <v>0</v>
      </c>
      <c r="N47" s="314"/>
      <c r="O47" s="816"/>
      <c r="P47" s="817"/>
      <c r="R47" s="315"/>
      <c r="S47" s="261"/>
    </row>
    <row r="48" spans="1:21" s="298" customFormat="1" ht="20.100000000000001" customHeight="1">
      <c r="A48" s="712"/>
      <c r="B48" s="746"/>
      <c r="C48" s="279">
        <v>4</v>
      </c>
      <c r="D48" s="237"/>
      <c r="E48" s="238"/>
      <c r="F48" s="239"/>
      <c r="G48" s="350"/>
      <c r="H48" s="305"/>
      <c r="I48" s="306"/>
      <c r="J48" s="312"/>
      <c r="K48" s="313"/>
      <c r="L48" s="314"/>
      <c r="M48" s="322">
        <f t="shared" si="4"/>
        <v>0</v>
      </c>
      <c r="N48" s="314"/>
      <c r="O48" s="816"/>
      <c r="P48" s="817"/>
      <c r="R48" s="315"/>
      <c r="S48" s="210"/>
      <c r="T48" s="335"/>
    </row>
    <row r="49" spans="1:20" s="298" customFormat="1" ht="20.100000000000001" customHeight="1" thickBot="1">
      <c r="A49" s="712"/>
      <c r="B49" s="746"/>
      <c r="C49" s="279">
        <v>5</v>
      </c>
      <c r="D49" s="237"/>
      <c r="E49" s="245"/>
      <c r="F49" s="246"/>
      <c r="G49" s="350"/>
      <c r="H49" s="305"/>
      <c r="I49" s="306"/>
      <c r="J49" s="388"/>
      <c r="K49" s="382"/>
      <c r="L49" s="317"/>
      <c r="M49" s="322">
        <f t="shared" si="4"/>
        <v>0</v>
      </c>
      <c r="N49" s="314"/>
      <c r="O49" s="816"/>
      <c r="P49" s="817"/>
      <c r="R49" s="318"/>
      <c r="S49" s="261"/>
      <c r="T49" s="289"/>
    </row>
    <row r="50" spans="1:20" s="289" customFormat="1" thickTop="1" thickBot="1">
      <c r="A50" s="713"/>
      <c r="B50" s="747"/>
      <c r="C50" s="754"/>
      <c r="D50" s="755"/>
      <c r="E50" s="755"/>
      <c r="F50" s="755"/>
      <c r="G50" s="755"/>
      <c r="H50" s="755"/>
      <c r="I50" s="756"/>
      <c r="J50" s="347" t="s">
        <v>58</v>
      </c>
      <c r="K50" s="212">
        <f>M50/'生產管理報表 7-1 (週)'!$B$20</f>
        <v>0</v>
      </c>
      <c r="L50" s="348" t="s">
        <v>59</v>
      </c>
      <c r="M50" s="389">
        <f>SUM(M45:M49)</f>
        <v>0</v>
      </c>
      <c r="N50" s="698"/>
      <c r="O50" s="699"/>
      <c r="P50" s="700"/>
      <c r="R50" s="210"/>
      <c r="S50" s="210"/>
    </row>
    <row r="51" spans="1:20" s="289" customFormat="1" ht="15.75" customHeight="1" thickTop="1">
      <c r="B51" s="297"/>
      <c r="C51" s="298"/>
      <c r="M51" s="329"/>
      <c r="S51" s="261"/>
    </row>
    <row r="52" spans="1:20" s="289" customFormat="1" ht="14.25">
      <c r="A52" s="701" t="s">
        <v>191</v>
      </c>
      <c r="B52" s="702"/>
      <c r="C52" s="275" t="s">
        <v>47</v>
      </c>
      <c r="D52" s="731" t="s">
        <v>12</v>
      </c>
      <c r="E52" s="732"/>
      <c r="F52" s="733"/>
      <c r="G52" s="734" t="s">
        <v>53</v>
      </c>
      <c r="H52" s="735"/>
      <c r="I52" s="736"/>
      <c r="J52" s="276" t="s">
        <v>54</v>
      </c>
      <c r="K52" s="276" t="s">
        <v>55</v>
      </c>
      <c r="L52" s="276" t="s">
        <v>56</v>
      </c>
      <c r="M52" s="330" t="s">
        <v>11</v>
      </c>
      <c r="N52" s="277" t="s">
        <v>333</v>
      </c>
      <c r="O52" s="709" t="s">
        <v>51</v>
      </c>
      <c r="P52" s="710"/>
      <c r="S52" s="210"/>
      <c r="T52" s="335"/>
    </row>
    <row r="53" spans="1:20" s="298" customFormat="1" ht="39.950000000000003" customHeight="1">
      <c r="A53" s="711">
        <v>5</v>
      </c>
      <c r="B53" s="724" t="s">
        <v>215</v>
      </c>
      <c r="C53" s="279">
        <v>1</v>
      </c>
      <c r="D53" s="237" t="s">
        <v>340</v>
      </c>
      <c r="E53" s="238"/>
      <c r="F53" s="239"/>
      <c r="G53" s="306" t="s">
        <v>336</v>
      </c>
      <c r="H53" s="305"/>
      <c r="I53" s="306"/>
      <c r="J53" s="312">
        <v>147.43000000000004</v>
      </c>
      <c r="K53" s="313">
        <v>2.5553035774250085E-3</v>
      </c>
      <c r="L53" s="314">
        <v>11.11</v>
      </c>
      <c r="M53" s="322">
        <f>L53*J53</f>
        <v>1637.9473000000003</v>
      </c>
      <c r="N53" s="314"/>
      <c r="O53" s="741" t="s">
        <v>686</v>
      </c>
      <c r="P53" s="742"/>
      <c r="R53" s="335"/>
      <c r="S53" s="390"/>
    </row>
    <row r="54" spans="1:20" s="298" customFormat="1" ht="20.100000000000001" customHeight="1">
      <c r="A54" s="712"/>
      <c r="B54" s="725"/>
      <c r="C54" s="279">
        <v>2</v>
      </c>
      <c r="D54" s="237"/>
      <c r="E54" s="238"/>
      <c r="F54" s="239"/>
      <c r="G54" s="350"/>
      <c r="H54" s="305"/>
      <c r="I54" s="306"/>
      <c r="J54" s="312"/>
      <c r="K54" s="313"/>
      <c r="L54" s="314"/>
      <c r="M54" s="322">
        <f t="shared" ref="M54:M57" si="5">L54*J54</f>
        <v>0</v>
      </c>
      <c r="N54" s="314"/>
      <c r="O54" s="741"/>
      <c r="P54" s="742"/>
      <c r="S54" s="210"/>
      <c r="T54" s="336"/>
    </row>
    <row r="55" spans="1:20" s="289" customFormat="1" ht="20.100000000000001" customHeight="1">
      <c r="A55" s="712"/>
      <c r="B55" s="725"/>
      <c r="C55" s="279">
        <v>3</v>
      </c>
      <c r="D55" s="237"/>
      <c r="E55" s="281"/>
      <c r="F55" s="282"/>
      <c r="G55" s="350"/>
      <c r="H55" s="305"/>
      <c r="I55" s="306"/>
      <c r="J55" s="312"/>
      <c r="K55" s="313"/>
      <c r="L55" s="314"/>
      <c r="M55" s="322">
        <f t="shared" si="5"/>
        <v>0</v>
      </c>
      <c r="N55" s="288"/>
      <c r="O55" s="729"/>
      <c r="P55" s="730"/>
    </row>
    <row r="56" spans="1:20" s="289" customFormat="1" ht="20.100000000000001" customHeight="1">
      <c r="A56" s="712"/>
      <c r="B56" s="725"/>
      <c r="C56" s="279">
        <v>4</v>
      </c>
      <c r="D56" s="237"/>
      <c r="E56" s="281"/>
      <c r="F56" s="282"/>
      <c r="G56" s="350"/>
      <c r="H56" s="305"/>
      <c r="I56" s="306"/>
      <c r="J56" s="312"/>
      <c r="K56" s="313"/>
      <c r="L56" s="314"/>
      <c r="M56" s="322">
        <f t="shared" si="5"/>
        <v>0</v>
      </c>
      <c r="N56" s="288"/>
      <c r="O56" s="741"/>
      <c r="P56" s="742"/>
    </row>
    <row r="57" spans="1:20" s="289" customFormat="1" ht="20.100000000000001" customHeight="1" thickBot="1">
      <c r="A57" s="712"/>
      <c r="B57" s="725"/>
      <c r="C57" s="279">
        <v>5</v>
      </c>
      <c r="D57" s="244"/>
      <c r="E57" s="291"/>
      <c r="F57" s="292"/>
      <c r="G57" s="350"/>
      <c r="H57" s="305"/>
      <c r="I57" s="306"/>
      <c r="J57" s="388"/>
      <c r="K57" s="382"/>
      <c r="L57" s="317"/>
      <c r="M57" s="322">
        <f t="shared" si="5"/>
        <v>0</v>
      </c>
      <c r="N57" s="288"/>
      <c r="O57" s="830"/>
      <c r="P57" s="831"/>
      <c r="R57" s="211"/>
    </row>
    <row r="58" spans="1:20" s="289" customFormat="1" thickTop="1" thickBot="1">
      <c r="A58" s="713"/>
      <c r="B58" s="726"/>
      <c r="C58" s="721"/>
      <c r="D58" s="722"/>
      <c r="E58" s="722"/>
      <c r="F58" s="722"/>
      <c r="G58" s="722"/>
      <c r="H58" s="722"/>
      <c r="I58" s="723"/>
      <c r="J58" s="347" t="s">
        <v>58</v>
      </c>
      <c r="K58" s="212">
        <f>M58/'生產管理報表 7-1 (週)'!$B$9</f>
        <v>1.7574457216562245E-2</v>
      </c>
      <c r="L58" s="348" t="s">
        <v>59</v>
      </c>
      <c r="M58" s="389">
        <f>SUM(M53:M57)</f>
        <v>1637.9473000000003</v>
      </c>
      <c r="N58" s="698"/>
      <c r="O58" s="699"/>
      <c r="P58" s="700"/>
      <c r="R58" s="210"/>
    </row>
    <row r="59" spans="1:20" s="289" customFormat="1" ht="15.75" customHeight="1" thickTop="1">
      <c r="B59" s="297"/>
      <c r="C59" s="298"/>
      <c r="M59" s="329"/>
      <c r="R59" s="210"/>
    </row>
    <row r="60" spans="1:20" s="289" customFormat="1" ht="14.25">
      <c r="A60" s="701" t="s">
        <v>191</v>
      </c>
      <c r="B60" s="702"/>
      <c r="C60" s="303" t="s">
        <v>47</v>
      </c>
      <c r="D60" s="703" t="s">
        <v>12</v>
      </c>
      <c r="E60" s="704"/>
      <c r="F60" s="705"/>
      <c r="G60" s="706" t="s">
        <v>53</v>
      </c>
      <c r="H60" s="707"/>
      <c r="I60" s="708"/>
      <c r="J60" s="304" t="s">
        <v>54</v>
      </c>
      <c r="K60" s="276" t="s">
        <v>55</v>
      </c>
      <c r="L60" s="276" t="s">
        <v>56</v>
      </c>
      <c r="M60" s="330" t="s">
        <v>11</v>
      </c>
      <c r="N60" s="277" t="s">
        <v>333</v>
      </c>
      <c r="O60" s="709" t="s">
        <v>51</v>
      </c>
      <c r="P60" s="710"/>
      <c r="R60" s="210"/>
      <c r="S60" s="2"/>
    </row>
    <row r="61" spans="1:20" s="289" customFormat="1" ht="39.950000000000003" customHeight="1">
      <c r="A61" s="711">
        <v>6</v>
      </c>
      <c r="B61" s="724" t="s">
        <v>216</v>
      </c>
      <c r="C61" s="279">
        <v>1</v>
      </c>
      <c r="D61" s="337" t="s">
        <v>523</v>
      </c>
      <c r="E61" s="281"/>
      <c r="F61" s="282"/>
      <c r="G61" s="306" t="s">
        <v>335</v>
      </c>
      <c r="H61" s="305"/>
      <c r="I61" s="240"/>
      <c r="J61" s="312">
        <v>15.450000000000001</v>
      </c>
      <c r="K61" s="313">
        <v>2.2743177046885936E-3</v>
      </c>
      <c r="L61" s="314">
        <v>143</v>
      </c>
      <c r="M61" s="322">
        <f t="shared" ref="M61:M65" si="6">L61*J61</f>
        <v>2209.3500000000004</v>
      </c>
      <c r="N61" s="288"/>
      <c r="O61" s="729" t="s">
        <v>575</v>
      </c>
      <c r="P61" s="730"/>
      <c r="R61" s="336"/>
      <c r="S61" s="397"/>
    </row>
    <row r="62" spans="1:20" s="298" customFormat="1" ht="39.950000000000003" customHeight="1">
      <c r="A62" s="712"/>
      <c r="B62" s="725"/>
      <c r="C62" s="279">
        <v>2</v>
      </c>
      <c r="D62" s="237" t="s">
        <v>340</v>
      </c>
      <c r="E62" s="238"/>
      <c r="F62" s="239"/>
      <c r="G62" s="306" t="s">
        <v>534</v>
      </c>
      <c r="H62" s="305"/>
      <c r="I62" s="240"/>
      <c r="J62" s="312">
        <v>39.389999999999993</v>
      </c>
      <c r="K62" s="313">
        <v>1.1881135524008418E-3</v>
      </c>
      <c r="L62" s="314">
        <v>38.47</v>
      </c>
      <c r="M62" s="322">
        <f t="shared" si="6"/>
        <v>1515.3332999999998</v>
      </c>
      <c r="N62" s="314"/>
      <c r="O62" s="828" t="s">
        <v>687</v>
      </c>
      <c r="P62" s="829"/>
      <c r="S62" s="96"/>
    </row>
    <row r="63" spans="1:20" s="289" customFormat="1" ht="39.950000000000003" customHeight="1">
      <c r="A63" s="712"/>
      <c r="B63" s="725"/>
      <c r="C63" s="279">
        <v>3</v>
      </c>
      <c r="D63" s="237" t="s">
        <v>776</v>
      </c>
      <c r="E63" s="281"/>
      <c r="F63" s="282"/>
      <c r="G63" s="306" t="s">
        <v>795</v>
      </c>
      <c r="H63" s="305"/>
      <c r="I63" s="285"/>
      <c r="J63" s="312">
        <v>52.26</v>
      </c>
      <c r="K63" s="313">
        <v>4.0731567200022606E-3</v>
      </c>
      <c r="L63" s="314">
        <v>25.950000000000003</v>
      </c>
      <c r="M63" s="322">
        <f t="shared" si="6"/>
        <v>1356.1470000000002</v>
      </c>
      <c r="N63" s="288"/>
      <c r="O63" s="828" t="s">
        <v>687</v>
      </c>
      <c r="P63" s="829"/>
      <c r="S63" s="2"/>
    </row>
    <row r="64" spans="1:20" s="289" customFormat="1" ht="39.950000000000003" customHeight="1">
      <c r="A64" s="712"/>
      <c r="B64" s="725"/>
      <c r="C64" s="279">
        <v>4</v>
      </c>
      <c r="D64" s="237" t="s">
        <v>614</v>
      </c>
      <c r="E64" s="281"/>
      <c r="F64" s="282"/>
      <c r="G64" s="306" t="s">
        <v>619</v>
      </c>
      <c r="H64" s="305"/>
      <c r="I64" s="285"/>
      <c r="J64" s="312">
        <v>39.389999999999993</v>
      </c>
      <c r="K64" s="313">
        <v>4.183889901275291E-3</v>
      </c>
      <c r="L64" s="314">
        <v>26.609999999999996</v>
      </c>
      <c r="M64" s="322">
        <f t="shared" si="6"/>
        <v>1048.1678999999997</v>
      </c>
      <c r="N64" s="288"/>
      <c r="O64" s="828" t="s">
        <v>687</v>
      </c>
      <c r="P64" s="829"/>
      <c r="R64" s="2"/>
      <c r="S64" s="2"/>
    </row>
    <row r="65" spans="1:21" s="289" customFormat="1" ht="39.950000000000003" customHeight="1" thickBot="1">
      <c r="A65" s="712"/>
      <c r="B65" s="725"/>
      <c r="C65" s="279">
        <v>5</v>
      </c>
      <c r="D65" s="244" t="s">
        <v>533</v>
      </c>
      <c r="E65" s="291"/>
      <c r="F65" s="292"/>
      <c r="G65" s="306" t="s">
        <v>568</v>
      </c>
      <c r="H65" s="305"/>
      <c r="I65" s="285"/>
      <c r="J65" s="388">
        <v>40.04</v>
      </c>
      <c r="K65" s="382">
        <v>7.1441411663738267E-3</v>
      </c>
      <c r="L65" s="317">
        <v>24.64</v>
      </c>
      <c r="M65" s="322">
        <f t="shared" si="6"/>
        <v>986.5856</v>
      </c>
      <c r="N65" s="288"/>
      <c r="O65" s="828" t="s">
        <v>687</v>
      </c>
      <c r="P65" s="829"/>
      <c r="R65" s="2"/>
      <c r="S65" s="2"/>
    </row>
    <row r="66" spans="1:21" s="289" customFormat="1" thickTop="1" thickBot="1">
      <c r="A66" s="713"/>
      <c r="B66" s="726"/>
      <c r="C66" s="721"/>
      <c r="D66" s="722"/>
      <c r="E66" s="722"/>
      <c r="F66" s="722"/>
      <c r="G66" s="722"/>
      <c r="H66" s="722"/>
      <c r="I66" s="723"/>
      <c r="J66" s="347" t="s">
        <v>58</v>
      </c>
      <c r="K66" s="212">
        <f>M66/'生產管理報表 7-1 (週)'!$B$20</f>
        <v>7.3001599790879015E-2</v>
      </c>
      <c r="L66" s="348" t="s">
        <v>59</v>
      </c>
      <c r="M66" s="389">
        <f>SUM(M61:M65)</f>
        <v>7115.5838000000003</v>
      </c>
      <c r="N66" s="698"/>
      <c r="O66" s="699"/>
      <c r="P66" s="700"/>
      <c r="R66" s="2"/>
      <c r="S66" s="2"/>
    </row>
    <row r="67" spans="1:21" s="289" customFormat="1" ht="15.75" customHeight="1" thickTop="1">
      <c r="B67" s="297"/>
      <c r="C67" s="298"/>
      <c r="M67" s="329"/>
      <c r="R67" s="2"/>
      <c r="S67" s="2"/>
    </row>
    <row r="68" spans="1:21" s="289" customFormat="1" ht="14.25">
      <c r="A68" s="701" t="s">
        <v>191</v>
      </c>
      <c r="B68" s="702"/>
      <c r="C68" s="303" t="s">
        <v>47</v>
      </c>
      <c r="D68" s="703" t="s">
        <v>12</v>
      </c>
      <c r="E68" s="704"/>
      <c r="F68" s="705"/>
      <c r="G68" s="706" t="s">
        <v>53</v>
      </c>
      <c r="H68" s="707"/>
      <c r="I68" s="708"/>
      <c r="J68" s="304" t="s">
        <v>54</v>
      </c>
      <c r="K68" s="276" t="s">
        <v>55</v>
      </c>
      <c r="L68" s="276" t="s">
        <v>56</v>
      </c>
      <c r="M68" s="330" t="s">
        <v>11</v>
      </c>
      <c r="N68" s="277" t="s">
        <v>333</v>
      </c>
      <c r="O68" s="709" t="s">
        <v>51</v>
      </c>
      <c r="P68" s="710"/>
      <c r="R68" s="2"/>
      <c r="S68" s="2"/>
    </row>
    <row r="69" spans="1:21" s="289" customFormat="1" ht="20.100000000000001" customHeight="1">
      <c r="A69" s="711">
        <v>7</v>
      </c>
      <c r="B69" s="714" t="s">
        <v>249</v>
      </c>
      <c r="C69" s="279">
        <v>1</v>
      </c>
      <c r="D69" s="280"/>
      <c r="E69" s="281"/>
      <c r="F69" s="282"/>
      <c r="G69" s="283"/>
      <c r="H69" s="284"/>
      <c r="I69" s="285"/>
      <c r="J69" s="286"/>
      <c r="K69" s="287"/>
      <c r="L69" s="288"/>
      <c r="M69" s="331">
        <f t="shared" ref="M69:M71" si="7">L69*J69</f>
        <v>0</v>
      </c>
      <c r="N69" s="288"/>
      <c r="O69" s="717"/>
      <c r="P69" s="718"/>
      <c r="R69" s="2"/>
      <c r="S69" s="2"/>
    </row>
    <row r="70" spans="1:21" s="289" customFormat="1" ht="20.100000000000001" customHeight="1">
      <c r="A70" s="712"/>
      <c r="B70" s="715"/>
      <c r="C70" s="279">
        <v>2</v>
      </c>
      <c r="D70" s="280"/>
      <c r="E70" s="281"/>
      <c r="F70" s="282"/>
      <c r="G70" s="283"/>
      <c r="H70" s="284"/>
      <c r="I70" s="285"/>
      <c r="J70" s="286"/>
      <c r="K70" s="287"/>
      <c r="L70" s="288"/>
      <c r="M70" s="331">
        <f t="shared" si="7"/>
        <v>0</v>
      </c>
      <c r="N70" s="288"/>
      <c r="O70" s="719"/>
      <c r="P70" s="720"/>
      <c r="R70" s="2"/>
      <c r="S70" s="2"/>
    </row>
    <row r="71" spans="1:21" s="289" customFormat="1" ht="20.100000000000001" customHeight="1">
      <c r="A71" s="712"/>
      <c r="B71" s="715"/>
      <c r="C71" s="279">
        <v>3</v>
      </c>
      <c r="D71" s="280"/>
      <c r="E71" s="281"/>
      <c r="F71" s="282"/>
      <c r="G71" s="283"/>
      <c r="H71" s="284"/>
      <c r="I71" s="285"/>
      <c r="J71" s="286"/>
      <c r="K71" s="287"/>
      <c r="L71" s="288"/>
      <c r="M71" s="331">
        <f t="shared" si="7"/>
        <v>0</v>
      </c>
      <c r="N71" s="288"/>
      <c r="O71" s="719"/>
      <c r="P71" s="720"/>
      <c r="R71" s="2"/>
      <c r="S71" s="2"/>
    </row>
    <row r="72" spans="1:21" s="289" customFormat="1" ht="20.100000000000001" customHeight="1">
      <c r="A72" s="712"/>
      <c r="B72" s="715"/>
      <c r="C72" s="279">
        <v>4</v>
      </c>
      <c r="D72" s="280"/>
      <c r="E72" s="281"/>
      <c r="F72" s="282"/>
      <c r="G72" s="283"/>
      <c r="H72" s="284"/>
      <c r="I72" s="285"/>
      <c r="J72" s="286"/>
      <c r="K72" s="287"/>
      <c r="L72" s="288"/>
      <c r="M72" s="332">
        <v>0</v>
      </c>
      <c r="N72" s="288"/>
      <c r="O72" s="299"/>
      <c r="P72" s="300"/>
      <c r="R72" s="2"/>
      <c r="S72" s="2"/>
    </row>
    <row r="73" spans="1:21" s="289" customFormat="1" ht="20.100000000000001" customHeight="1" thickBot="1">
      <c r="A73" s="712"/>
      <c r="B73" s="715"/>
      <c r="C73" s="279">
        <v>5</v>
      </c>
      <c r="D73" s="290"/>
      <c r="E73" s="291"/>
      <c r="F73" s="292"/>
      <c r="G73" s="283"/>
      <c r="H73" s="284"/>
      <c r="I73" s="285"/>
      <c r="J73" s="388"/>
      <c r="K73" s="382"/>
      <c r="L73" s="317"/>
      <c r="M73" s="333">
        <v>0</v>
      </c>
      <c r="N73" s="288"/>
      <c r="O73" s="301"/>
      <c r="P73" s="302"/>
      <c r="R73" s="2"/>
      <c r="S73" s="2"/>
    </row>
    <row r="74" spans="1:21" s="289" customFormat="1" thickTop="1" thickBot="1">
      <c r="A74" s="713"/>
      <c r="B74" s="716"/>
      <c r="C74" s="721"/>
      <c r="D74" s="722"/>
      <c r="E74" s="722"/>
      <c r="F74" s="722"/>
      <c r="G74" s="722"/>
      <c r="H74" s="722"/>
      <c r="I74" s="723"/>
      <c r="J74" s="347" t="s">
        <v>58</v>
      </c>
      <c r="K74" s="212">
        <f>M74/'生產管理報表 7-1 (週)'!$B$20</f>
        <v>0</v>
      </c>
      <c r="L74" s="348" t="s">
        <v>59</v>
      </c>
      <c r="M74" s="389">
        <f>SUM(M69:M73)</f>
        <v>0</v>
      </c>
      <c r="N74" s="698"/>
      <c r="O74" s="699"/>
      <c r="P74" s="700"/>
      <c r="R74" s="2"/>
      <c r="S74" s="2"/>
      <c r="T74" s="2"/>
    </row>
    <row r="75" spans="1:21" s="135" customFormat="1" ht="13.5" thickTop="1">
      <c r="A75" s="666" t="s">
        <v>816</v>
      </c>
      <c r="B75" s="666"/>
      <c r="C75" s="666"/>
      <c r="D75" s="666"/>
      <c r="E75" s="666"/>
      <c r="F75" s="666"/>
      <c r="G75" s="666"/>
      <c r="H75" s="666"/>
      <c r="I75" s="666"/>
      <c r="J75" s="666"/>
      <c r="K75" s="666"/>
      <c r="L75" s="666"/>
      <c r="M75" s="666"/>
      <c r="R75" s="231"/>
      <c r="S75" s="231"/>
      <c r="T75" s="231"/>
      <c r="U75" s="231"/>
    </row>
    <row r="76" spans="1:21" s="136" customFormat="1" ht="12">
      <c r="A76" s="763"/>
      <c r="B76" s="763"/>
      <c r="C76" s="763"/>
      <c r="D76" s="763"/>
      <c r="E76" s="763"/>
      <c r="F76" s="763"/>
      <c r="G76" s="763"/>
      <c r="H76" s="763"/>
      <c r="I76" s="763"/>
      <c r="J76" s="763"/>
      <c r="K76" s="763"/>
      <c r="L76" s="763"/>
      <c r="M76" s="763"/>
    </row>
    <row r="77" spans="1:21" s="135" customFormat="1" ht="12">
      <c r="A77" s="764" t="s">
        <v>191</v>
      </c>
      <c r="B77" s="766">
        <v>1</v>
      </c>
      <c r="C77" s="767"/>
      <c r="D77" s="766">
        <v>2</v>
      </c>
      <c r="E77" s="767"/>
      <c r="F77" s="766">
        <v>3</v>
      </c>
      <c r="G77" s="767"/>
      <c r="H77" s="757">
        <v>4</v>
      </c>
      <c r="I77" s="758"/>
      <c r="J77" s="757">
        <v>5</v>
      </c>
      <c r="K77" s="758"/>
      <c r="L77" s="757">
        <v>6</v>
      </c>
      <c r="M77" s="758"/>
      <c r="N77" s="757">
        <v>7</v>
      </c>
      <c r="O77" s="758"/>
      <c r="P77" s="352">
        <v>8</v>
      </c>
    </row>
    <row r="78" spans="1:21" s="135" customFormat="1">
      <c r="A78" s="765"/>
      <c r="B78" s="761" t="s">
        <v>452</v>
      </c>
      <c r="C78" s="762"/>
      <c r="D78" s="761" t="s">
        <v>212</v>
      </c>
      <c r="E78" s="762"/>
      <c r="F78" s="761" t="s">
        <v>166</v>
      </c>
      <c r="G78" s="762"/>
      <c r="H78" s="759" t="s">
        <v>428</v>
      </c>
      <c r="I78" s="760"/>
      <c r="J78" s="759" t="s">
        <v>189</v>
      </c>
      <c r="K78" s="760"/>
      <c r="L78" s="759" t="s">
        <v>167</v>
      </c>
      <c r="M78" s="760"/>
      <c r="N78" s="759" t="s">
        <v>190</v>
      </c>
      <c r="O78" s="760"/>
      <c r="P78" s="353" t="s">
        <v>217</v>
      </c>
    </row>
    <row r="79" spans="1:21" s="135" customFormat="1" ht="15.75" customHeight="1">
      <c r="B79" s="232"/>
      <c r="C79" s="233"/>
    </row>
    <row r="80" spans="1:21" s="278" customFormat="1">
      <c r="A80" s="701" t="s">
        <v>191</v>
      </c>
      <c r="B80" s="702"/>
      <c r="C80" s="275" t="s">
        <v>47</v>
      </c>
      <c r="D80" s="731" t="s">
        <v>12</v>
      </c>
      <c r="E80" s="732"/>
      <c r="F80" s="733"/>
      <c r="G80" s="734" t="s">
        <v>53</v>
      </c>
      <c r="H80" s="735"/>
      <c r="I80" s="736"/>
      <c r="J80" s="276" t="s">
        <v>54</v>
      </c>
      <c r="K80" s="276" t="s">
        <v>55</v>
      </c>
      <c r="L80" s="276" t="s">
        <v>56</v>
      </c>
      <c r="M80" s="277" t="s">
        <v>11</v>
      </c>
      <c r="N80" s="277" t="s">
        <v>333</v>
      </c>
      <c r="O80" s="709" t="s">
        <v>51</v>
      </c>
      <c r="P80" s="710"/>
      <c r="R80" s="210"/>
      <c r="S80" s="261"/>
    </row>
    <row r="81" spans="1:20" s="298" customFormat="1" ht="20.100000000000001" customHeight="1">
      <c r="A81" s="711">
        <v>4</v>
      </c>
      <c r="B81" s="745" t="s">
        <v>428</v>
      </c>
      <c r="C81" s="279">
        <v>1</v>
      </c>
      <c r="D81" s="237"/>
      <c r="E81" s="238"/>
      <c r="F81" s="239"/>
      <c r="G81" s="350"/>
      <c r="H81" s="305"/>
      <c r="I81" s="306"/>
      <c r="J81" s="312"/>
      <c r="K81" s="313"/>
      <c r="L81" s="314"/>
      <c r="M81" s="322">
        <f t="shared" ref="M81:M85" si="8">L81*J81</f>
        <v>0</v>
      </c>
      <c r="N81" s="314"/>
      <c r="O81" s="816"/>
      <c r="P81" s="817"/>
      <c r="R81" s="315"/>
      <c r="S81" s="261"/>
    </row>
    <row r="82" spans="1:20" s="298" customFormat="1" ht="20.100000000000001" customHeight="1">
      <c r="A82" s="712"/>
      <c r="B82" s="746"/>
      <c r="C82" s="279">
        <v>2</v>
      </c>
      <c r="D82" s="237"/>
      <c r="E82" s="238"/>
      <c r="F82" s="239"/>
      <c r="G82" s="350"/>
      <c r="H82" s="305"/>
      <c r="I82" s="306"/>
      <c r="J82" s="312"/>
      <c r="K82" s="313"/>
      <c r="L82" s="314"/>
      <c r="M82" s="322">
        <f t="shared" si="8"/>
        <v>0</v>
      </c>
      <c r="N82" s="314"/>
      <c r="O82" s="741"/>
      <c r="P82" s="742"/>
      <c r="R82" s="315"/>
      <c r="S82" s="210"/>
      <c r="T82" s="335"/>
    </row>
    <row r="83" spans="1:20" s="298" customFormat="1" ht="20.100000000000001" customHeight="1">
      <c r="A83" s="712"/>
      <c r="B83" s="746"/>
      <c r="C83" s="279">
        <v>3</v>
      </c>
      <c r="D83" s="237"/>
      <c r="E83" s="238"/>
      <c r="F83" s="239"/>
      <c r="G83" s="350"/>
      <c r="H83" s="305"/>
      <c r="I83" s="306"/>
      <c r="J83" s="312"/>
      <c r="K83" s="313"/>
      <c r="L83" s="314"/>
      <c r="M83" s="322">
        <f t="shared" si="8"/>
        <v>0</v>
      </c>
      <c r="N83" s="314"/>
      <c r="O83" s="816"/>
      <c r="P83" s="817"/>
      <c r="R83" s="315"/>
      <c r="S83" s="261"/>
    </row>
    <row r="84" spans="1:20" s="298" customFormat="1" ht="20.100000000000001" customHeight="1">
      <c r="A84" s="712"/>
      <c r="B84" s="746"/>
      <c r="C84" s="279">
        <v>4</v>
      </c>
      <c r="D84" s="237"/>
      <c r="E84" s="238"/>
      <c r="F84" s="239"/>
      <c r="G84" s="350"/>
      <c r="H84" s="305"/>
      <c r="I84" s="306"/>
      <c r="J84" s="312"/>
      <c r="K84" s="313"/>
      <c r="L84" s="314"/>
      <c r="M84" s="322">
        <f t="shared" si="8"/>
        <v>0</v>
      </c>
      <c r="N84" s="314"/>
      <c r="O84" s="816"/>
      <c r="P84" s="817"/>
      <c r="R84" s="315"/>
      <c r="S84" s="210"/>
      <c r="T84" s="335"/>
    </row>
    <row r="85" spans="1:20" s="298" customFormat="1" ht="20.100000000000001" customHeight="1" thickBot="1">
      <c r="A85" s="712"/>
      <c r="B85" s="746"/>
      <c r="C85" s="279">
        <v>5</v>
      </c>
      <c r="D85" s="237"/>
      <c r="E85" s="245"/>
      <c r="F85" s="246"/>
      <c r="G85" s="350"/>
      <c r="H85" s="305"/>
      <c r="I85" s="306"/>
      <c r="J85" s="388"/>
      <c r="K85" s="382"/>
      <c r="L85" s="317"/>
      <c r="M85" s="322">
        <f t="shared" si="8"/>
        <v>0</v>
      </c>
      <c r="N85" s="314"/>
      <c r="O85" s="816"/>
      <c r="P85" s="817"/>
      <c r="R85" s="318"/>
      <c r="S85" s="261"/>
      <c r="T85" s="289"/>
    </row>
    <row r="86" spans="1:20" s="289" customFormat="1" thickTop="1" thickBot="1">
      <c r="A86" s="713"/>
      <c r="B86" s="747"/>
      <c r="C86" s="754"/>
      <c r="D86" s="755"/>
      <c r="E86" s="755"/>
      <c r="F86" s="755"/>
      <c r="G86" s="755"/>
      <c r="H86" s="755"/>
      <c r="I86" s="756"/>
      <c r="J86" s="347" t="s">
        <v>58</v>
      </c>
      <c r="K86" s="212">
        <f>M86/'生產管理報表 7-1 (週)'!$B$20</f>
        <v>0</v>
      </c>
      <c r="L86" s="348" t="s">
        <v>59</v>
      </c>
      <c r="M86" s="389">
        <f>SUM(M81:M85)</f>
        <v>0</v>
      </c>
      <c r="N86" s="698"/>
      <c r="O86" s="699"/>
      <c r="P86" s="700"/>
      <c r="R86" s="210"/>
      <c r="S86" s="210"/>
    </row>
    <row r="87" spans="1:20" s="289" customFormat="1" ht="15.75" customHeight="1" thickTop="1">
      <c r="B87" s="297"/>
      <c r="C87" s="298"/>
      <c r="M87" s="329"/>
      <c r="S87" s="261"/>
    </row>
    <row r="88" spans="1:20" s="289" customFormat="1" ht="14.25">
      <c r="A88" s="701" t="s">
        <v>191</v>
      </c>
      <c r="B88" s="702"/>
      <c r="C88" s="275" t="s">
        <v>47</v>
      </c>
      <c r="D88" s="731" t="s">
        <v>12</v>
      </c>
      <c r="E88" s="732"/>
      <c r="F88" s="733"/>
      <c r="G88" s="734" t="s">
        <v>53</v>
      </c>
      <c r="H88" s="735"/>
      <c r="I88" s="736"/>
      <c r="J88" s="276" t="s">
        <v>54</v>
      </c>
      <c r="K88" s="276" t="s">
        <v>55</v>
      </c>
      <c r="L88" s="276" t="s">
        <v>56</v>
      </c>
      <c r="M88" s="330" t="s">
        <v>11</v>
      </c>
      <c r="N88" s="277" t="s">
        <v>333</v>
      </c>
      <c r="O88" s="709" t="s">
        <v>51</v>
      </c>
      <c r="P88" s="710"/>
      <c r="S88" s="210"/>
      <c r="T88" s="335"/>
    </row>
    <row r="89" spans="1:20" s="298" customFormat="1" ht="20.100000000000001" customHeight="1">
      <c r="A89" s="711">
        <v>5</v>
      </c>
      <c r="B89" s="724" t="s">
        <v>215</v>
      </c>
      <c r="C89" s="279">
        <v>1</v>
      </c>
      <c r="D89" s="237"/>
      <c r="E89" s="238"/>
      <c r="F89" s="239"/>
      <c r="G89" s="350"/>
      <c r="H89" s="305"/>
      <c r="I89" s="306"/>
      <c r="J89" s="312"/>
      <c r="K89" s="313"/>
      <c r="L89" s="314"/>
      <c r="M89" s="322">
        <f>L89*J89</f>
        <v>0</v>
      </c>
      <c r="N89" s="314"/>
      <c r="O89" s="741"/>
      <c r="P89" s="742"/>
      <c r="R89" s="335"/>
      <c r="S89" s="390"/>
    </row>
    <row r="90" spans="1:20" s="298" customFormat="1" ht="20.100000000000001" customHeight="1">
      <c r="A90" s="712"/>
      <c r="B90" s="725"/>
      <c r="C90" s="279">
        <v>2</v>
      </c>
      <c r="D90" s="237"/>
      <c r="E90" s="238"/>
      <c r="F90" s="239"/>
      <c r="G90" s="350"/>
      <c r="H90" s="305"/>
      <c r="I90" s="306"/>
      <c r="J90" s="312"/>
      <c r="K90" s="313"/>
      <c r="L90" s="314"/>
      <c r="M90" s="322">
        <f t="shared" ref="M90:M93" si="9">L90*J90</f>
        <v>0</v>
      </c>
      <c r="N90" s="314"/>
      <c r="O90" s="741"/>
      <c r="P90" s="742"/>
      <c r="S90" s="210"/>
      <c r="T90" s="336"/>
    </row>
    <row r="91" spans="1:20" s="289" customFormat="1" ht="20.100000000000001" customHeight="1">
      <c r="A91" s="712"/>
      <c r="B91" s="725"/>
      <c r="C91" s="279">
        <v>3</v>
      </c>
      <c r="D91" s="237"/>
      <c r="E91" s="281"/>
      <c r="F91" s="282"/>
      <c r="G91" s="350"/>
      <c r="H91" s="305"/>
      <c r="I91" s="306"/>
      <c r="J91" s="312"/>
      <c r="K91" s="313"/>
      <c r="L91" s="314"/>
      <c r="M91" s="322">
        <f t="shared" si="9"/>
        <v>0</v>
      </c>
      <c r="N91" s="288"/>
      <c r="O91" s="729"/>
      <c r="P91" s="730"/>
    </row>
    <row r="92" spans="1:20" s="289" customFormat="1" ht="20.100000000000001" customHeight="1">
      <c r="A92" s="712"/>
      <c r="B92" s="725"/>
      <c r="C92" s="279">
        <v>4</v>
      </c>
      <c r="D92" s="237"/>
      <c r="E92" s="281"/>
      <c r="F92" s="282"/>
      <c r="G92" s="350"/>
      <c r="H92" s="305"/>
      <c r="I92" s="306"/>
      <c r="J92" s="312"/>
      <c r="K92" s="313"/>
      <c r="L92" s="314"/>
      <c r="M92" s="322">
        <f t="shared" si="9"/>
        <v>0</v>
      </c>
      <c r="N92" s="288"/>
      <c r="O92" s="741"/>
      <c r="P92" s="742"/>
    </row>
    <row r="93" spans="1:20" s="289" customFormat="1" ht="20.100000000000001" customHeight="1" thickBot="1">
      <c r="A93" s="712"/>
      <c r="B93" s="725"/>
      <c r="C93" s="279">
        <v>5</v>
      </c>
      <c r="D93" s="244"/>
      <c r="E93" s="291"/>
      <c r="F93" s="292"/>
      <c r="G93" s="350"/>
      <c r="H93" s="305"/>
      <c r="I93" s="306"/>
      <c r="J93" s="388"/>
      <c r="K93" s="382"/>
      <c r="L93" s="317"/>
      <c r="M93" s="322">
        <f t="shared" si="9"/>
        <v>0</v>
      </c>
      <c r="N93" s="288"/>
      <c r="O93" s="830"/>
      <c r="P93" s="831"/>
      <c r="R93" s="211"/>
    </row>
    <row r="94" spans="1:20" s="289" customFormat="1" thickTop="1" thickBot="1">
      <c r="A94" s="713"/>
      <c r="B94" s="726"/>
      <c r="C94" s="721"/>
      <c r="D94" s="722"/>
      <c r="E94" s="722"/>
      <c r="F94" s="722"/>
      <c r="G94" s="722"/>
      <c r="H94" s="722"/>
      <c r="I94" s="723"/>
      <c r="J94" s="347" t="s">
        <v>58</v>
      </c>
      <c r="K94" s="212">
        <f>M94/'生產管理報表 7-1 (週)'!$B$9</f>
        <v>0</v>
      </c>
      <c r="L94" s="348" t="s">
        <v>59</v>
      </c>
      <c r="M94" s="389">
        <f>SUM(M89:M93)</f>
        <v>0</v>
      </c>
      <c r="N94" s="698"/>
      <c r="O94" s="699"/>
      <c r="P94" s="700"/>
      <c r="R94" s="210"/>
    </row>
    <row r="95" spans="1:20" s="289" customFormat="1" ht="15.75" customHeight="1" thickTop="1">
      <c r="B95" s="297"/>
      <c r="C95" s="298"/>
      <c r="M95" s="329"/>
      <c r="R95" s="210"/>
    </row>
    <row r="96" spans="1:20" s="289" customFormat="1" ht="14.25">
      <c r="A96" s="701" t="s">
        <v>191</v>
      </c>
      <c r="B96" s="702"/>
      <c r="C96" s="303" t="s">
        <v>47</v>
      </c>
      <c r="D96" s="703" t="s">
        <v>12</v>
      </c>
      <c r="E96" s="704"/>
      <c r="F96" s="705"/>
      <c r="G96" s="706" t="s">
        <v>53</v>
      </c>
      <c r="H96" s="707"/>
      <c r="I96" s="708"/>
      <c r="J96" s="304" t="s">
        <v>54</v>
      </c>
      <c r="K96" s="276" t="s">
        <v>55</v>
      </c>
      <c r="L96" s="276" t="s">
        <v>56</v>
      </c>
      <c r="M96" s="330" t="s">
        <v>11</v>
      </c>
      <c r="N96" s="277" t="s">
        <v>333</v>
      </c>
      <c r="O96" s="709" t="s">
        <v>51</v>
      </c>
      <c r="P96" s="710"/>
      <c r="R96" s="210"/>
      <c r="S96" s="2"/>
    </row>
    <row r="97" spans="1:20" s="289" customFormat="1" ht="39.950000000000003" customHeight="1">
      <c r="A97" s="711">
        <v>6</v>
      </c>
      <c r="B97" s="724" t="s">
        <v>216</v>
      </c>
      <c r="C97" s="279">
        <v>1</v>
      </c>
      <c r="D97" s="337"/>
      <c r="E97" s="281"/>
      <c r="F97" s="282"/>
      <c r="G97" s="306"/>
      <c r="H97" s="305"/>
      <c r="I97" s="240"/>
      <c r="J97" s="312"/>
      <c r="K97" s="313"/>
      <c r="L97" s="314"/>
      <c r="M97" s="322">
        <f t="shared" ref="M97:M101" si="10">L97*J97</f>
        <v>0</v>
      </c>
      <c r="N97" s="288"/>
      <c r="O97" s="729"/>
      <c r="P97" s="730"/>
      <c r="R97" s="336"/>
      <c r="S97" s="397"/>
    </row>
    <row r="98" spans="1:20" s="298" customFormat="1" ht="39.950000000000003" customHeight="1">
      <c r="A98" s="712"/>
      <c r="B98" s="725"/>
      <c r="C98" s="279">
        <v>2</v>
      </c>
      <c r="D98" s="237"/>
      <c r="E98" s="238"/>
      <c r="F98" s="239"/>
      <c r="G98" s="306"/>
      <c r="H98" s="305"/>
      <c r="I98" s="240"/>
      <c r="J98" s="312"/>
      <c r="K98" s="313"/>
      <c r="L98" s="314"/>
      <c r="M98" s="322">
        <f t="shared" si="10"/>
        <v>0</v>
      </c>
      <c r="N98" s="314"/>
      <c r="O98" s="828"/>
      <c r="P98" s="829"/>
      <c r="S98" s="96"/>
    </row>
    <row r="99" spans="1:20" s="289" customFormat="1" ht="39.950000000000003" customHeight="1">
      <c r="A99" s="712"/>
      <c r="B99" s="725"/>
      <c r="C99" s="279">
        <v>3</v>
      </c>
      <c r="D99" s="237"/>
      <c r="E99" s="281"/>
      <c r="F99" s="282"/>
      <c r="G99" s="306"/>
      <c r="H99" s="305"/>
      <c r="I99" s="285"/>
      <c r="J99" s="312"/>
      <c r="K99" s="313"/>
      <c r="L99" s="314"/>
      <c r="M99" s="322">
        <f t="shared" si="10"/>
        <v>0</v>
      </c>
      <c r="N99" s="288"/>
      <c r="O99" s="828"/>
      <c r="P99" s="829"/>
      <c r="S99" s="2"/>
    </row>
    <row r="100" spans="1:20" s="289" customFormat="1" ht="39.950000000000003" customHeight="1">
      <c r="A100" s="712"/>
      <c r="B100" s="725"/>
      <c r="C100" s="279">
        <v>4</v>
      </c>
      <c r="D100" s="237"/>
      <c r="E100" s="281"/>
      <c r="F100" s="282"/>
      <c r="G100" s="306"/>
      <c r="H100" s="305"/>
      <c r="I100" s="285"/>
      <c r="J100" s="312"/>
      <c r="K100" s="313"/>
      <c r="L100" s="314"/>
      <c r="M100" s="322">
        <f t="shared" si="10"/>
        <v>0</v>
      </c>
      <c r="N100" s="288"/>
      <c r="O100" s="828"/>
      <c r="P100" s="829"/>
      <c r="R100" s="2"/>
      <c r="S100" s="2"/>
    </row>
    <row r="101" spans="1:20" s="289" customFormat="1" ht="39.950000000000003" customHeight="1" thickBot="1">
      <c r="A101" s="712"/>
      <c r="B101" s="725"/>
      <c r="C101" s="279">
        <v>5</v>
      </c>
      <c r="D101" s="244"/>
      <c r="E101" s="291"/>
      <c r="F101" s="292"/>
      <c r="G101" s="306"/>
      <c r="H101" s="305"/>
      <c r="I101" s="285"/>
      <c r="J101" s="388"/>
      <c r="K101" s="382"/>
      <c r="L101" s="317"/>
      <c r="M101" s="322">
        <f t="shared" si="10"/>
        <v>0</v>
      </c>
      <c r="N101" s="288"/>
      <c r="O101" s="828"/>
      <c r="P101" s="829"/>
      <c r="R101" s="2"/>
      <c r="S101" s="2"/>
    </row>
    <row r="102" spans="1:20" s="289" customFormat="1" thickTop="1" thickBot="1">
      <c r="A102" s="713"/>
      <c r="B102" s="726"/>
      <c r="C102" s="721"/>
      <c r="D102" s="722"/>
      <c r="E102" s="722"/>
      <c r="F102" s="722"/>
      <c r="G102" s="722"/>
      <c r="H102" s="722"/>
      <c r="I102" s="723"/>
      <c r="J102" s="347" t="s">
        <v>58</v>
      </c>
      <c r="K102" s="212">
        <f>M102/'生產管理報表 7-1 (週)'!$B$20</f>
        <v>0</v>
      </c>
      <c r="L102" s="348" t="s">
        <v>59</v>
      </c>
      <c r="M102" s="389">
        <f>SUM(M97:M101)</f>
        <v>0</v>
      </c>
      <c r="N102" s="698"/>
      <c r="O102" s="699"/>
      <c r="P102" s="700"/>
      <c r="R102" s="2"/>
      <c r="S102" s="2"/>
    </row>
    <row r="103" spans="1:20" s="289" customFormat="1" ht="15.75" customHeight="1" thickTop="1">
      <c r="B103" s="297"/>
      <c r="C103" s="298"/>
      <c r="M103" s="329"/>
      <c r="R103" s="2"/>
      <c r="S103" s="2"/>
    </row>
    <row r="104" spans="1:20" s="289" customFormat="1" ht="14.25">
      <c r="A104" s="701" t="s">
        <v>191</v>
      </c>
      <c r="B104" s="702"/>
      <c r="C104" s="303" t="s">
        <v>47</v>
      </c>
      <c r="D104" s="703" t="s">
        <v>12</v>
      </c>
      <c r="E104" s="704"/>
      <c r="F104" s="705"/>
      <c r="G104" s="706" t="s">
        <v>53</v>
      </c>
      <c r="H104" s="707"/>
      <c r="I104" s="708"/>
      <c r="J104" s="304" t="s">
        <v>54</v>
      </c>
      <c r="K104" s="276" t="s">
        <v>55</v>
      </c>
      <c r="L104" s="276" t="s">
        <v>56</v>
      </c>
      <c r="M104" s="330" t="s">
        <v>11</v>
      </c>
      <c r="N104" s="277" t="s">
        <v>333</v>
      </c>
      <c r="O104" s="709" t="s">
        <v>51</v>
      </c>
      <c r="P104" s="710"/>
      <c r="R104" s="2"/>
      <c r="S104" s="2"/>
    </row>
    <row r="105" spans="1:20" s="289" customFormat="1" ht="20.100000000000001" customHeight="1">
      <c r="A105" s="711">
        <v>7</v>
      </c>
      <c r="B105" s="714" t="s">
        <v>249</v>
      </c>
      <c r="C105" s="279">
        <v>1</v>
      </c>
      <c r="D105" s="280"/>
      <c r="E105" s="281"/>
      <c r="F105" s="282"/>
      <c r="G105" s="283"/>
      <c r="H105" s="284"/>
      <c r="I105" s="285"/>
      <c r="J105" s="286"/>
      <c r="K105" s="287"/>
      <c r="L105" s="288"/>
      <c r="M105" s="331">
        <f t="shared" ref="M105:M107" si="11">L105*J105</f>
        <v>0</v>
      </c>
      <c r="N105" s="288"/>
      <c r="O105" s="717"/>
      <c r="P105" s="718"/>
      <c r="R105" s="2"/>
      <c r="S105" s="2"/>
    </row>
    <row r="106" spans="1:20" s="289" customFormat="1" ht="20.100000000000001" customHeight="1">
      <c r="A106" s="712"/>
      <c r="B106" s="715"/>
      <c r="C106" s="279">
        <v>2</v>
      </c>
      <c r="D106" s="280"/>
      <c r="E106" s="281"/>
      <c r="F106" s="282"/>
      <c r="G106" s="283"/>
      <c r="H106" s="284"/>
      <c r="I106" s="285"/>
      <c r="J106" s="286"/>
      <c r="K106" s="287"/>
      <c r="L106" s="288"/>
      <c r="M106" s="331">
        <f t="shared" si="11"/>
        <v>0</v>
      </c>
      <c r="N106" s="288"/>
      <c r="O106" s="719"/>
      <c r="P106" s="720"/>
      <c r="R106" s="2"/>
      <c r="S106" s="2"/>
    </row>
    <row r="107" spans="1:20" s="289" customFormat="1" ht="20.100000000000001" customHeight="1">
      <c r="A107" s="712"/>
      <c r="B107" s="715"/>
      <c r="C107" s="279">
        <v>3</v>
      </c>
      <c r="D107" s="280"/>
      <c r="E107" s="281"/>
      <c r="F107" s="282"/>
      <c r="G107" s="283"/>
      <c r="H107" s="284"/>
      <c r="I107" s="285"/>
      <c r="J107" s="286"/>
      <c r="K107" s="287"/>
      <c r="L107" s="288"/>
      <c r="M107" s="331">
        <f t="shared" si="11"/>
        <v>0</v>
      </c>
      <c r="N107" s="288"/>
      <c r="O107" s="719"/>
      <c r="P107" s="720"/>
      <c r="R107" s="2"/>
      <c r="S107" s="2"/>
    </row>
    <row r="108" spans="1:20" s="289" customFormat="1" ht="20.100000000000001" customHeight="1">
      <c r="A108" s="712"/>
      <c r="B108" s="715"/>
      <c r="C108" s="279">
        <v>4</v>
      </c>
      <c r="D108" s="280"/>
      <c r="E108" s="281"/>
      <c r="F108" s="282"/>
      <c r="G108" s="283"/>
      <c r="H108" s="284"/>
      <c r="I108" s="285"/>
      <c r="J108" s="286"/>
      <c r="K108" s="287"/>
      <c r="L108" s="288"/>
      <c r="M108" s="332">
        <v>0</v>
      </c>
      <c r="N108" s="288"/>
      <c r="O108" s="299"/>
      <c r="P108" s="300"/>
      <c r="R108" s="2"/>
      <c r="S108" s="2"/>
    </row>
    <row r="109" spans="1:20" s="289" customFormat="1" ht="20.100000000000001" customHeight="1" thickBot="1">
      <c r="A109" s="712"/>
      <c r="B109" s="715"/>
      <c r="C109" s="279">
        <v>5</v>
      </c>
      <c r="D109" s="290"/>
      <c r="E109" s="291"/>
      <c r="F109" s="292"/>
      <c r="G109" s="283"/>
      <c r="H109" s="284"/>
      <c r="I109" s="285"/>
      <c r="J109" s="388"/>
      <c r="K109" s="382"/>
      <c r="L109" s="317"/>
      <c r="M109" s="333">
        <v>0</v>
      </c>
      <c r="N109" s="288"/>
      <c r="O109" s="301"/>
      <c r="P109" s="302"/>
      <c r="R109" s="2"/>
      <c r="S109" s="2"/>
    </row>
    <row r="110" spans="1:20" s="289" customFormat="1" thickTop="1" thickBot="1">
      <c r="A110" s="713"/>
      <c r="B110" s="716"/>
      <c r="C110" s="721"/>
      <c r="D110" s="722"/>
      <c r="E110" s="722"/>
      <c r="F110" s="722"/>
      <c r="G110" s="722"/>
      <c r="H110" s="722"/>
      <c r="I110" s="723"/>
      <c r="J110" s="347" t="s">
        <v>58</v>
      </c>
      <c r="K110" s="212">
        <f>M110/'生產管理報表 7-1 (週)'!$B$20</f>
        <v>0</v>
      </c>
      <c r="L110" s="348" t="s">
        <v>59</v>
      </c>
      <c r="M110" s="389">
        <f>SUM(M105:M109)</f>
        <v>0</v>
      </c>
      <c r="N110" s="698"/>
      <c r="O110" s="699"/>
      <c r="P110" s="700"/>
      <c r="R110" s="2"/>
      <c r="S110" s="2"/>
      <c r="T110" s="2"/>
    </row>
    <row r="111" spans="1:20" ht="15.75" customHeight="1" thickTop="1"/>
  </sheetData>
  <mergeCells count="199"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O62:P62"/>
    <mergeCell ref="O63:P63"/>
    <mergeCell ref="O64:P64"/>
    <mergeCell ref="O65:P65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N42:O42"/>
    <mergeCell ref="A44:B44"/>
    <mergeCell ref="D44:F44"/>
    <mergeCell ref="G44:I44"/>
    <mergeCell ref="O44:P44"/>
    <mergeCell ref="A1:P2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A3:M4"/>
    <mergeCell ref="A5:A6"/>
    <mergeCell ref="B5:C5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O98:P98"/>
    <mergeCell ref="O99:P99"/>
    <mergeCell ref="O100:P100"/>
    <mergeCell ref="O101:P101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</mergeCells>
  <phoneticPr fontId="10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1" manualBreakCount="1">
    <brk id="38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30" sqref="K30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47.85546875" style="135" customWidth="1"/>
    <col min="17" max="17" width="9.5703125" style="135" customWidth="1"/>
    <col min="18" max="21" width="12.5703125" style="231"/>
    <col min="22" max="22" width="24.42578125" style="135" bestFit="1" customWidth="1"/>
    <col min="23" max="23" width="19.42578125" style="135" bestFit="1" customWidth="1"/>
    <col min="24" max="24" width="23" style="135" bestFit="1" customWidth="1"/>
    <col min="25" max="25" width="11.7109375" style="135" bestFit="1" customWidth="1"/>
    <col min="26" max="26" width="15.85546875" style="135" bestFit="1" customWidth="1"/>
    <col min="27" max="27" width="23.5703125" style="135" bestFit="1" customWidth="1"/>
    <col min="28" max="28" width="23" style="135" bestFit="1" customWidth="1"/>
    <col min="29" max="29" width="11.7109375" style="135" bestFit="1" customWidth="1"/>
    <col min="30" max="30" width="20.5703125" style="135" bestFit="1" customWidth="1"/>
    <col min="31" max="31" width="15" style="135" bestFit="1" customWidth="1"/>
    <col min="32" max="32" width="23" style="135" bestFit="1" customWidth="1"/>
    <col min="33" max="33" width="11.7109375" style="135" bestFit="1" customWidth="1"/>
    <col min="34" max="34" width="15.8554687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109375" style="135" bestFit="1" customWidth="1"/>
    <col min="40" max="40" width="13.85546875" style="135" bestFit="1" customWidth="1"/>
    <col min="41" max="41" width="27.85546875" style="135" bestFit="1" customWidth="1"/>
    <col min="42" max="42" width="23" style="135" bestFit="1" customWidth="1"/>
    <col min="43" max="43" width="8" style="135" bestFit="1" customWidth="1"/>
    <col min="44" max="44" width="30.7109375" style="135" bestFit="1" customWidth="1"/>
    <col min="45" max="45" width="25.710937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109375" style="135" bestFit="1" customWidth="1"/>
    <col min="50" max="50" width="20.140625" style="135" bestFit="1" customWidth="1"/>
    <col min="51" max="51" width="23.5703125" style="135" bestFit="1" customWidth="1"/>
    <col min="52" max="52" width="23" style="135" bestFit="1" customWidth="1"/>
    <col min="53" max="53" width="11.7109375" style="135" bestFit="1" customWidth="1"/>
    <col min="54" max="54" width="21.42578125" style="135" bestFit="1" customWidth="1"/>
    <col min="55" max="55" width="15" style="135" bestFit="1" customWidth="1"/>
    <col min="56" max="56" width="23" style="135" bestFit="1" customWidth="1"/>
    <col min="57" max="57" width="11.7109375" style="135" bestFit="1" customWidth="1"/>
    <col min="58" max="58" width="13.8554687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109375" style="135" bestFit="1" customWidth="1"/>
    <col min="64" max="64" width="24.7109375" style="135" bestFit="1" customWidth="1"/>
    <col min="65" max="65" width="18.710937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5546875" style="135" bestFit="1" customWidth="1"/>
    <col min="73" max="73" width="10.5703125" style="135" bestFit="1" customWidth="1"/>
    <col min="74" max="74" width="21.42578125" style="135" bestFit="1" customWidth="1"/>
    <col min="75" max="75" width="5.42578125" style="135" bestFit="1" customWidth="1"/>
    <col min="76" max="16384" width="12.5703125" style="135"/>
  </cols>
  <sheetData>
    <row r="1" spans="1:75" ht="15.75" customHeight="1">
      <c r="A1" s="665" t="s">
        <v>361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Q1" s="665"/>
    </row>
    <row r="2" spans="1:75" s="136" customFormat="1" ht="15.75" customHeight="1">
      <c r="A2" s="665"/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665"/>
      <c r="Q2" s="665"/>
    </row>
    <row r="3" spans="1:75" ht="15.75" customHeight="1">
      <c r="A3" s="666" t="s">
        <v>431</v>
      </c>
      <c r="B3" s="666"/>
      <c r="C3" s="666"/>
      <c r="D3" s="666"/>
      <c r="E3" s="666"/>
      <c r="F3" s="666"/>
      <c r="G3" s="666"/>
      <c r="H3" s="666"/>
      <c r="I3" s="666"/>
      <c r="J3" s="666"/>
      <c r="K3" s="666"/>
      <c r="L3" s="666"/>
      <c r="M3" s="666"/>
    </row>
    <row r="4" spans="1:75" s="136" customFormat="1" ht="15.75" customHeight="1">
      <c r="A4" s="666"/>
      <c r="B4" s="666"/>
      <c r="C4" s="666"/>
      <c r="D4" s="666"/>
      <c r="E4" s="666"/>
      <c r="F4" s="666"/>
      <c r="G4" s="666"/>
      <c r="H4" s="666"/>
      <c r="I4" s="666"/>
      <c r="J4" s="666"/>
      <c r="K4" s="666"/>
      <c r="L4" s="666"/>
      <c r="M4" s="666"/>
    </row>
    <row r="5" spans="1:75" ht="15.75" customHeight="1">
      <c r="A5" s="668" t="s">
        <v>191</v>
      </c>
      <c r="B5" s="695">
        <v>1</v>
      </c>
      <c r="C5" s="695"/>
      <c r="D5" s="695">
        <v>2</v>
      </c>
      <c r="E5" s="695"/>
      <c r="F5" s="695">
        <v>3</v>
      </c>
      <c r="G5" s="695"/>
      <c r="H5" s="671">
        <v>4</v>
      </c>
      <c r="I5" s="671"/>
      <c r="J5" s="671">
        <v>5</v>
      </c>
      <c r="K5" s="671"/>
      <c r="L5" s="671">
        <v>6</v>
      </c>
      <c r="M5" s="671"/>
      <c r="N5" s="671">
        <v>7</v>
      </c>
      <c r="O5" s="671"/>
      <c r="P5" s="671">
        <v>8</v>
      </c>
      <c r="Q5" s="671"/>
    </row>
    <row r="6" spans="1:75" ht="15.75" customHeight="1">
      <c r="A6" s="668"/>
      <c r="B6" s="696" t="s">
        <v>452</v>
      </c>
      <c r="C6" s="696"/>
      <c r="D6" s="696" t="s">
        <v>212</v>
      </c>
      <c r="E6" s="696"/>
      <c r="F6" s="696" t="s">
        <v>166</v>
      </c>
      <c r="G6" s="696"/>
      <c r="H6" s="668" t="s">
        <v>428</v>
      </c>
      <c r="I6" s="668"/>
      <c r="J6" s="668" t="s">
        <v>189</v>
      </c>
      <c r="K6" s="668"/>
      <c r="L6" s="668" t="s">
        <v>167</v>
      </c>
      <c r="M6" s="668"/>
      <c r="N6" s="668" t="s">
        <v>190</v>
      </c>
      <c r="O6" s="668"/>
      <c r="P6" s="787" t="s">
        <v>217</v>
      </c>
      <c r="Q6" s="787"/>
    </row>
    <row r="8" spans="1:75" s="235" customFormat="1" ht="15.75" customHeight="1">
      <c r="A8" s="766" t="s">
        <v>191</v>
      </c>
      <c r="B8" s="767"/>
      <c r="C8" s="234" t="s">
        <v>47</v>
      </c>
      <c r="D8" s="819" t="s">
        <v>12</v>
      </c>
      <c r="E8" s="681"/>
      <c r="F8" s="809"/>
      <c r="G8" s="820" t="s">
        <v>53</v>
      </c>
      <c r="H8" s="821"/>
      <c r="I8" s="822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333</v>
      </c>
      <c r="O8" s="823" t="s">
        <v>51</v>
      </c>
      <c r="P8" s="824"/>
    </row>
    <row r="9" spans="1:75" ht="20.100000000000001" customHeight="1">
      <c r="A9" s="810">
        <v>1</v>
      </c>
      <c r="B9" s="813" t="s">
        <v>453</v>
      </c>
      <c r="C9" s="236">
        <v>1</v>
      </c>
      <c r="D9" s="237"/>
      <c r="E9" s="238"/>
      <c r="F9" s="238"/>
      <c r="G9" s="237"/>
      <c r="H9" s="238"/>
      <c r="I9" s="239"/>
      <c r="J9" s="236"/>
      <c r="K9" s="242"/>
      <c r="L9" s="236"/>
      <c r="M9" s="322">
        <f>L9*J9</f>
        <v>0</v>
      </c>
      <c r="N9" s="243"/>
      <c r="O9" s="748"/>
      <c r="P9" s="749"/>
      <c r="S9" s="340"/>
      <c r="T9" s="339"/>
    </row>
    <row r="10" spans="1:75" ht="20.100000000000001" customHeight="1">
      <c r="A10" s="811"/>
      <c r="B10" s="814"/>
      <c r="C10" s="236">
        <v>2</v>
      </c>
      <c r="D10" s="237"/>
      <c r="E10" s="238"/>
      <c r="F10" s="239"/>
      <c r="G10" s="237"/>
      <c r="H10" s="238"/>
      <c r="I10" s="239"/>
      <c r="J10" s="236"/>
      <c r="K10" s="242"/>
      <c r="L10" s="236"/>
      <c r="M10" s="322">
        <f t="shared" ref="M10:M13" si="0">L10*J10</f>
        <v>0</v>
      </c>
      <c r="N10" s="243"/>
      <c r="O10" s="826"/>
      <c r="P10" s="769"/>
      <c r="S10" s="339"/>
      <c r="T10" s="339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ht="20.100000000000001" customHeight="1">
      <c r="A11" s="811"/>
      <c r="B11" s="814"/>
      <c r="C11" s="236">
        <v>3</v>
      </c>
      <c r="D11" s="237"/>
      <c r="E11" s="238"/>
      <c r="F11" s="239"/>
      <c r="G11" s="237"/>
      <c r="H11" s="238"/>
      <c r="I11" s="239"/>
      <c r="J11" s="236"/>
      <c r="K11" s="242"/>
      <c r="L11" s="236"/>
      <c r="M11" s="322">
        <f t="shared" si="0"/>
        <v>0</v>
      </c>
      <c r="N11" s="243"/>
      <c r="O11" s="826"/>
      <c r="P11" s="769"/>
      <c r="S11" s="340"/>
      <c r="T11" s="339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ht="20.100000000000001" customHeight="1">
      <c r="A12" s="811"/>
      <c r="B12" s="814"/>
      <c r="C12" s="236">
        <v>4</v>
      </c>
      <c r="D12" s="237"/>
      <c r="E12" s="238"/>
      <c r="F12" s="239"/>
      <c r="G12" s="237"/>
      <c r="H12" s="238"/>
      <c r="I12" s="239"/>
      <c r="J12" s="236"/>
      <c r="K12" s="242"/>
      <c r="L12" s="236"/>
      <c r="M12" s="322">
        <f t="shared" si="0"/>
        <v>0</v>
      </c>
      <c r="N12" s="243"/>
      <c r="O12" s="826"/>
      <c r="P12" s="769"/>
      <c r="S12" s="339"/>
      <c r="T12" s="339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ht="20.100000000000001" customHeight="1" thickBot="1">
      <c r="A13" s="811"/>
      <c r="B13" s="814"/>
      <c r="C13" s="236">
        <v>5</v>
      </c>
      <c r="D13" s="244"/>
      <c r="E13" s="245"/>
      <c r="F13" s="246"/>
      <c r="G13" s="237"/>
      <c r="H13" s="238"/>
      <c r="I13" s="268"/>
      <c r="J13" s="247"/>
      <c r="K13" s="248"/>
      <c r="L13" s="247"/>
      <c r="M13" s="323">
        <f t="shared" si="0"/>
        <v>0</v>
      </c>
      <c r="N13" s="243"/>
      <c r="O13" s="826"/>
      <c r="P13" s="769"/>
      <c r="S13" s="340"/>
      <c r="T13" s="339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ht="15.75" customHeight="1" thickTop="1" thickBot="1">
      <c r="A14" s="812"/>
      <c r="B14" s="815"/>
      <c r="C14" s="683"/>
      <c r="D14" s="684"/>
      <c r="E14" s="684"/>
      <c r="F14" s="684"/>
      <c r="G14" s="684"/>
      <c r="H14" s="684"/>
      <c r="I14" s="818"/>
      <c r="J14" s="344" t="s">
        <v>58</v>
      </c>
      <c r="K14" s="345">
        <f>M14/'生產管理報表 7-1 (週)'!$B$10</f>
        <v>0</v>
      </c>
      <c r="L14" s="344" t="s">
        <v>59</v>
      </c>
      <c r="M14" s="324">
        <f>SUM(M9:M13)</f>
        <v>0</v>
      </c>
      <c r="N14" s="784"/>
      <c r="O14" s="785"/>
      <c r="P14" s="786"/>
      <c r="S14" s="339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ht="15.75" customHeight="1" thickTop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S15" s="340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ht="15.75" customHeight="1">
      <c r="A16" s="766" t="s">
        <v>191</v>
      </c>
      <c r="B16" s="767"/>
      <c r="C16" s="252" t="s">
        <v>47</v>
      </c>
      <c r="D16" s="680" t="s">
        <v>12</v>
      </c>
      <c r="E16" s="681"/>
      <c r="F16" s="682"/>
      <c r="G16" s="680" t="s">
        <v>53</v>
      </c>
      <c r="H16" s="681"/>
      <c r="I16" s="682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333</v>
      </c>
      <c r="O16" s="775" t="s">
        <v>51</v>
      </c>
      <c r="P16" s="776"/>
      <c r="S16" s="339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ht="20.100000000000001" customHeight="1">
      <c r="A17" s="810">
        <v>2</v>
      </c>
      <c r="B17" s="813" t="s">
        <v>213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777"/>
      <c r="P17" s="778"/>
      <c r="S17" s="340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ht="20.100000000000001" customHeight="1">
      <c r="A18" s="811"/>
      <c r="B18" s="814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777"/>
      <c r="P18" s="778"/>
      <c r="S18" s="339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ht="20.100000000000001" customHeight="1">
      <c r="A19" s="811"/>
      <c r="B19" s="814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60"/>
      <c r="O19" s="777"/>
      <c r="P19" s="778"/>
      <c r="S19" s="340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ht="20.100000000000001" customHeight="1">
      <c r="A20" s="811"/>
      <c r="B20" s="814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777"/>
      <c r="P20" s="778"/>
      <c r="S20" s="339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ht="20.100000000000001" customHeight="1" thickBot="1">
      <c r="A21" s="811"/>
      <c r="B21" s="814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66"/>
      <c r="O21" s="777"/>
      <c r="P21" s="778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ht="15.75" customHeight="1" thickTop="1" thickBot="1">
      <c r="A22" s="812"/>
      <c r="B22" s="815"/>
      <c r="C22" s="683"/>
      <c r="D22" s="684"/>
      <c r="E22" s="684"/>
      <c r="F22" s="684"/>
      <c r="G22" s="684"/>
      <c r="H22" s="684"/>
      <c r="I22" s="818"/>
      <c r="J22" s="344" t="s">
        <v>58</v>
      </c>
      <c r="K22" s="345">
        <f>M22/'生產管理報表 7-1 (週)'!$B$10</f>
        <v>0</v>
      </c>
      <c r="L22" s="344" t="s">
        <v>59</v>
      </c>
      <c r="M22" s="250">
        <f>SUM(M17:M21)</f>
        <v>0</v>
      </c>
      <c r="N22" s="779"/>
      <c r="O22" s="780"/>
      <c r="P22" s="78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ht="15.75" customHeight="1" thickTop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ht="15.75" customHeight="1">
      <c r="A24" s="766" t="s">
        <v>191</v>
      </c>
      <c r="B24" s="767"/>
      <c r="C24" s="252" t="s">
        <v>47</v>
      </c>
      <c r="D24" s="680" t="s">
        <v>12</v>
      </c>
      <c r="E24" s="681"/>
      <c r="F24" s="682"/>
      <c r="G24" s="680" t="s">
        <v>53</v>
      </c>
      <c r="H24" s="681"/>
      <c r="I24" s="809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333</v>
      </c>
      <c r="O24" s="773" t="s">
        <v>51</v>
      </c>
      <c r="P24" s="774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ht="20.100000000000001" customHeight="1">
      <c r="A25" s="810">
        <v>3</v>
      </c>
      <c r="B25" s="813" t="s">
        <v>422</v>
      </c>
      <c r="C25" s="256">
        <v>1</v>
      </c>
      <c r="D25" s="237"/>
      <c r="E25" s="238"/>
      <c r="F25" s="239"/>
      <c r="G25" s="237"/>
      <c r="H25" s="238"/>
      <c r="I25" s="239"/>
      <c r="J25" s="257"/>
      <c r="K25" s="258"/>
      <c r="L25" s="257"/>
      <c r="M25" s="325">
        <f t="shared" ref="M25:M29" si="2">L25*J25</f>
        <v>0</v>
      </c>
      <c r="N25" s="270"/>
      <c r="O25" s="768"/>
      <c r="P25" s="769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ht="20.100000000000001" customHeight="1">
      <c r="A26" s="811"/>
      <c r="B26" s="814"/>
      <c r="C26" s="256">
        <v>2</v>
      </c>
      <c r="D26" s="237"/>
      <c r="E26" s="238"/>
      <c r="F26" s="239"/>
      <c r="G26" s="237"/>
      <c r="H26" s="238"/>
      <c r="I26" s="239"/>
      <c r="J26" s="257"/>
      <c r="K26" s="258"/>
      <c r="L26" s="257"/>
      <c r="M26" s="325">
        <f t="shared" si="2"/>
        <v>0</v>
      </c>
      <c r="N26" s="270"/>
      <c r="O26" s="768"/>
      <c r="P26" s="769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ht="20.100000000000001" customHeight="1">
      <c r="A27" s="811"/>
      <c r="B27" s="814"/>
      <c r="C27" s="256">
        <v>3</v>
      </c>
      <c r="D27" s="237"/>
      <c r="E27" s="238"/>
      <c r="F27" s="239"/>
      <c r="G27" s="237"/>
      <c r="H27" s="238"/>
      <c r="I27" s="239"/>
      <c r="J27" s="257"/>
      <c r="K27" s="258"/>
      <c r="L27" s="257"/>
      <c r="M27" s="325">
        <f t="shared" si="2"/>
        <v>0</v>
      </c>
      <c r="N27" s="270"/>
      <c r="O27" s="768"/>
      <c r="P27" s="769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ht="20.100000000000001" customHeight="1">
      <c r="A28" s="811"/>
      <c r="B28" s="814"/>
      <c r="C28" s="256">
        <v>4</v>
      </c>
      <c r="D28" s="237"/>
      <c r="E28" s="238"/>
      <c r="F28" s="239"/>
      <c r="G28" s="237"/>
      <c r="H28" s="238"/>
      <c r="I28" s="268"/>
      <c r="J28" s="269"/>
      <c r="K28" s="258"/>
      <c r="L28" s="257"/>
      <c r="M28" s="325">
        <f t="shared" si="2"/>
        <v>0</v>
      </c>
      <c r="N28" s="270"/>
      <c r="O28" s="768"/>
      <c r="P28" s="769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ht="20.100000000000001" customHeight="1" thickBot="1">
      <c r="A29" s="811"/>
      <c r="B29" s="814"/>
      <c r="C29" s="262">
        <v>5</v>
      </c>
      <c r="D29" s="244"/>
      <c r="E29" s="245"/>
      <c r="F29" s="246"/>
      <c r="G29" s="244"/>
      <c r="H29" s="245"/>
      <c r="I29" s="271"/>
      <c r="J29" s="272"/>
      <c r="K29" s="264"/>
      <c r="L29" s="273"/>
      <c r="M29" s="325">
        <f t="shared" si="2"/>
        <v>0</v>
      </c>
      <c r="N29" s="270"/>
      <c r="O29" s="768"/>
      <c r="P29" s="769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ht="15.75" customHeight="1" thickTop="1" thickBot="1">
      <c r="A30" s="812"/>
      <c r="B30" s="815"/>
      <c r="C30" s="683"/>
      <c r="D30" s="684"/>
      <c r="E30" s="684"/>
      <c r="F30" s="684"/>
      <c r="G30" s="684"/>
      <c r="H30" s="684"/>
      <c r="I30" s="818"/>
      <c r="J30" s="346" t="s">
        <v>58</v>
      </c>
      <c r="K30" s="345">
        <f>M30/'生產管理報表 7-1 (週)'!$B$10</f>
        <v>0</v>
      </c>
      <c r="L30" s="346" t="s">
        <v>59</v>
      </c>
      <c r="M30" s="326">
        <f>SUM(M25:M29)</f>
        <v>0</v>
      </c>
      <c r="N30" s="770"/>
      <c r="O30" s="771"/>
      <c r="P30" s="772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U87"/>
  <sheetViews>
    <sheetView view="pageBreakPreview" topLeftCell="A31" zoomScaleNormal="60" zoomScaleSheetLayoutView="100" workbookViewId="0">
      <selection activeCell="N42" sqref="N42:P42"/>
    </sheetView>
  </sheetViews>
  <sheetFormatPr defaultColWidth="12.5703125" defaultRowHeight="15.75" customHeight="1"/>
  <cols>
    <col min="1" max="1" width="5.42578125" style="289" customWidth="1"/>
    <col min="2" max="2" width="11.42578125" style="297" customWidth="1"/>
    <col min="3" max="3" width="4" style="298" customWidth="1"/>
    <col min="4" max="4" width="9.5703125" style="289" customWidth="1"/>
    <col min="5" max="5" width="10.28515625" style="289" customWidth="1"/>
    <col min="6" max="15" width="9.5703125" style="289" customWidth="1"/>
    <col min="16" max="16" width="35.42578125" style="289" customWidth="1"/>
    <col min="17" max="17" width="12.5703125" style="289"/>
    <col min="18" max="18" width="27.42578125" style="289" bestFit="1" customWidth="1"/>
    <col min="19" max="16384" width="12.5703125" style="289"/>
  </cols>
  <sheetData>
    <row r="1" spans="1:21" s="135" customFormat="1" ht="15.75" customHeight="1">
      <c r="A1" s="855" t="s">
        <v>361</v>
      </c>
      <c r="B1" s="856"/>
      <c r="C1" s="856"/>
      <c r="D1" s="856"/>
      <c r="E1" s="856"/>
      <c r="F1" s="856"/>
      <c r="G1" s="856"/>
      <c r="H1" s="856"/>
      <c r="I1" s="856"/>
      <c r="J1" s="856"/>
      <c r="K1" s="856"/>
      <c r="L1" s="856"/>
      <c r="M1" s="856"/>
      <c r="N1" s="856"/>
      <c r="O1" s="856"/>
      <c r="P1" s="857"/>
    </row>
    <row r="2" spans="1:21" s="136" customFormat="1" ht="15.75" customHeight="1">
      <c r="A2" s="858"/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  <c r="O2" s="665"/>
      <c r="P2" s="859"/>
    </row>
    <row r="3" spans="1:21" s="135" customFormat="1" ht="15.75" customHeight="1">
      <c r="A3" s="854" t="s">
        <v>768</v>
      </c>
      <c r="B3" s="666"/>
      <c r="C3" s="666"/>
      <c r="D3" s="666"/>
      <c r="E3" s="666"/>
      <c r="F3" s="666"/>
      <c r="G3" s="666"/>
      <c r="H3" s="666"/>
      <c r="I3" s="666"/>
      <c r="J3" s="666"/>
      <c r="K3" s="666"/>
      <c r="L3" s="666"/>
      <c r="M3" s="666"/>
      <c r="P3" s="509"/>
      <c r="R3" s="231"/>
      <c r="S3" s="231"/>
      <c r="T3" s="231"/>
      <c r="U3" s="231"/>
    </row>
    <row r="4" spans="1:21" s="136" customFormat="1" ht="15.75" customHeight="1">
      <c r="A4" s="854"/>
      <c r="B4" s="666"/>
      <c r="C4" s="666"/>
      <c r="D4" s="666"/>
      <c r="E4" s="666"/>
      <c r="F4" s="666"/>
      <c r="G4" s="666"/>
      <c r="H4" s="666"/>
      <c r="I4" s="666"/>
      <c r="J4" s="666"/>
      <c r="K4" s="666"/>
      <c r="L4" s="666"/>
      <c r="M4" s="666"/>
      <c r="P4" s="510"/>
    </row>
    <row r="5" spans="1:21" s="135" customFormat="1" ht="15.75" customHeight="1">
      <c r="A5" s="764" t="s">
        <v>191</v>
      </c>
      <c r="B5" s="766">
        <v>1</v>
      </c>
      <c r="C5" s="767"/>
      <c r="D5" s="766">
        <v>2</v>
      </c>
      <c r="E5" s="767"/>
      <c r="F5" s="766">
        <v>3</v>
      </c>
      <c r="G5" s="767"/>
      <c r="H5" s="757">
        <v>4</v>
      </c>
      <c r="I5" s="758"/>
      <c r="J5" s="757">
        <v>5</v>
      </c>
      <c r="K5" s="758"/>
      <c r="L5" s="757">
        <v>6</v>
      </c>
      <c r="M5" s="758"/>
      <c r="N5" s="757">
        <v>7</v>
      </c>
      <c r="O5" s="758"/>
      <c r="P5" s="352">
        <v>8</v>
      </c>
    </row>
    <row r="6" spans="1:21" s="135" customFormat="1" ht="15.75" customHeight="1">
      <c r="A6" s="765"/>
      <c r="B6" s="761" t="s">
        <v>452</v>
      </c>
      <c r="C6" s="762"/>
      <c r="D6" s="761" t="s">
        <v>212</v>
      </c>
      <c r="E6" s="762"/>
      <c r="F6" s="761" t="s">
        <v>166</v>
      </c>
      <c r="G6" s="762"/>
      <c r="H6" s="759" t="s">
        <v>428</v>
      </c>
      <c r="I6" s="760"/>
      <c r="J6" s="759" t="s">
        <v>189</v>
      </c>
      <c r="K6" s="760"/>
      <c r="L6" s="759" t="s">
        <v>167</v>
      </c>
      <c r="M6" s="760"/>
      <c r="N6" s="759" t="s">
        <v>190</v>
      </c>
      <c r="O6" s="760"/>
      <c r="P6" s="353" t="s">
        <v>217</v>
      </c>
    </row>
    <row r="7" spans="1:21" s="135" customFormat="1" ht="15.75" customHeight="1">
      <c r="A7" s="504"/>
      <c r="B7" s="505"/>
      <c r="C7" s="506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  <c r="O7" s="507"/>
      <c r="P7" s="508"/>
    </row>
    <row r="8" spans="1:21" s="278" customFormat="1" ht="15.75" customHeight="1">
      <c r="A8" s="842" t="s">
        <v>191</v>
      </c>
      <c r="B8" s="843"/>
      <c r="C8" s="501" t="s">
        <v>47</v>
      </c>
      <c r="D8" s="844" t="s">
        <v>12</v>
      </c>
      <c r="E8" s="845"/>
      <c r="F8" s="846"/>
      <c r="G8" s="847" t="s">
        <v>53</v>
      </c>
      <c r="H8" s="848"/>
      <c r="I8" s="849"/>
      <c r="J8" s="502" t="s">
        <v>54</v>
      </c>
      <c r="K8" s="502" t="s">
        <v>55</v>
      </c>
      <c r="L8" s="502" t="s">
        <v>56</v>
      </c>
      <c r="M8" s="503" t="s">
        <v>11</v>
      </c>
      <c r="N8" s="503" t="s">
        <v>333</v>
      </c>
      <c r="O8" s="850" t="s">
        <v>51</v>
      </c>
      <c r="P8" s="851"/>
      <c r="R8" s="339"/>
      <c r="S8" s="340"/>
    </row>
    <row r="9" spans="1:21" s="298" customFormat="1" ht="60" customHeight="1">
      <c r="A9" s="711">
        <v>4</v>
      </c>
      <c r="B9" s="745" t="s">
        <v>428</v>
      </c>
      <c r="C9" s="279">
        <v>1</v>
      </c>
      <c r="D9" s="237" t="s">
        <v>340</v>
      </c>
      <c r="E9" s="238"/>
      <c r="F9" s="239"/>
      <c r="G9" s="306" t="s">
        <v>633</v>
      </c>
      <c r="H9" s="305"/>
      <c r="I9" s="306"/>
      <c r="J9" s="312">
        <v>144.79999999999998</v>
      </c>
      <c r="K9" s="313">
        <v>2.7763492311934945E-3</v>
      </c>
      <c r="L9" s="314">
        <v>48.510000000000218</v>
      </c>
      <c r="M9" s="322">
        <f t="shared" ref="M9:M13" si="0">L9*J9</f>
        <v>7024.2480000000305</v>
      </c>
      <c r="N9" s="314"/>
      <c r="O9" s="741" t="s">
        <v>612</v>
      </c>
      <c r="P9" s="852"/>
      <c r="R9" s="393"/>
      <c r="S9" s="340"/>
    </row>
    <row r="10" spans="1:21" s="298" customFormat="1" ht="60" customHeight="1">
      <c r="A10" s="712"/>
      <c r="B10" s="746"/>
      <c r="C10" s="279">
        <v>2</v>
      </c>
      <c r="D10" s="237" t="s">
        <v>341</v>
      </c>
      <c r="E10" s="238"/>
      <c r="F10" s="239"/>
      <c r="G10" s="306" t="s">
        <v>545</v>
      </c>
      <c r="H10" s="305"/>
      <c r="I10" s="306"/>
      <c r="J10" s="312">
        <v>66.13</v>
      </c>
      <c r="K10" s="313">
        <v>7.682620926382922E-3</v>
      </c>
      <c r="L10" s="314">
        <v>59.3599999999999</v>
      </c>
      <c r="M10" s="322">
        <f t="shared" si="0"/>
        <v>3925.4767999999931</v>
      </c>
      <c r="N10" s="314"/>
      <c r="O10" s="741" t="s">
        <v>611</v>
      </c>
      <c r="P10" s="852"/>
      <c r="R10" s="393"/>
      <c r="S10" s="394"/>
      <c r="T10" s="335"/>
    </row>
    <row r="11" spans="1:21" s="298" customFormat="1" ht="60" customHeight="1">
      <c r="A11" s="712"/>
      <c r="B11" s="746"/>
      <c r="C11" s="279">
        <v>3</v>
      </c>
      <c r="D11" s="237" t="s">
        <v>458</v>
      </c>
      <c r="E11" s="238"/>
      <c r="F11" s="239"/>
      <c r="G11" s="306" t="s">
        <v>464</v>
      </c>
      <c r="H11" s="305"/>
      <c r="I11" s="306"/>
      <c r="J11" s="312">
        <v>629</v>
      </c>
      <c r="K11" s="313">
        <v>6.2599681020733657E-3</v>
      </c>
      <c r="L11" s="314">
        <v>6.2199999999999989</v>
      </c>
      <c r="M11" s="322">
        <f t="shared" si="0"/>
        <v>3912.3799999999992</v>
      </c>
      <c r="N11" s="314"/>
      <c r="O11" s="750" t="s">
        <v>548</v>
      </c>
      <c r="P11" s="853"/>
      <c r="R11" s="393"/>
      <c r="S11" s="395"/>
    </row>
    <row r="12" spans="1:21" s="298" customFormat="1" ht="60" customHeight="1">
      <c r="A12" s="712"/>
      <c r="B12" s="746"/>
      <c r="C12" s="279">
        <v>4</v>
      </c>
      <c r="D12" s="237" t="s">
        <v>433</v>
      </c>
      <c r="E12" s="238"/>
      <c r="F12" s="239"/>
      <c r="G12" s="306" t="s">
        <v>432</v>
      </c>
      <c r="H12" s="305"/>
      <c r="I12" s="306"/>
      <c r="J12" s="312">
        <v>368.13999999999993</v>
      </c>
      <c r="K12" s="313">
        <v>6.7738779196668264E-3</v>
      </c>
      <c r="L12" s="314">
        <v>11</v>
      </c>
      <c r="M12" s="322">
        <f t="shared" si="0"/>
        <v>4049.5399999999991</v>
      </c>
      <c r="N12" s="314"/>
      <c r="O12" s="750" t="s">
        <v>769</v>
      </c>
      <c r="P12" s="853"/>
      <c r="R12" s="393"/>
      <c r="S12" s="394"/>
      <c r="T12" s="335"/>
    </row>
    <row r="13" spans="1:21" s="298" customFormat="1" ht="60" customHeight="1" thickBot="1">
      <c r="A13" s="712"/>
      <c r="B13" s="746"/>
      <c r="C13" s="279">
        <v>5</v>
      </c>
      <c r="D13" s="237" t="s">
        <v>340</v>
      </c>
      <c r="E13" s="245"/>
      <c r="F13" s="246"/>
      <c r="G13" s="306" t="s">
        <v>386</v>
      </c>
      <c r="H13" s="305"/>
      <c r="I13" s="306"/>
      <c r="J13" s="316">
        <v>127.84000000000002</v>
      </c>
      <c r="K13" s="248">
        <v>2.1443798327383731E-3</v>
      </c>
      <c r="L13" s="317">
        <v>49.349999999999909</v>
      </c>
      <c r="M13" s="322">
        <f t="shared" si="0"/>
        <v>6308.9039999999895</v>
      </c>
      <c r="N13" s="314"/>
      <c r="O13" s="750" t="s">
        <v>770</v>
      </c>
      <c r="P13" s="853"/>
      <c r="R13" s="396"/>
      <c r="S13" s="395"/>
      <c r="T13" s="289"/>
    </row>
    <row r="14" spans="1:21" ht="15.75" customHeight="1" thickTop="1" thickBot="1">
      <c r="A14" s="713"/>
      <c r="B14" s="747"/>
      <c r="C14" s="754"/>
      <c r="D14" s="755"/>
      <c r="E14" s="755"/>
      <c r="F14" s="755"/>
      <c r="G14" s="755"/>
      <c r="H14" s="755"/>
      <c r="I14" s="756"/>
      <c r="J14" s="347" t="s">
        <v>58</v>
      </c>
      <c r="K14" s="345">
        <f>M14/'生產管理報表 7-1 (週)'!$B$10</f>
        <v>9.0344815042066859E-2</v>
      </c>
      <c r="L14" s="348" t="s">
        <v>59</v>
      </c>
      <c r="M14" s="349">
        <f>SUM(M9:M13)</f>
        <v>25220.548800000011</v>
      </c>
      <c r="N14" s="698"/>
      <c r="O14" s="699"/>
      <c r="P14" s="841"/>
      <c r="R14" s="339"/>
      <c r="S14" s="339"/>
    </row>
    <row r="15" spans="1:21" ht="15.75" customHeight="1" thickTop="1">
      <c r="A15" s="511"/>
      <c r="M15" s="329"/>
      <c r="P15" s="512"/>
      <c r="S15" s="340"/>
    </row>
    <row r="16" spans="1:21" ht="15.75" customHeight="1">
      <c r="A16" s="701" t="s">
        <v>191</v>
      </c>
      <c r="B16" s="702"/>
      <c r="C16" s="275" t="s">
        <v>47</v>
      </c>
      <c r="D16" s="731" t="s">
        <v>12</v>
      </c>
      <c r="E16" s="732"/>
      <c r="F16" s="733"/>
      <c r="G16" s="734" t="s">
        <v>53</v>
      </c>
      <c r="H16" s="735"/>
      <c r="I16" s="736"/>
      <c r="J16" s="377" t="s">
        <v>54</v>
      </c>
      <c r="K16" s="276" t="s">
        <v>55</v>
      </c>
      <c r="L16" s="276" t="s">
        <v>56</v>
      </c>
      <c r="M16" s="330" t="s">
        <v>11</v>
      </c>
      <c r="N16" s="277" t="s">
        <v>333</v>
      </c>
      <c r="O16" s="709" t="s">
        <v>51</v>
      </c>
      <c r="P16" s="833"/>
      <c r="S16" s="339"/>
      <c r="T16" s="335"/>
    </row>
    <row r="17" spans="1:21" s="298" customFormat="1" ht="60" customHeight="1">
      <c r="A17" s="711">
        <v>5</v>
      </c>
      <c r="B17" s="724" t="s">
        <v>215</v>
      </c>
      <c r="C17" s="279">
        <v>1</v>
      </c>
      <c r="D17" s="237" t="s">
        <v>340</v>
      </c>
      <c r="E17" s="238"/>
      <c r="F17" s="239"/>
      <c r="G17" s="306" t="s">
        <v>336</v>
      </c>
      <c r="H17" s="305"/>
      <c r="I17" s="306"/>
      <c r="J17" s="312">
        <v>147.43000000000004</v>
      </c>
      <c r="K17" s="313">
        <v>1.5791755016928105E-3</v>
      </c>
      <c r="L17" s="314">
        <v>62.880000000000109</v>
      </c>
      <c r="M17" s="322">
        <f>L17*J17</f>
        <v>9270.3984000000182</v>
      </c>
      <c r="N17" s="314"/>
      <c r="O17" s="792" t="s">
        <v>529</v>
      </c>
      <c r="P17" s="838"/>
      <c r="S17" s="395"/>
      <c r="T17" s="335"/>
    </row>
    <row r="18" spans="1:21" s="298" customFormat="1" ht="24.95" customHeight="1">
      <c r="A18" s="712"/>
      <c r="B18" s="725"/>
      <c r="C18" s="279">
        <v>2</v>
      </c>
      <c r="D18" s="237"/>
      <c r="E18" s="238"/>
      <c r="F18" s="239"/>
      <c r="G18" s="350"/>
      <c r="H18" s="305"/>
      <c r="I18" s="306"/>
      <c r="J18" s="312"/>
      <c r="K18" s="313"/>
      <c r="L18" s="314"/>
      <c r="M18" s="322">
        <f t="shared" ref="M18:M21" si="1">L18*J18</f>
        <v>0</v>
      </c>
      <c r="N18" s="314"/>
      <c r="O18" s="729"/>
      <c r="P18" s="839"/>
      <c r="S18" s="339"/>
      <c r="T18" s="336"/>
    </row>
    <row r="19" spans="1:21" ht="24.95" customHeight="1">
      <c r="A19" s="712"/>
      <c r="B19" s="725"/>
      <c r="C19" s="279">
        <v>3</v>
      </c>
      <c r="D19" s="237"/>
      <c r="E19" s="238"/>
      <c r="F19" s="239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19"/>
      <c r="P19" s="840"/>
    </row>
    <row r="20" spans="1:21" ht="24.95" customHeight="1">
      <c r="A20" s="712"/>
      <c r="B20" s="725"/>
      <c r="C20" s="279">
        <v>4</v>
      </c>
      <c r="D20" s="280"/>
      <c r="E20" s="281"/>
      <c r="F20" s="282"/>
      <c r="G20" s="350"/>
      <c r="H20" s="305"/>
      <c r="I20" s="306"/>
      <c r="J20" s="286"/>
      <c r="K20" s="287"/>
      <c r="L20" s="288"/>
      <c r="M20" s="322">
        <f t="shared" si="1"/>
        <v>0</v>
      </c>
      <c r="N20" s="288"/>
      <c r="O20" s="299"/>
      <c r="P20" s="513"/>
    </row>
    <row r="21" spans="1:21" ht="24.95" customHeight="1" thickBot="1">
      <c r="A21" s="712"/>
      <c r="B21" s="725"/>
      <c r="C21" s="279">
        <v>5</v>
      </c>
      <c r="D21" s="290"/>
      <c r="E21" s="291"/>
      <c r="F21" s="292"/>
      <c r="G21" s="350"/>
      <c r="H21" s="305"/>
      <c r="I21" s="306"/>
      <c r="J21" s="293"/>
      <c r="K21" s="248"/>
      <c r="L21" s="294"/>
      <c r="M21" s="322">
        <f t="shared" si="1"/>
        <v>0</v>
      </c>
      <c r="N21" s="288"/>
      <c r="O21" s="301"/>
      <c r="P21" s="514"/>
      <c r="R21" s="343"/>
    </row>
    <row r="22" spans="1:21" ht="15.75" customHeight="1" thickTop="1" thickBot="1">
      <c r="A22" s="713"/>
      <c r="B22" s="726"/>
      <c r="C22" s="721"/>
      <c r="D22" s="722"/>
      <c r="E22" s="722"/>
      <c r="F22" s="722"/>
      <c r="G22" s="722"/>
      <c r="H22" s="722"/>
      <c r="I22" s="723"/>
      <c r="J22" s="347" t="s">
        <v>58</v>
      </c>
      <c r="K22" s="345">
        <f>M22/'生產管理報表 7-1 (週)'!$B$10</f>
        <v>3.3208334816817064E-2</v>
      </c>
      <c r="L22" s="348" t="s">
        <v>59</v>
      </c>
      <c r="M22" s="349">
        <f>SUM(M17:M21)</f>
        <v>9270.3984000000182</v>
      </c>
      <c r="N22" s="698"/>
      <c r="O22" s="699"/>
      <c r="P22" s="841"/>
      <c r="R22" s="339"/>
    </row>
    <row r="23" spans="1:21" ht="15.75" customHeight="1" thickTop="1">
      <c r="A23" s="511"/>
      <c r="K23" s="289" t="s">
        <v>456</v>
      </c>
      <c r="M23" s="329"/>
      <c r="P23" s="512"/>
      <c r="R23" s="339"/>
    </row>
    <row r="24" spans="1:21" ht="24.95" customHeight="1">
      <c r="A24" s="701" t="s">
        <v>191</v>
      </c>
      <c r="B24" s="702"/>
      <c r="C24" s="303" t="s">
        <v>47</v>
      </c>
      <c r="D24" s="703" t="s">
        <v>12</v>
      </c>
      <c r="E24" s="704"/>
      <c r="F24" s="705"/>
      <c r="G24" s="706" t="s">
        <v>53</v>
      </c>
      <c r="H24" s="707"/>
      <c r="I24" s="708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333</v>
      </c>
      <c r="O24" s="709" t="s">
        <v>51</v>
      </c>
      <c r="P24" s="833"/>
      <c r="R24" s="339"/>
    </row>
    <row r="25" spans="1:21" ht="54.95" customHeight="1">
      <c r="A25" s="711">
        <v>6</v>
      </c>
      <c r="B25" s="724" t="s">
        <v>216</v>
      </c>
      <c r="C25" s="279">
        <v>1</v>
      </c>
      <c r="D25" s="515" t="s">
        <v>340</v>
      </c>
      <c r="E25" s="281"/>
      <c r="F25" s="282"/>
      <c r="G25" s="306" t="s">
        <v>534</v>
      </c>
      <c r="H25" s="305"/>
      <c r="I25" s="306"/>
      <c r="J25" s="312">
        <v>39.389999999999993</v>
      </c>
      <c r="K25" s="313">
        <v>1.1123997896361564E-3</v>
      </c>
      <c r="L25" s="314">
        <v>179.11000000000058</v>
      </c>
      <c r="M25" s="322">
        <f t="shared" ref="M25:M29" si="2">L25*J25</f>
        <v>7055.1429000000217</v>
      </c>
      <c r="N25" s="288"/>
      <c r="O25" s="752" t="s">
        <v>735</v>
      </c>
      <c r="P25" s="834"/>
      <c r="R25" s="336"/>
      <c r="S25" s="336"/>
    </row>
    <row r="26" spans="1:21" ht="54.95" customHeight="1">
      <c r="A26" s="712"/>
      <c r="B26" s="725"/>
      <c r="C26" s="279">
        <v>2</v>
      </c>
      <c r="D26" s="237" t="s">
        <v>463</v>
      </c>
      <c r="E26" s="281"/>
      <c r="F26" s="282"/>
      <c r="G26" s="306" t="s">
        <v>461</v>
      </c>
      <c r="H26" s="305"/>
      <c r="I26" s="306"/>
      <c r="J26" s="312">
        <v>407.74000000000007</v>
      </c>
      <c r="K26" s="313">
        <v>2.3218811862870253E-3</v>
      </c>
      <c r="L26" s="314">
        <v>10.3599999999999</v>
      </c>
      <c r="M26" s="322">
        <f t="shared" si="2"/>
        <v>4224.1863999999596</v>
      </c>
      <c r="N26" s="288"/>
      <c r="O26" s="752" t="s">
        <v>537</v>
      </c>
      <c r="P26" s="834"/>
      <c r="R26" s="336"/>
      <c r="S26" s="336"/>
    </row>
    <row r="27" spans="1:21" ht="54.95" customHeight="1">
      <c r="A27" s="712"/>
      <c r="B27" s="725"/>
      <c r="C27" s="279">
        <v>3</v>
      </c>
      <c r="D27" s="237" t="s">
        <v>614</v>
      </c>
      <c r="E27" s="281"/>
      <c r="F27" s="282"/>
      <c r="G27" s="306" t="s">
        <v>619</v>
      </c>
      <c r="H27" s="305"/>
      <c r="I27" s="306"/>
      <c r="J27" s="312">
        <v>39.389999999999993</v>
      </c>
      <c r="K27" s="313">
        <v>6.0830035127875017E-3</v>
      </c>
      <c r="L27" s="314">
        <v>121.34000000000015</v>
      </c>
      <c r="M27" s="322">
        <f t="shared" si="2"/>
        <v>4779.5826000000052</v>
      </c>
      <c r="N27" s="288"/>
      <c r="O27" s="752" t="s">
        <v>735</v>
      </c>
      <c r="P27" s="834"/>
      <c r="R27" s="336"/>
    </row>
    <row r="28" spans="1:21" ht="54.95" customHeight="1">
      <c r="A28" s="712"/>
      <c r="B28" s="725"/>
      <c r="C28" s="279">
        <v>4</v>
      </c>
      <c r="D28" s="237" t="s">
        <v>630</v>
      </c>
      <c r="E28" s="281"/>
      <c r="F28" s="282"/>
      <c r="G28" s="306" t="s">
        <v>631</v>
      </c>
      <c r="H28" s="305"/>
      <c r="I28" s="306"/>
      <c r="J28" s="312">
        <v>43.889999999999993</v>
      </c>
      <c r="K28" s="313">
        <v>7.136736366081425E-3</v>
      </c>
      <c r="L28" s="314">
        <v>94.900000000000091</v>
      </c>
      <c r="M28" s="322">
        <f t="shared" si="2"/>
        <v>4165.1610000000037</v>
      </c>
      <c r="N28" s="288"/>
      <c r="O28" s="752" t="s">
        <v>735</v>
      </c>
      <c r="P28" s="834"/>
      <c r="R28" s="336"/>
      <c r="S28" s="336"/>
    </row>
    <row r="29" spans="1:21" ht="54.75" customHeight="1" thickBot="1">
      <c r="A29" s="712"/>
      <c r="B29" s="725"/>
      <c r="C29" s="279">
        <v>5</v>
      </c>
      <c r="D29" s="244" t="s">
        <v>650</v>
      </c>
      <c r="E29" s="291"/>
      <c r="F29" s="292"/>
      <c r="G29" s="306" t="s">
        <v>652</v>
      </c>
      <c r="H29" s="305"/>
      <c r="I29" s="306"/>
      <c r="J29" s="316">
        <v>31.59</v>
      </c>
      <c r="K29" s="248">
        <v>6.7146953906413931E-3</v>
      </c>
      <c r="L29" s="317">
        <v>134.78999999999996</v>
      </c>
      <c r="M29" s="322">
        <f t="shared" si="2"/>
        <v>4258.0160999999989</v>
      </c>
      <c r="N29" s="288"/>
      <c r="O29" s="752" t="s">
        <v>611</v>
      </c>
      <c r="P29" s="834"/>
    </row>
    <row r="30" spans="1:21" ht="15.75" customHeight="1" thickTop="1">
      <c r="A30" s="713"/>
      <c r="B30" s="726"/>
      <c r="C30" s="721"/>
      <c r="D30" s="722"/>
      <c r="E30" s="722"/>
      <c r="F30" s="722"/>
      <c r="G30" s="722"/>
      <c r="H30" s="722"/>
      <c r="I30" s="723"/>
      <c r="J30" s="516" t="s">
        <v>58</v>
      </c>
      <c r="K30" s="517">
        <f>M30/'生產管理報表 7-1 (週)'!$B$10</f>
        <v>8.7699511223499546E-2</v>
      </c>
      <c r="L30" s="518" t="s">
        <v>59</v>
      </c>
      <c r="M30" s="519">
        <f>SUM(M25:M29)</f>
        <v>24482.088999999993</v>
      </c>
      <c r="N30" s="835"/>
      <c r="O30" s="836"/>
      <c r="P30" s="837"/>
    </row>
    <row r="31" spans="1:21" s="135" customFormat="1" ht="15.75" customHeight="1">
      <c r="A31" s="854" t="s">
        <v>815</v>
      </c>
      <c r="B31" s="666"/>
      <c r="C31" s="666"/>
      <c r="D31" s="666"/>
      <c r="E31" s="666"/>
      <c r="F31" s="666"/>
      <c r="G31" s="666"/>
      <c r="H31" s="666"/>
      <c r="I31" s="666"/>
      <c r="J31" s="666"/>
      <c r="K31" s="666"/>
      <c r="L31" s="666"/>
      <c r="M31" s="666"/>
      <c r="P31" s="509"/>
      <c r="R31" s="231"/>
      <c r="S31" s="231"/>
      <c r="T31" s="231"/>
      <c r="U31" s="231"/>
    </row>
    <row r="32" spans="1:21" s="136" customFormat="1" ht="15.75" customHeight="1">
      <c r="A32" s="854"/>
      <c r="B32" s="666"/>
      <c r="C32" s="666"/>
      <c r="D32" s="666"/>
      <c r="E32" s="666"/>
      <c r="F32" s="666"/>
      <c r="G32" s="666"/>
      <c r="H32" s="666"/>
      <c r="I32" s="666"/>
      <c r="J32" s="666"/>
      <c r="K32" s="666"/>
      <c r="L32" s="666"/>
      <c r="M32" s="666"/>
      <c r="P32" s="510"/>
    </row>
    <row r="33" spans="1:20" s="135" customFormat="1" ht="15.75" customHeight="1">
      <c r="A33" s="764" t="s">
        <v>191</v>
      </c>
      <c r="B33" s="766">
        <v>1</v>
      </c>
      <c r="C33" s="767"/>
      <c r="D33" s="766">
        <v>2</v>
      </c>
      <c r="E33" s="767"/>
      <c r="F33" s="766">
        <v>3</v>
      </c>
      <c r="G33" s="767"/>
      <c r="H33" s="757">
        <v>4</v>
      </c>
      <c r="I33" s="758"/>
      <c r="J33" s="757">
        <v>5</v>
      </c>
      <c r="K33" s="758"/>
      <c r="L33" s="757">
        <v>6</v>
      </c>
      <c r="M33" s="758"/>
      <c r="N33" s="757">
        <v>7</v>
      </c>
      <c r="O33" s="758"/>
      <c r="P33" s="352">
        <v>8</v>
      </c>
    </row>
    <row r="34" spans="1:20" s="135" customFormat="1" ht="15.75" customHeight="1">
      <c r="A34" s="765"/>
      <c r="B34" s="761" t="s">
        <v>452</v>
      </c>
      <c r="C34" s="762"/>
      <c r="D34" s="761" t="s">
        <v>212</v>
      </c>
      <c r="E34" s="762"/>
      <c r="F34" s="761" t="s">
        <v>166</v>
      </c>
      <c r="G34" s="762"/>
      <c r="H34" s="759" t="s">
        <v>428</v>
      </c>
      <c r="I34" s="760"/>
      <c r="J34" s="759" t="s">
        <v>189</v>
      </c>
      <c r="K34" s="760"/>
      <c r="L34" s="759" t="s">
        <v>167</v>
      </c>
      <c r="M34" s="760"/>
      <c r="N34" s="759" t="s">
        <v>190</v>
      </c>
      <c r="O34" s="760"/>
      <c r="P34" s="353" t="s">
        <v>217</v>
      </c>
    </row>
    <row r="35" spans="1:20" s="135" customFormat="1" ht="15.75" customHeight="1">
      <c r="A35" s="504"/>
      <c r="B35" s="505"/>
      <c r="C35" s="506"/>
      <c r="D35" s="507"/>
      <c r="E35" s="507"/>
      <c r="F35" s="507"/>
      <c r="G35" s="507"/>
      <c r="H35" s="507"/>
      <c r="I35" s="507"/>
      <c r="J35" s="507"/>
      <c r="K35" s="507"/>
      <c r="L35" s="507"/>
      <c r="M35" s="507"/>
      <c r="N35" s="507"/>
      <c r="O35" s="507"/>
      <c r="P35" s="508"/>
    </row>
    <row r="36" spans="1:20" s="278" customFormat="1" ht="15.75" customHeight="1">
      <c r="A36" s="842" t="s">
        <v>191</v>
      </c>
      <c r="B36" s="843"/>
      <c r="C36" s="501" t="s">
        <v>47</v>
      </c>
      <c r="D36" s="844" t="s">
        <v>12</v>
      </c>
      <c r="E36" s="845"/>
      <c r="F36" s="846"/>
      <c r="G36" s="847" t="s">
        <v>53</v>
      </c>
      <c r="H36" s="848"/>
      <c r="I36" s="849"/>
      <c r="J36" s="502" t="s">
        <v>54</v>
      </c>
      <c r="K36" s="502" t="s">
        <v>55</v>
      </c>
      <c r="L36" s="502" t="s">
        <v>56</v>
      </c>
      <c r="M36" s="503" t="s">
        <v>11</v>
      </c>
      <c r="N36" s="503" t="s">
        <v>333</v>
      </c>
      <c r="O36" s="850" t="s">
        <v>51</v>
      </c>
      <c r="P36" s="851"/>
      <c r="R36" s="339"/>
      <c r="S36" s="340"/>
    </row>
    <row r="37" spans="1:20" s="298" customFormat="1" ht="60" customHeight="1">
      <c r="A37" s="711">
        <v>4</v>
      </c>
      <c r="B37" s="745" t="s">
        <v>428</v>
      </c>
      <c r="C37" s="279">
        <v>1</v>
      </c>
      <c r="D37" s="237" t="s">
        <v>340</v>
      </c>
      <c r="E37" s="238"/>
      <c r="F37" s="239"/>
      <c r="G37" s="306" t="s">
        <v>633</v>
      </c>
      <c r="H37" s="305"/>
      <c r="I37" s="306"/>
      <c r="J37" s="312">
        <v>144.79999999999998</v>
      </c>
      <c r="K37" s="313">
        <v>1.6775539242634932E-3</v>
      </c>
      <c r="L37" s="314">
        <v>42.2199999999998</v>
      </c>
      <c r="M37" s="322">
        <f t="shared" ref="M37:M41" si="3">L37*J37</f>
        <v>6113.4559999999701</v>
      </c>
      <c r="N37" s="314"/>
      <c r="O37" s="741" t="s">
        <v>612</v>
      </c>
      <c r="P37" s="852"/>
      <c r="R37" s="393"/>
      <c r="S37" s="340"/>
    </row>
    <row r="38" spans="1:20" s="298" customFormat="1" ht="60" customHeight="1">
      <c r="A38" s="712"/>
      <c r="B38" s="746"/>
      <c r="C38" s="279">
        <v>2</v>
      </c>
      <c r="D38" s="237" t="s">
        <v>650</v>
      </c>
      <c r="E38" s="238"/>
      <c r="F38" s="239"/>
      <c r="G38" s="306" t="s">
        <v>651</v>
      </c>
      <c r="H38" s="305"/>
      <c r="I38" s="306"/>
      <c r="J38" s="312">
        <v>655.37</v>
      </c>
      <c r="K38" s="313">
        <v>3.4789702248134552E-3</v>
      </c>
      <c r="L38" s="314">
        <v>7.4300000000000068</v>
      </c>
      <c r="M38" s="322">
        <f t="shared" si="3"/>
        <v>4869.3991000000042</v>
      </c>
      <c r="N38" s="314"/>
      <c r="O38" s="741" t="s">
        <v>685</v>
      </c>
      <c r="P38" s="852"/>
      <c r="R38" s="393"/>
      <c r="S38" s="394"/>
      <c r="T38" s="335"/>
    </row>
    <row r="39" spans="1:20" s="298" customFormat="1" ht="60" customHeight="1">
      <c r="A39" s="712"/>
      <c r="B39" s="746"/>
      <c r="C39" s="279">
        <v>3</v>
      </c>
      <c r="D39" s="237" t="s">
        <v>341</v>
      </c>
      <c r="E39" s="238"/>
      <c r="F39" s="239"/>
      <c r="G39" s="306" t="s">
        <v>545</v>
      </c>
      <c r="H39" s="305"/>
      <c r="I39" s="306"/>
      <c r="J39" s="312">
        <v>66.13</v>
      </c>
      <c r="K39" s="313">
        <v>6.4889750863233063E-3</v>
      </c>
      <c r="L39" s="314">
        <v>63.119999999999891</v>
      </c>
      <c r="M39" s="322">
        <f t="shared" si="3"/>
        <v>4174.1255999999921</v>
      </c>
      <c r="N39" s="314"/>
      <c r="O39" s="750" t="s">
        <v>820</v>
      </c>
      <c r="P39" s="853"/>
      <c r="R39" s="393"/>
      <c r="S39" s="395"/>
    </row>
    <row r="40" spans="1:20" s="298" customFormat="1" ht="60" customHeight="1">
      <c r="A40" s="712"/>
      <c r="B40" s="746"/>
      <c r="C40" s="279">
        <v>4</v>
      </c>
      <c r="D40" s="237" t="s">
        <v>458</v>
      </c>
      <c r="E40" s="238"/>
      <c r="F40" s="239"/>
      <c r="G40" s="306" t="s">
        <v>464</v>
      </c>
      <c r="H40" s="305"/>
      <c r="I40" s="306"/>
      <c r="J40" s="312">
        <v>629</v>
      </c>
      <c r="K40" s="313">
        <v>6.3032225747203206E-3</v>
      </c>
      <c r="L40" s="314">
        <v>6.2700000000000102</v>
      </c>
      <c r="M40" s="322">
        <f t="shared" si="3"/>
        <v>3943.8300000000063</v>
      </c>
      <c r="N40" s="314"/>
      <c r="O40" s="750" t="s">
        <v>548</v>
      </c>
      <c r="P40" s="853"/>
      <c r="R40" s="393"/>
      <c r="S40" s="394"/>
      <c r="T40" s="335"/>
    </row>
    <row r="41" spans="1:20" s="298" customFormat="1" ht="60" customHeight="1" thickBot="1">
      <c r="A41" s="712"/>
      <c r="B41" s="746"/>
      <c r="C41" s="279">
        <v>5</v>
      </c>
      <c r="D41" s="237" t="s">
        <v>340</v>
      </c>
      <c r="E41" s="245"/>
      <c r="F41" s="246"/>
      <c r="G41" s="306" t="s">
        <v>386</v>
      </c>
      <c r="H41" s="305"/>
      <c r="I41" s="306"/>
      <c r="J41" s="316">
        <v>127.84000000000002</v>
      </c>
      <c r="K41" s="248">
        <v>2.6586357415105209E-3</v>
      </c>
      <c r="L41" s="317">
        <v>45.139999999999873</v>
      </c>
      <c r="M41" s="322">
        <f t="shared" si="3"/>
        <v>5770.697599999985</v>
      </c>
      <c r="N41" s="314"/>
      <c r="O41" s="750" t="s">
        <v>770</v>
      </c>
      <c r="P41" s="853"/>
      <c r="R41" s="396"/>
      <c r="S41" s="395"/>
      <c r="T41" s="289"/>
    </row>
    <row r="42" spans="1:20" ht="15.75" customHeight="1" thickTop="1" thickBot="1">
      <c r="A42" s="713"/>
      <c r="B42" s="747"/>
      <c r="C42" s="754"/>
      <c r="D42" s="755"/>
      <c r="E42" s="755"/>
      <c r="F42" s="755"/>
      <c r="G42" s="755"/>
      <c r="H42" s="755"/>
      <c r="I42" s="756"/>
      <c r="J42" s="347" t="s">
        <v>58</v>
      </c>
      <c r="K42" s="345">
        <f>M42/'生產管理報表 7-1 (週)'!$B$21</f>
        <v>8.5158224764248239E-2</v>
      </c>
      <c r="L42" s="348" t="s">
        <v>59</v>
      </c>
      <c r="M42" s="349">
        <f>SUM(M37:M41)</f>
        <v>24871.508299999958</v>
      </c>
      <c r="N42" s="698"/>
      <c r="O42" s="699"/>
      <c r="P42" s="841"/>
      <c r="R42" s="339"/>
      <c r="S42" s="339"/>
    </row>
    <row r="43" spans="1:20" ht="15.75" customHeight="1" thickTop="1">
      <c r="A43" s="511"/>
      <c r="M43" s="329"/>
      <c r="P43" s="512"/>
      <c r="S43" s="340"/>
    </row>
    <row r="44" spans="1:20" ht="15.75" customHeight="1">
      <c r="A44" s="701" t="s">
        <v>191</v>
      </c>
      <c r="B44" s="702"/>
      <c r="C44" s="275" t="s">
        <v>47</v>
      </c>
      <c r="D44" s="731" t="s">
        <v>12</v>
      </c>
      <c r="E44" s="732"/>
      <c r="F44" s="733"/>
      <c r="G44" s="734" t="s">
        <v>53</v>
      </c>
      <c r="H44" s="735"/>
      <c r="I44" s="736"/>
      <c r="J44" s="377" t="s">
        <v>54</v>
      </c>
      <c r="K44" s="276" t="s">
        <v>55</v>
      </c>
      <c r="L44" s="276" t="s">
        <v>56</v>
      </c>
      <c r="M44" s="330" t="s">
        <v>11</v>
      </c>
      <c r="N44" s="277" t="s">
        <v>333</v>
      </c>
      <c r="O44" s="709" t="s">
        <v>51</v>
      </c>
      <c r="P44" s="833"/>
      <c r="S44" s="339"/>
      <c r="T44" s="335"/>
    </row>
    <row r="45" spans="1:20" s="298" customFormat="1" ht="60" customHeight="1">
      <c r="A45" s="711">
        <v>5</v>
      </c>
      <c r="B45" s="724" t="s">
        <v>215</v>
      </c>
      <c r="C45" s="279">
        <v>1</v>
      </c>
      <c r="D45" s="237" t="s">
        <v>340</v>
      </c>
      <c r="E45" s="238"/>
      <c r="F45" s="239"/>
      <c r="G45" s="306" t="s">
        <v>336</v>
      </c>
      <c r="H45" s="305"/>
      <c r="I45" s="306"/>
      <c r="J45" s="312">
        <v>147.43000000000004</v>
      </c>
      <c r="K45" s="313">
        <v>2.5553035774250085E-3</v>
      </c>
      <c r="L45" s="314">
        <v>75.479999999999563</v>
      </c>
      <c r="M45" s="322">
        <f>L45*J45</f>
        <v>11128.016399999939</v>
      </c>
      <c r="N45" s="314"/>
      <c r="O45" s="792" t="s">
        <v>529</v>
      </c>
      <c r="P45" s="838"/>
      <c r="S45" s="395"/>
      <c r="T45" s="335"/>
    </row>
    <row r="46" spans="1:20" s="298" customFormat="1" ht="24.95" customHeight="1">
      <c r="A46" s="712"/>
      <c r="B46" s="725"/>
      <c r="C46" s="279">
        <v>2</v>
      </c>
      <c r="D46" s="237"/>
      <c r="E46" s="238"/>
      <c r="F46" s="239"/>
      <c r="G46" s="350"/>
      <c r="H46" s="305"/>
      <c r="I46" s="306"/>
      <c r="J46" s="312"/>
      <c r="K46" s="313"/>
      <c r="L46" s="314"/>
      <c r="M46" s="322">
        <f t="shared" ref="M46:M49" si="4">L46*J46</f>
        <v>0</v>
      </c>
      <c r="N46" s="314"/>
      <c r="O46" s="729"/>
      <c r="P46" s="839"/>
      <c r="S46" s="339"/>
      <c r="T46" s="336"/>
    </row>
    <row r="47" spans="1:20" ht="24.95" customHeight="1">
      <c r="A47" s="712"/>
      <c r="B47" s="725"/>
      <c r="C47" s="279">
        <v>3</v>
      </c>
      <c r="D47" s="237"/>
      <c r="E47" s="238"/>
      <c r="F47" s="239"/>
      <c r="G47" s="350"/>
      <c r="H47" s="305"/>
      <c r="I47" s="306"/>
      <c r="J47" s="312"/>
      <c r="K47" s="313"/>
      <c r="L47" s="314"/>
      <c r="M47" s="322">
        <f t="shared" si="4"/>
        <v>0</v>
      </c>
      <c r="N47" s="288"/>
      <c r="O47" s="719"/>
      <c r="P47" s="840"/>
    </row>
    <row r="48" spans="1:20" ht="24.95" customHeight="1">
      <c r="A48" s="712"/>
      <c r="B48" s="725"/>
      <c r="C48" s="279">
        <v>4</v>
      </c>
      <c r="D48" s="280"/>
      <c r="E48" s="281"/>
      <c r="F48" s="282"/>
      <c r="G48" s="350"/>
      <c r="H48" s="305"/>
      <c r="I48" s="306"/>
      <c r="J48" s="286"/>
      <c r="K48" s="287"/>
      <c r="L48" s="288"/>
      <c r="M48" s="322">
        <f t="shared" si="4"/>
        <v>0</v>
      </c>
      <c r="N48" s="288"/>
      <c r="O48" s="299"/>
      <c r="P48" s="513"/>
    </row>
    <row r="49" spans="1:21" ht="24.95" customHeight="1" thickBot="1">
      <c r="A49" s="712"/>
      <c r="B49" s="725"/>
      <c r="C49" s="279">
        <v>5</v>
      </c>
      <c r="D49" s="290"/>
      <c r="E49" s="291"/>
      <c r="F49" s="292"/>
      <c r="G49" s="350"/>
      <c r="H49" s="305"/>
      <c r="I49" s="306"/>
      <c r="J49" s="293"/>
      <c r="K49" s="248"/>
      <c r="L49" s="294"/>
      <c r="M49" s="322">
        <f t="shared" si="4"/>
        <v>0</v>
      </c>
      <c r="N49" s="288"/>
      <c r="O49" s="301"/>
      <c r="P49" s="514"/>
      <c r="R49" s="343"/>
    </row>
    <row r="50" spans="1:21" ht="15.75" customHeight="1" thickTop="1" thickBot="1">
      <c r="A50" s="713"/>
      <c r="B50" s="726"/>
      <c r="C50" s="721"/>
      <c r="D50" s="722"/>
      <c r="E50" s="722"/>
      <c r="F50" s="722"/>
      <c r="G50" s="722"/>
      <c r="H50" s="722"/>
      <c r="I50" s="723"/>
      <c r="J50" s="347" t="s">
        <v>58</v>
      </c>
      <c r="K50" s="345">
        <f>M50/'生產管理報表 7-1 (週)'!$B$21</f>
        <v>3.8101514003130922E-2</v>
      </c>
      <c r="L50" s="348" t="s">
        <v>59</v>
      </c>
      <c r="M50" s="349">
        <f>SUM(M45:M49)</f>
        <v>11128.016399999939</v>
      </c>
      <c r="N50" s="698"/>
      <c r="O50" s="699"/>
      <c r="P50" s="841"/>
      <c r="R50" s="339"/>
    </row>
    <row r="51" spans="1:21" ht="15.75" customHeight="1" thickTop="1">
      <c r="A51" s="511"/>
      <c r="K51" s="289" t="s">
        <v>456</v>
      </c>
      <c r="M51" s="329"/>
      <c r="P51" s="512"/>
      <c r="R51" s="339"/>
    </row>
    <row r="52" spans="1:21" ht="24.95" customHeight="1">
      <c r="A52" s="701" t="s">
        <v>191</v>
      </c>
      <c r="B52" s="702"/>
      <c r="C52" s="303" t="s">
        <v>47</v>
      </c>
      <c r="D52" s="703" t="s">
        <v>12</v>
      </c>
      <c r="E52" s="704"/>
      <c r="F52" s="705"/>
      <c r="G52" s="706" t="s">
        <v>53</v>
      </c>
      <c r="H52" s="707"/>
      <c r="I52" s="708"/>
      <c r="J52" s="304" t="s">
        <v>54</v>
      </c>
      <c r="K52" s="276" t="s">
        <v>55</v>
      </c>
      <c r="L52" s="276" t="s">
        <v>56</v>
      </c>
      <c r="M52" s="330" t="s">
        <v>11</v>
      </c>
      <c r="N52" s="277" t="s">
        <v>333</v>
      </c>
      <c r="O52" s="709" t="s">
        <v>51</v>
      </c>
      <c r="P52" s="833"/>
      <c r="R52" s="339"/>
    </row>
    <row r="53" spans="1:21" ht="60" customHeight="1">
      <c r="A53" s="711">
        <v>6</v>
      </c>
      <c r="B53" s="724" t="s">
        <v>216</v>
      </c>
      <c r="C53" s="279">
        <v>1</v>
      </c>
      <c r="D53" s="515" t="s">
        <v>340</v>
      </c>
      <c r="E53" s="281"/>
      <c r="F53" s="282"/>
      <c r="G53" s="306" t="s">
        <v>534</v>
      </c>
      <c r="H53" s="305"/>
      <c r="I53" s="306"/>
      <c r="J53" s="312">
        <v>39.389999999999993</v>
      </c>
      <c r="K53" s="313">
        <v>1.1881135524008418E-3</v>
      </c>
      <c r="L53" s="314">
        <v>178.75</v>
      </c>
      <c r="M53" s="322">
        <f t="shared" ref="M53:M57" si="5">L53*J53</f>
        <v>7040.9624999999987</v>
      </c>
      <c r="N53" s="288"/>
      <c r="O53" s="752" t="s">
        <v>735</v>
      </c>
      <c r="P53" s="834"/>
      <c r="R53" s="336"/>
      <c r="S53" s="336"/>
    </row>
    <row r="54" spans="1:21" ht="60" customHeight="1">
      <c r="A54" s="712"/>
      <c r="B54" s="725"/>
      <c r="C54" s="279">
        <v>2</v>
      </c>
      <c r="D54" s="237" t="s">
        <v>463</v>
      </c>
      <c r="E54" s="281"/>
      <c r="F54" s="282"/>
      <c r="G54" s="306" t="s">
        <v>461</v>
      </c>
      <c r="H54" s="305"/>
      <c r="I54" s="306"/>
      <c r="J54" s="312">
        <v>407.74000000000007</v>
      </c>
      <c r="K54" s="313">
        <v>2.5324944629258692E-3</v>
      </c>
      <c r="L54" s="314">
        <v>12.099999999999909</v>
      </c>
      <c r="M54" s="322">
        <f t="shared" si="5"/>
        <v>4933.6539999999641</v>
      </c>
      <c r="N54" s="288"/>
      <c r="O54" s="752" t="s">
        <v>537</v>
      </c>
      <c r="P54" s="834"/>
      <c r="R54" s="336"/>
      <c r="S54" s="336"/>
    </row>
    <row r="55" spans="1:21" ht="60" customHeight="1">
      <c r="A55" s="712"/>
      <c r="B55" s="725"/>
      <c r="C55" s="279">
        <v>3</v>
      </c>
      <c r="D55" s="237" t="s">
        <v>533</v>
      </c>
      <c r="E55" s="281"/>
      <c r="F55" s="282"/>
      <c r="G55" s="306" t="s">
        <v>568</v>
      </c>
      <c r="H55" s="305"/>
      <c r="I55" s="306"/>
      <c r="J55" s="312">
        <v>40.04</v>
      </c>
      <c r="K55" s="313">
        <v>7.1441411663738267E-3</v>
      </c>
      <c r="L55" s="314">
        <v>104.7199999999998</v>
      </c>
      <c r="M55" s="322">
        <f t="shared" si="5"/>
        <v>4192.9887999999919</v>
      </c>
      <c r="N55" s="288"/>
      <c r="O55" s="752" t="s">
        <v>735</v>
      </c>
      <c r="P55" s="834"/>
      <c r="R55" s="336"/>
    </row>
    <row r="56" spans="1:21" ht="60" customHeight="1">
      <c r="A56" s="712"/>
      <c r="B56" s="725"/>
      <c r="C56" s="279">
        <v>4</v>
      </c>
      <c r="D56" s="237" t="s">
        <v>614</v>
      </c>
      <c r="E56" s="281"/>
      <c r="F56" s="282"/>
      <c r="G56" s="306" t="s">
        <v>619</v>
      </c>
      <c r="H56" s="305"/>
      <c r="I56" s="306"/>
      <c r="J56" s="312">
        <v>39.389999999999993</v>
      </c>
      <c r="K56" s="313">
        <v>4.183889901275291E-3</v>
      </c>
      <c r="L56" s="314">
        <v>129.14000000000033</v>
      </c>
      <c r="M56" s="322">
        <f t="shared" si="5"/>
        <v>5086.8246000000117</v>
      </c>
      <c r="N56" s="288"/>
      <c r="O56" s="752" t="s">
        <v>735</v>
      </c>
      <c r="P56" s="834"/>
      <c r="R56" s="336"/>
      <c r="S56" s="336"/>
    </row>
    <row r="57" spans="1:21" ht="60" customHeight="1" thickBot="1">
      <c r="A57" s="712"/>
      <c r="B57" s="725"/>
      <c r="C57" s="279">
        <v>5</v>
      </c>
      <c r="D57" s="244" t="s">
        <v>650</v>
      </c>
      <c r="E57" s="291"/>
      <c r="F57" s="292"/>
      <c r="G57" s="306" t="s">
        <v>652</v>
      </c>
      <c r="H57" s="305"/>
      <c r="I57" s="306"/>
      <c r="J57" s="316">
        <v>31.59</v>
      </c>
      <c r="K57" s="248">
        <v>6.7587402954606022E-3</v>
      </c>
      <c r="L57" s="317">
        <v>130.43000000000029</v>
      </c>
      <c r="M57" s="322">
        <f t="shared" si="5"/>
        <v>4120.283700000009</v>
      </c>
      <c r="N57" s="288"/>
      <c r="O57" s="752" t="s">
        <v>819</v>
      </c>
      <c r="P57" s="834"/>
    </row>
    <row r="58" spans="1:21" ht="15.75" customHeight="1" thickTop="1" thickBot="1">
      <c r="A58" s="713"/>
      <c r="B58" s="726"/>
      <c r="C58" s="721"/>
      <c r="D58" s="722"/>
      <c r="E58" s="722"/>
      <c r="F58" s="722"/>
      <c r="G58" s="722"/>
      <c r="H58" s="722"/>
      <c r="I58" s="723"/>
      <c r="J58" s="516" t="s">
        <v>58</v>
      </c>
      <c r="K58" s="345">
        <f>M58/'生產管理報表 7-1 (週)'!$B$21</f>
        <v>8.6881162895827591E-2</v>
      </c>
      <c r="L58" s="518" t="s">
        <v>59</v>
      </c>
      <c r="M58" s="519">
        <f>SUM(M53:M57)</f>
        <v>25374.713599999974</v>
      </c>
      <c r="N58" s="835"/>
      <c r="O58" s="836"/>
      <c r="P58" s="837"/>
    </row>
    <row r="59" spans="1:21" s="135" customFormat="1" ht="15.75" customHeight="1" thickTop="1">
      <c r="A59" s="854" t="s">
        <v>816</v>
      </c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P59" s="509"/>
      <c r="R59" s="231"/>
      <c r="S59" s="231"/>
      <c r="T59" s="231"/>
      <c r="U59" s="231"/>
    </row>
    <row r="60" spans="1:21" s="136" customFormat="1" ht="15.75" customHeight="1">
      <c r="A60" s="854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P60" s="510"/>
    </row>
    <row r="61" spans="1:21" s="135" customFormat="1" ht="15.75" customHeight="1">
      <c r="A61" s="764" t="s">
        <v>191</v>
      </c>
      <c r="B61" s="766">
        <v>1</v>
      </c>
      <c r="C61" s="767"/>
      <c r="D61" s="766">
        <v>2</v>
      </c>
      <c r="E61" s="767"/>
      <c r="F61" s="766">
        <v>3</v>
      </c>
      <c r="G61" s="767"/>
      <c r="H61" s="757">
        <v>4</v>
      </c>
      <c r="I61" s="758"/>
      <c r="J61" s="757">
        <v>5</v>
      </c>
      <c r="K61" s="758"/>
      <c r="L61" s="757">
        <v>6</v>
      </c>
      <c r="M61" s="758"/>
      <c r="N61" s="757">
        <v>7</v>
      </c>
      <c r="O61" s="758"/>
      <c r="P61" s="352">
        <v>8</v>
      </c>
    </row>
    <row r="62" spans="1:21" s="135" customFormat="1" ht="15.75" customHeight="1">
      <c r="A62" s="765"/>
      <c r="B62" s="761" t="s">
        <v>452</v>
      </c>
      <c r="C62" s="762"/>
      <c r="D62" s="761" t="s">
        <v>212</v>
      </c>
      <c r="E62" s="762"/>
      <c r="F62" s="761" t="s">
        <v>166</v>
      </c>
      <c r="G62" s="762"/>
      <c r="H62" s="759" t="s">
        <v>428</v>
      </c>
      <c r="I62" s="760"/>
      <c r="J62" s="759" t="s">
        <v>189</v>
      </c>
      <c r="K62" s="760"/>
      <c r="L62" s="759" t="s">
        <v>167</v>
      </c>
      <c r="M62" s="760"/>
      <c r="N62" s="759" t="s">
        <v>190</v>
      </c>
      <c r="O62" s="760"/>
      <c r="P62" s="353" t="s">
        <v>217</v>
      </c>
    </row>
    <row r="63" spans="1:21" s="135" customFormat="1" ht="15.75" customHeight="1">
      <c r="A63" s="504"/>
      <c r="B63" s="505"/>
      <c r="C63" s="506"/>
      <c r="D63" s="507"/>
      <c r="E63" s="507"/>
      <c r="F63" s="507"/>
      <c r="G63" s="507"/>
      <c r="H63" s="507"/>
      <c r="I63" s="507"/>
      <c r="J63" s="507"/>
      <c r="K63" s="507"/>
      <c r="L63" s="507"/>
      <c r="M63" s="507"/>
      <c r="N63" s="507"/>
      <c r="O63" s="507"/>
      <c r="P63" s="508"/>
    </row>
    <row r="64" spans="1:21" s="278" customFormat="1" ht="15.75" customHeight="1">
      <c r="A64" s="842" t="s">
        <v>191</v>
      </c>
      <c r="B64" s="843"/>
      <c r="C64" s="501" t="s">
        <v>47</v>
      </c>
      <c r="D64" s="844" t="s">
        <v>12</v>
      </c>
      <c r="E64" s="845"/>
      <c r="F64" s="846"/>
      <c r="G64" s="847" t="s">
        <v>53</v>
      </c>
      <c r="H64" s="848"/>
      <c r="I64" s="849"/>
      <c r="J64" s="502" t="s">
        <v>54</v>
      </c>
      <c r="K64" s="502" t="s">
        <v>55</v>
      </c>
      <c r="L64" s="502" t="s">
        <v>56</v>
      </c>
      <c r="M64" s="503" t="s">
        <v>11</v>
      </c>
      <c r="N64" s="503" t="s">
        <v>333</v>
      </c>
      <c r="O64" s="850" t="s">
        <v>51</v>
      </c>
      <c r="P64" s="851"/>
      <c r="R64" s="339"/>
      <c r="S64" s="340"/>
    </row>
    <row r="65" spans="1:20" s="298" customFormat="1" ht="60" customHeight="1">
      <c r="A65" s="711">
        <v>4</v>
      </c>
      <c r="B65" s="745" t="s">
        <v>428</v>
      </c>
      <c r="C65" s="279">
        <v>1</v>
      </c>
      <c r="D65" s="237"/>
      <c r="E65" s="238"/>
      <c r="F65" s="239"/>
      <c r="G65" s="306"/>
      <c r="H65" s="305"/>
      <c r="I65" s="306"/>
      <c r="J65" s="312"/>
      <c r="K65" s="313"/>
      <c r="L65" s="314"/>
      <c r="M65" s="322">
        <f t="shared" ref="M65:M69" si="6">L65*J65</f>
        <v>0</v>
      </c>
      <c r="N65" s="314"/>
      <c r="O65" s="741"/>
      <c r="P65" s="852"/>
      <c r="R65" s="393"/>
      <c r="S65" s="340"/>
    </row>
    <row r="66" spans="1:20" s="298" customFormat="1" ht="60" customHeight="1">
      <c r="A66" s="712"/>
      <c r="B66" s="746"/>
      <c r="C66" s="279">
        <v>2</v>
      </c>
      <c r="D66" s="237"/>
      <c r="E66" s="238"/>
      <c r="F66" s="239"/>
      <c r="G66" s="306"/>
      <c r="H66" s="305"/>
      <c r="I66" s="306"/>
      <c r="J66" s="312"/>
      <c r="K66" s="313"/>
      <c r="L66" s="314"/>
      <c r="M66" s="322">
        <f t="shared" si="6"/>
        <v>0</v>
      </c>
      <c r="N66" s="314"/>
      <c r="O66" s="741"/>
      <c r="P66" s="852"/>
      <c r="R66" s="393"/>
      <c r="S66" s="394"/>
      <c r="T66" s="335"/>
    </row>
    <row r="67" spans="1:20" s="298" customFormat="1" ht="60" customHeight="1">
      <c r="A67" s="712"/>
      <c r="B67" s="746"/>
      <c r="C67" s="279">
        <v>3</v>
      </c>
      <c r="D67" s="237"/>
      <c r="E67" s="238"/>
      <c r="F67" s="239"/>
      <c r="G67" s="306"/>
      <c r="H67" s="305"/>
      <c r="I67" s="306"/>
      <c r="J67" s="312"/>
      <c r="K67" s="313"/>
      <c r="L67" s="314"/>
      <c r="M67" s="322">
        <f t="shared" si="6"/>
        <v>0</v>
      </c>
      <c r="N67" s="314"/>
      <c r="O67" s="750"/>
      <c r="P67" s="853"/>
      <c r="R67" s="393"/>
      <c r="S67" s="395"/>
    </row>
    <row r="68" spans="1:20" s="298" customFormat="1" ht="60" customHeight="1">
      <c r="A68" s="712"/>
      <c r="B68" s="746"/>
      <c r="C68" s="279">
        <v>4</v>
      </c>
      <c r="D68" s="237"/>
      <c r="E68" s="238"/>
      <c r="F68" s="239"/>
      <c r="G68" s="306"/>
      <c r="H68" s="305"/>
      <c r="I68" s="306"/>
      <c r="J68" s="312"/>
      <c r="K68" s="313"/>
      <c r="L68" s="314"/>
      <c r="M68" s="322">
        <f t="shared" si="6"/>
        <v>0</v>
      </c>
      <c r="N68" s="314"/>
      <c r="O68" s="750"/>
      <c r="P68" s="853"/>
      <c r="R68" s="393"/>
      <c r="S68" s="394"/>
      <c r="T68" s="335"/>
    </row>
    <row r="69" spans="1:20" s="298" customFormat="1" ht="60" customHeight="1" thickBot="1">
      <c r="A69" s="712"/>
      <c r="B69" s="746"/>
      <c r="C69" s="279">
        <v>5</v>
      </c>
      <c r="D69" s="237"/>
      <c r="E69" s="245"/>
      <c r="F69" s="246"/>
      <c r="G69" s="306"/>
      <c r="H69" s="305"/>
      <c r="I69" s="306"/>
      <c r="J69" s="316"/>
      <c r="K69" s="248"/>
      <c r="L69" s="317"/>
      <c r="M69" s="322">
        <f t="shared" si="6"/>
        <v>0</v>
      </c>
      <c r="N69" s="314"/>
      <c r="O69" s="750"/>
      <c r="P69" s="853"/>
      <c r="R69" s="396"/>
      <c r="S69" s="395"/>
      <c r="T69" s="289"/>
    </row>
    <row r="70" spans="1:20" ht="15.75" customHeight="1" thickTop="1" thickBot="1">
      <c r="A70" s="713"/>
      <c r="B70" s="747"/>
      <c r="C70" s="754"/>
      <c r="D70" s="755"/>
      <c r="E70" s="755"/>
      <c r="F70" s="755"/>
      <c r="G70" s="755"/>
      <c r="H70" s="755"/>
      <c r="I70" s="756"/>
      <c r="J70" s="347" t="s">
        <v>58</v>
      </c>
      <c r="K70" s="345">
        <f>M70/'生產管理報表 7-1 (週)'!$B$21</f>
        <v>0</v>
      </c>
      <c r="L70" s="348" t="s">
        <v>59</v>
      </c>
      <c r="M70" s="349">
        <f>SUM(M65:M69)</f>
        <v>0</v>
      </c>
      <c r="N70" s="698"/>
      <c r="O70" s="699"/>
      <c r="P70" s="841"/>
      <c r="R70" s="339"/>
      <c r="S70" s="339"/>
    </row>
    <row r="71" spans="1:20" ht="15.75" customHeight="1" thickTop="1">
      <c r="A71" s="511"/>
      <c r="M71" s="329"/>
      <c r="P71" s="512"/>
      <c r="S71" s="340"/>
    </row>
    <row r="72" spans="1:20" ht="15.75" customHeight="1">
      <c r="A72" s="701" t="s">
        <v>191</v>
      </c>
      <c r="B72" s="702"/>
      <c r="C72" s="275" t="s">
        <v>47</v>
      </c>
      <c r="D72" s="731" t="s">
        <v>12</v>
      </c>
      <c r="E72" s="732"/>
      <c r="F72" s="733"/>
      <c r="G72" s="734" t="s">
        <v>53</v>
      </c>
      <c r="H72" s="735"/>
      <c r="I72" s="736"/>
      <c r="J72" s="377" t="s">
        <v>54</v>
      </c>
      <c r="K72" s="276" t="s">
        <v>55</v>
      </c>
      <c r="L72" s="276" t="s">
        <v>56</v>
      </c>
      <c r="M72" s="330" t="s">
        <v>11</v>
      </c>
      <c r="N72" s="277" t="s">
        <v>333</v>
      </c>
      <c r="O72" s="709" t="s">
        <v>51</v>
      </c>
      <c r="P72" s="833"/>
      <c r="S72" s="339"/>
      <c r="T72" s="335"/>
    </row>
    <row r="73" spans="1:20" s="298" customFormat="1" ht="60" customHeight="1">
      <c r="A73" s="711">
        <v>5</v>
      </c>
      <c r="B73" s="724" t="s">
        <v>215</v>
      </c>
      <c r="C73" s="279">
        <v>1</v>
      </c>
      <c r="D73" s="237"/>
      <c r="E73" s="238"/>
      <c r="F73" s="239"/>
      <c r="G73" s="306"/>
      <c r="H73" s="305"/>
      <c r="I73" s="306"/>
      <c r="J73" s="312"/>
      <c r="K73" s="313"/>
      <c r="L73" s="314"/>
      <c r="M73" s="322">
        <f>L73*J73</f>
        <v>0</v>
      </c>
      <c r="N73" s="314"/>
      <c r="O73" s="792"/>
      <c r="P73" s="838"/>
      <c r="S73" s="395"/>
      <c r="T73" s="335"/>
    </row>
    <row r="74" spans="1:20" s="298" customFormat="1" ht="24.95" customHeight="1">
      <c r="A74" s="712"/>
      <c r="B74" s="725"/>
      <c r="C74" s="279">
        <v>2</v>
      </c>
      <c r="D74" s="237"/>
      <c r="E74" s="238"/>
      <c r="F74" s="239"/>
      <c r="G74" s="350"/>
      <c r="H74" s="305"/>
      <c r="I74" s="306"/>
      <c r="J74" s="312"/>
      <c r="K74" s="313"/>
      <c r="L74" s="314"/>
      <c r="M74" s="322">
        <f t="shared" ref="M74:M77" si="7">L74*J74</f>
        <v>0</v>
      </c>
      <c r="N74" s="314"/>
      <c r="O74" s="729"/>
      <c r="P74" s="839"/>
      <c r="S74" s="339"/>
      <c r="T74" s="336"/>
    </row>
    <row r="75" spans="1:20" ht="24.95" customHeight="1">
      <c r="A75" s="712"/>
      <c r="B75" s="725"/>
      <c r="C75" s="279">
        <v>3</v>
      </c>
      <c r="D75" s="237"/>
      <c r="E75" s="238"/>
      <c r="F75" s="239"/>
      <c r="G75" s="350"/>
      <c r="H75" s="305"/>
      <c r="I75" s="306"/>
      <c r="J75" s="312"/>
      <c r="K75" s="313"/>
      <c r="L75" s="314"/>
      <c r="M75" s="322">
        <f t="shared" si="7"/>
        <v>0</v>
      </c>
      <c r="N75" s="288"/>
      <c r="O75" s="719"/>
      <c r="P75" s="840"/>
    </row>
    <row r="76" spans="1:20" ht="24.95" customHeight="1">
      <c r="A76" s="712"/>
      <c r="B76" s="725"/>
      <c r="C76" s="279">
        <v>4</v>
      </c>
      <c r="D76" s="280"/>
      <c r="E76" s="281"/>
      <c r="F76" s="282"/>
      <c r="G76" s="350"/>
      <c r="H76" s="305"/>
      <c r="I76" s="306"/>
      <c r="J76" s="286"/>
      <c r="K76" s="287"/>
      <c r="L76" s="288"/>
      <c r="M76" s="322">
        <f t="shared" si="7"/>
        <v>0</v>
      </c>
      <c r="N76" s="288"/>
      <c r="O76" s="299"/>
      <c r="P76" s="513"/>
    </row>
    <row r="77" spans="1:20" ht="24.95" customHeight="1" thickBot="1">
      <c r="A77" s="712"/>
      <c r="B77" s="725"/>
      <c r="C77" s="279">
        <v>5</v>
      </c>
      <c r="D77" s="290"/>
      <c r="E77" s="291"/>
      <c r="F77" s="292"/>
      <c r="G77" s="350"/>
      <c r="H77" s="305"/>
      <c r="I77" s="306"/>
      <c r="J77" s="293"/>
      <c r="K77" s="248"/>
      <c r="L77" s="294"/>
      <c r="M77" s="322">
        <f t="shared" si="7"/>
        <v>0</v>
      </c>
      <c r="N77" s="288"/>
      <c r="O77" s="301"/>
      <c r="P77" s="514"/>
      <c r="R77" s="343"/>
    </row>
    <row r="78" spans="1:20" ht="15.75" customHeight="1" thickTop="1" thickBot="1">
      <c r="A78" s="713"/>
      <c r="B78" s="726"/>
      <c r="C78" s="721"/>
      <c r="D78" s="722"/>
      <c r="E78" s="722"/>
      <c r="F78" s="722"/>
      <c r="G78" s="722"/>
      <c r="H78" s="722"/>
      <c r="I78" s="723"/>
      <c r="J78" s="347" t="s">
        <v>58</v>
      </c>
      <c r="K78" s="345">
        <f>M78/'生產管理報表 7-1 (週)'!$B$21</f>
        <v>0</v>
      </c>
      <c r="L78" s="348" t="s">
        <v>59</v>
      </c>
      <c r="M78" s="349">
        <f>SUM(M73:M77)</f>
        <v>0</v>
      </c>
      <c r="N78" s="698"/>
      <c r="O78" s="699"/>
      <c r="P78" s="841"/>
      <c r="R78" s="339"/>
    </row>
    <row r="79" spans="1:20" ht="15.75" customHeight="1" thickTop="1">
      <c r="A79" s="511"/>
      <c r="K79" s="289" t="s">
        <v>456</v>
      </c>
      <c r="M79" s="329"/>
      <c r="P79" s="512"/>
      <c r="R79" s="339"/>
    </row>
    <row r="80" spans="1:20" ht="24.95" customHeight="1">
      <c r="A80" s="701" t="s">
        <v>191</v>
      </c>
      <c r="B80" s="702"/>
      <c r="C80" s="303" t="s">
        <v>47</v>
      </c>
      <c r="D80" s="703" t="s">
        <v>12</v>
      </c>
      <c r="E80" s="704"/>
      <c r="F80" s="705"/>
      <c r="G80" s="706" t="s">
        <v>53</v>
      </c>
      <c r="H80" s="707"/>
      <c r="I80" s="708"/>
      <c r="J80" s="304" t="s">
        <v>54</v>
      </c>
      <c r="K80" s="276" t="s">
        <v>55</v>
      </c>
      <c r="L80" s="276" t="s">
        <v>56</v>
      </c>
      <c r="M80" s="330" t="s">
        <v>11</v>
      </c>
      <c r="N80" s="277" t="s">
        <v>333</v>
      </c>
      <c r="O80" s="709" t="s">
        <v>51</v>
      </c>
      <c r="P80" s="833"/>
      <c r="R80" s="339"/>
    </row>
    <row r="81" spans="1:19" ht="54.95" customHeight="1">
      <c r="A81" s="711">
        <v>6</v>
      </c>
      <c r="B81" s="724" t="s">
        <v>216</v>
      </c>
      <c r="C81" s="279">
        <v>1</v>
      </c>
      <c r="D81" s="515"/>
      <c r="E81" s="281"/>
      <c r="F81" s="282"/>
      <c r="G81" s="306"/>
      <c r="H81" s="305"/>
      <c r="I81" s="306"/>
      <c r="J81" s="312"/>
      <c r="K81" s="313"/>
      <c r="L81" s="314"/>
      <c r="M81" s="322">
        <f t="shared" ref="M81:M85" si="8">L81*J81</f>
        <v>0</v>
      </c>
      <c r="N81" s="288"/>
      <c r="O81" s="752"/>
      <c r="P81" s="834"/>
      <c r="R81" s="336"/>
      <c r="S81" s="336"/>
    </row>
    <row r="82" spans="1:19" ht="54.95" customHeight="1">
      <c r="A82" s="712"/>
      <c r="B82" s="725"/>
      <c r="C82" s="279">
        <v>2</v>
      </c>
      <c r="D82" s="237"/>
      <c r="E82" s="281"/>
      <c r="F82" s="282"/>
      <c r="G82" s="306"/>
      <c r="H82" s="305"/>
      <c r="I82" s="306"/>
      <c r="J82" s="312"/>
      <c r="K82" s="313"/>
      <c r="L82" s="314"/>
      <c r="M82" s="322">
        <f t="shared" si="8"/>
        <v>0</v>
      </c>
      <c r="N82" s="288"/>
      <c r="O82" s="752"/>
      <c r="P82" s="834"/>
      <c r="R82" s="336"/>
      <c r="S82" s="336"/>
    </row>
    <row r="83" spans="1:19" ht="54.95" customHeight="1">
      <c r="A83" s="712"/>
      <c r="B83" s="725"/>
      <c r="C83" s="279">
        <v>3</v>
      </c>
      <c r="D83" s="237"/>
      <c r="E83" s="281"/>
      <c r="F83" s="282"/>
      <c r="G83" s="306"/>
      <c r="H83" s="305"/>
      <c r="I83" s="306"/>
      <c r="J83" s="312"/>
      <c r="K83" s="313"/>
      <c r="L83" s="314"/>
      <c r="M83" s="322">
        <f t="shared" si="8"/>
        <v>0</v>
      </c>
      <c r="N83" s="288"/>
      <c r="O83" s="752"/>
      <c r="P83" s="834"/>
      <c r="R83" s="336"/>
    </row>
    <row r="84" spans="1:19" ht="54.95" customHeight="1">
      <c r="A84" s="712"/>
      <c r="B84" s="725"/>
      <c r="C84" s="279">
        <v>4</v>
      </c>
      <c r="D84" s="237"/>
      <c r="E84" s="281"/>
      <c r="F84" s="282"/>
      <c r="G84" s="306"/>
      <c r="H84" s="305"/>
      <c r="I84" s="306"/>
      <c r="J84" s="312"/>
      <c r="K84" s="313"/>
      <c r="L84" s="314"/>
      <c r="M84" s="322">
        <f t="shared" si="8"/>
        <v>0</v>
      </c>
      <c r="N84" s="288"/>
      <c r="O84" s="752"/>
      <c r="P84" s="834"/>
      <c r="R84" s="336"/>
      <c r="S84" s="336"/>
    </row>
    <row r="85" spans="1:19" ht="54.75" customHeight="1" thickBot="1">
      <c r="A85" s="712"/>
      <c r="B85" s="725"/>
      <c r="C85" s="279">
        <v>5</v>
      </c>
      <c r="D85" s="244"/>
      <c r="E85" s="291"/>
      <c r="F85" s="292"/>
      <c r="G85" s="306"/>
      <c r="H85" s="305"/>
      <c r="I85" s="306"/>
      <c r="J85" s="316"/>
      <c r="K85" s="248"/>
      <c r="L85" s="317"/>
      <c r="M85" s="322">
        <f t="shared" si="8"/>
        <v>0</v>
      </c>
      <c r="N85" s="288"/>
      <c r="O85" s="752"/>
      <c r="P85" s="834"/>
    </row>
    <row r="86" spans="1:19" ht="15.75" customHeight="1" thickTop="1" thickBot="1">
      <c r="A86" s="713"/>
      <c r="B86" s="726"/>
      <c r="C86" s="721"/>
      <c r="D86" s="722"/>
      <c r="E86" s="722"/>
      <c r="F86" s="722"/>
      <c r="G86" s="722"/>
      <c r="H86" s="722"/>
      <c r="I86" s="723"/>
      <c r="J86" s="516" t="s">
        <v>58</v>
      </c>
      <c r="K86" s="345">
        <f>M86/'生產管理報表 7-1 (週)'!$B$21</f>
        <v>0</v>
      </c>
      <c r="L86" s="518" t="s">
        <v>59</v>
      </c>
      <c r="M86" s="519">
        <f>SUM(M81:M85)</f>
        <v>0</v>
      </c>
      <c r="N86" s="835"/>
      <c r="O86" s="836"/>
      <c r="P86" s="837"/>
    </row>
    <row r="87" spans="1:19" ht="15.75" customHeight="1" thickTop="1"/>
  </sheetData>
  <mergeCells count="160"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4:O34"/>
    <mergeCell ref="A36:B36"/>
    <mergeCell ref="D36:F36"/>
    <mergeCell ref="G36:I36"/>
    <mergeCell ref="O36:P36"/>
    <mergeCell ref="A1:P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A3:M4"/>
    <mergeCell ref="A5:A6"/>
    <mergeCell ref="B5:C5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1" manualBreakCount="1">
    <brk id="30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7" sqref="S27"/>
    </sheetView>
  </sheetViews>
  <sheetFormatPr defaultColWidth="12.5703125" defaultRowHeight="15.75" customHeight="1"/>
  <cols>
    <col min="1" max="1" width="5.42578125" style="98" customWidth="1"/>
    <col min="2" max="2" width="7.85546875" style="132" customWidth="1"/>
    <col min="3" max="3" width="4" style="129" customWidth="1"/>
    <col min="4" max="17" width="8.5703125" style="98" customWidth="1"/>
    <col min="18" max="16384" width="12.5703125" style="98"/>
  </cols>
  <sheetData>
    <row r="1" spans="1:17" ht="15.75" customHeight="1">
      <c r="A1" s="536" t="s">
        <v>361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</row>
    <row r="2" spans="1:17" s="99" customFormat="1" ht="15.75" customHeight="1">
      <c r="A2" s="536"/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6"/>
      <c r="P2" s="536"/>
      <c r="Q2" s="536"/>
    </row>
    <row r="3" spans="1:17" ht="15.75" customHeight="1">
      <c r="A3" s="645" t="s">
        <v>382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645"/>
      <c r="O3" s="645"/>
      <c r="P3" s="645"/>
      <c r="Q3" s="645"/>
    </row>
    <row r="4" spans="1:17" s="99" customFormat="1" ht="15.75" customHeight="1">
      <c r="A4" s="862"/>
      <c r="B4" s="862"/>
      <c r="C4" s="862"/>
      <c r="D4" s="862"/>
      <c r="E4" s="862"/>
      <c r="F4" s="862"/>
      <c r="G4" s="862"/>
      <c r="H4" s="862"/>
      <c r="I4" s="862"/>
      <c r="J4" s="862"/>
      <c r="K4" s="862"/>
      <c r="L4" s="862"/>
      <c r="M4" s="862"/>
      <c r="N4" s="862"/>
      <c r="O4" s="862"/>
      <c r="P4" s="862"/>
      <c r="Q4" s="862"/>
    </row>
    <row r="5" spans="1:17" ht="15.75" customHeight="1">
      <c r="A5" s="569" t="s">
        <v>191</v>
      </c>
      <c r="B5" s="861">
        <v>1</v>
      </c>
      <c r="C5" s="861"/>
      <c r="D5" s="861">
        <v>2</v>
      </c>
      <c r="E5" s="861"/>
      <c r="F5" s="861">
        <v>3</v>
      </c>
      <c r="G5" s="861"/>
      <c r="H5" s="861">
        <v>4</v>
      </c>
      <c r="I5" s="861"/>
      <c r="J5" s="861">
        <v>5</v>
      </c>
      <c r="K5" s="861"/>
      <c r="L5" s="861">
        <v>6</v>
      </c>
      <c r="M5" s="861"/>
      <c r="N5" s="861">
        <v>7</v>
      </c>
      <c r="O5" s="861"/>
      <c r="P5" s="863">
        <v>8</v>
      </c>
      <c r="Q5" s="863"/>
    </row>
    <row r="6" spans="1:17" ht="15.75" customHeight="1">
      <c r="A6" s="569"/>
      <c r="B6" s="569" t="s">
        <v>251</v>
      </c>
      <c r="C6" s="569"/>
      <c r="D6" s="569" t="s">
        <v>338</v>
      </c>
      <c r="E6" s="569"/>
      <c r="F6" s="569" t="s">
        <v>166</v>
      </c>
      <c r="G6" s="569"/>
      <c r="H6" s="569" t="s">
        <v>428</v>
      </c>
      <c r="I6" s="569"/>
      <c r="J6" s="569" t="s">
        <v>189</v>
      </c>
      <c r="K6" s="569"/>
      <c r="L6" s="569" t="s">
        <v>167</v>
      </c>
      <c r="M6" s="569"/>
      <c r="N6" s="569" t="s">
        <v>190</v>
      </c>
      <c r="O6" s="569"/>
      <c r="P6" s="866" t="s">
        <v>218</v>
      </c>
      <c r="Q6" s="866"/>
    </row>
    <row r="8" spans="1:17" s="105" customFormat="1" ht="15.75" customHeight="1">
      <c r="A8" s="130" t="s">
        <v>193</v>
      </c>
      <c r="B8" s="130" t="s">
        <v>18</v>
      </c>
      <c r="C8" s="860" t="s">
        <v>12</v>
      </c>
      <c r="D8" s="860"/>
      <c r="E8" s="860"/>
      <c r="F8" s="860" t="s">
        <v>53</v>
      </c>
      <c r="G8" s="860"/>
      <c r="H8" s="860"/>
      <c r="I8" s="130" t="s">
        <v>54</v>
      </c>
      <c r="J8" s="133" t="s">
        <v>19</v>
      </c>
      <c r="K8" s="130" t="s">
        <v>57</v>
      </c>
      <c r="L8" s="130" t="s">
        <v>2</v>
      </c>
      <c r="M8" s="860" t="s">
        <v>50</v>
      </c>
      <c r="N8" s="860"/>
      <c r="O8" s="860"/>
      <c r="P8" s="860"/>
      <c r="Q8" s="860"/>
    </row>
    <row r="9" spans="1:17" ht="15.75" customHeight="1">
      <c r="A9" s="860" t="s">
        <v>192</v>
      </c>
      <c r="B9" s="128">
        <v>1</v>
      </c>
      <c r="C9" s="864"/>
      <c r="D9" s="865"/>
      <c r="E9" s="865"/>
      <c r="F9" s="864"/>
      <c r="G9" s="865"/>
      <c r="H9" s="865"/>
      <c r="I9" s="107"/>
      <c r="J9" s="117"/>
      <c r="K9" s="117"/>
      <c r="L9" s="134">
        <f t="shared" ref="L9:L13" si="0">K9-J9</f>
        <v>0</v>
      </c>
      <c r="M9" s="864"/>
      <c r="N9" s="864"/>
      <c r="O9" s="864"/>
      <c r="P9" s="864"/>
      <c r="Q9" s="864"/>
    </row>
    <row r="10" spans="1:17" ht="15.75" customHeight="1">
      <c r="A10" s="860"/>
      <c r="B10" s="128">
        <v>2</v>
      </c>
      <c r="C10" s="864"/>
      <c r="D10" s="865"/>
      <c r="E10" s="865"/>
      <c r="F10" s="864"/>
      <c r="G10" s="865"/>
      <c r="H10" s="865"/>
      <c r="I10" s="107"/>
      <c r="J10" s="117"/>
      <c r="K10" s="117"/>
      <c r="L10" s="134">
        <f t="shared" si="0"/>
        <v>0</v>
      </c>
      <c r="M10" s="864"/>
      <c r="N10" s="864"/>
      <c r="O10" s="864"/>
      <c r="P10" s="864"/>
      <c r="Q10" s="864"/>
    </row>
    <row r="11" spans="1:17" ht="15.75" customHeight="1">
      <c r="A11" s="860"/>
      <c r="B11" s="128">
        <v>3</v>
      </c>
      <c r="C11" s="864"/>
      <c r="D11" s="865"/>
      <c r="E11" s="865"/>
      <c r="F11" s="864"/>
      <c r="G11" s="865"/>
      <c r="H11" s="865"/>
      <c r="I11" s="107"/>
      <c r="J11" s="117"/>
      <c r="K11" s="117"/>
      <c r="L11" s="134">
        <f t="shared" si="0"/>
        <v>0</v>
      </c>
      <c r="M11" s="864"/>
      <c r="N11" s="864"/>
      <c r="O11" s="864"/>
      <c r="P11" s="864"/>
      <c r="Q11" s="864"/>
    </row>
    <row r="12" spans="1:17" ht="15.75" customHeight="1">
      <c r="A12" s="860"/>
      <c r="B12" s="128">
        <v>4</v>
      </c>
      <c r="C12" s="864"/>
      <c r="D12" s="865"/>
      <c r="E12" s="865"/>
      <c r="F12" s="864"/>
      <c r="G12" s="865"/>
      <c r="H12" s="865"/>
      <c r="I12" s="107"/>
      <c r="J12" s="117"/>
      <c r="K12" s="117"/>
      <c r="L12" s="134">
        <f t="shared" si="0"/>
        <v>0</v>
      </c>
      <c r="M12" s="864"/>
      <c r="N12" s="864"/>
      <c r="O12" s="864"/>
      <c r="P12" s="864"/>
      <c r="Q12" s="864"/>
    </row>
    <row r="13" spans="1:17" ht="15.75" customHeight="1">
      <c r="A13" s="860"/>
      <c r="B13" s="128">
        <v>5</v>
      </c>
      <c r="C13" s="864"/>
      <c r="D13" s="865"/>
      <c r="E13" s="865"/>
      <c r="F13" s="864"/>
      <c r="G13" s="865"/>
      <c r="H13" s="865"/>
      <c r="I13" s="107"/>
      <c r="J13" s="117"/>
      <c r="K13" s="117"/>
      <c r="L13" s="134">
        <f t="shared" si="0"/>
        <v>0</v>
      </c>
      <c r="M13" s="864"/>
      <c r="N13" s="864"/>
      <c r="O13" s="864"/>
      <c r="P13" s="864"/>
      <c r="Q13" s="864"/>
    </row>
    <row r="14" spans="1:17" ht="15.75" customHeight="1">
      <c r="A14" s="867"/>
      <c r="B14" s="867"/>
      <c r="C14" s="867"/>
      <c r="D14" s="867"/>
      <c r="E14" s="867"/>
      <c r="F14" s="867"/>
      <c r="G14" s="867"/>
      <c r="H14" s="867"/>
      <c r="I14" s="867"/>
      <c r="J14" s="867"/>
      <c r="K14" s="867"/>
      <c r="L14" s="867"/>
      <c r="M14" s="867"/>
      <c r="N14" s="867"/>
      <c r="O14" s="868"/>
    </row>
    <row r="15" spans="1:17" s="105" customFormat="1" ht="15.75" customHeight="1">
      <c r="A15" s="130" t="s">
        <v>193</v>
      </c>
      <c r="B15" s="130" t="s">
        <v>18</v>
      </c>
      <c r="C15" s="860" t="s">
        <v>12</v>
      </c>
      <c r="D15" s="860"/>
      <c r="E15" s="860"/>
      <c r="F15" s="860" t="s">
        <v>53</v>
      </c>
      <c r="G15" s="860"/>
      <c r="H15" s="860"/>
      <c r="I15" s="130" t="s">
        <v>54</v>
      </c>
      <c r="J15" s="133" t="s">
        <v>19</v>
      </c>
      <c r="K15" s="130" t="s">
        <v>57</v>
      </c>
      <c r="L15" s="130" t="s">
        <v>2</v>
      </c>
      <c r="M15" s="860" t="s">
        <v>50</v>
      </c>
      <c r="N15" s="860"/>
      <c r="O15" s="860"/>
      <c r="P15" s="860"/>
      <c r="Q15" s="860"/>
    </row>
    <row r="16" spans="1:17" ht="15.75" customHeight="1">
      <c r="A16" s="860" t="s">
        <v>194</v>
      </c>
      <c r="B16" s="128">
        <v>1</v>
      </c>
      <c r="C16" s="864"/>
      <c r="D16" s="865"/>
      <c r="E16" s="865"/>
      <c r="F16" s="864"/>
      <c r="G16" s="865"/>
      <c r="H16" s="865"/>
      <c r="I16" s="107"/>
      <c r="J16" s="117"/>
      <c r="K16" s="117"/>
      <c r="L16" s="134">
        <f t="shared" ref="L16:L19" si="1">K16-J16</f>
        <v>0</v>
      </c>
      <c r="M16" s="864"/>
      <c r="N16" s="864"/>
      <c r="O16" s="864"/>
      <c r="P16" s="864"/>
      <c r="Q16" s="864"/>
    </row>
    <row r="17" spans="1:17" ht="15.75" customHeight="1">
      <c r="A17" s="860"/>
      <c r="B17" s="128">
        <v>2</v>
      </c>
      <c r="C17" s="864"/>
      <c r="D17" s="865"/>
      <c r="E17" s="865"/>
      <c r="F17" s="864"/>
      <c r="G17" s="865"/>
      <c r="H17" s="865"/>
      <c r="I17" s="107"/>
      <c r="J17" s="117"/>
      <c r="K17" s="117"/>
      <c r="L17" s="134">
        <f t="shared" si="1"/>
        <v>0</v>
      </c>
      <c r="M17" s="864"/>
      <c r="N17" s="864"/>
      <c r="O17" s="864"/>
      <c r="P17" s="864"/>
      <c r="Q17" s="864"/>
    </row>
    <row r="18" spans="1:17" ht="15.75" customHeight="1">
      <c r="A18" s="860"/>
      <c r="B18" s="128">
        <v>3</v>
      </c>
      <c r="C18" s="864"/>
      <c r="D18" s="865"/>
      <c r="E18" s="865"/>
      <c r="F18" s="864"/>
      <c r="G18" s="865"/>
      <c r="H18" s="865"/>
      <c r="I18" s="107"/>
      <c r="J18" s="117"/>
      <c r="K18" s="117"/>
      <c r="L18" s="134">
        <f t="shared" si="1"/>
        <v>0</v>
      </c>
      <c r="M18" s="864"/>
      <c r="N18" s="864"/>
      <c r="O18" s="864"/>
      <c r="P18" s="864"/>
      <c r="Q18" s="864"/>
    </row>
    <row r="19" spans="1:17" ht="15.75" customHeight="1">
      <c r="A19" s="860"/>
      <c r="B19" s="128">
        <v>4</v>
      </c>
      <c r="C19" s="864"/>
      <c r="D19" s="865"/>
      <c r="E19" s="865"/>
      <c r="F19" s="864"/>
      <c r="G19" s="865"/>
      <c r="H19" s="865"/>
      <c r="I19" s="107"/>
      <c r="J19" s="117"/>
      <c r="K19" s="117"/>
      <c r="L19" s="134">
        <f t="shared" si="1"/>
        <v>0</v>
      </c>
      <c r="M19" s="864"/>
      <c r="N19" s="864"/>
      <c r="O19" s="864"/>
      <c r="P19" s="864"/>
      <c r="Q19" s="864"/>
    </row>
    <row r="20" spans="1:17" ht="15.75" customHeight="1">
      <c r="A20" s="860"/>
      <c r="B20" s="128">
        <v>5</v>
      </c>
      <c r="C20" s="864"/>
      <c r="D20" s="865"/>
      <c r="E20" s="865"/>
      <c r="F20" s="864"/>
      <c r="G20" s="865"/>
      <c r="H20" s="865"/>
      <c r="I20" s="107"/>
      <c r="J20" s="117"/>
      <c r="K20" s="117"/>
      <c r="L20" s="134">
        <f>K20-J20</f>
        <v>0</v>
      </c>
      <c r="M20" s="864"/>
      <c r="N20" s="864"/>
      <c r="O20" s="864"/>
      <c r="P20" s="864"/>
      <c r="Q20" s="864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>
    <tabColor rgb="FFFFFFCC"/>
  </sheetPr>
  <dimension ref="A1:AG49"/>
  <sheetViews>
    <sheetView topLeftCell="A7" zoomScale="70" zoomScaleNormal="70" workbookViewId="0">
      <selection activeCell="B49" sqref="B49"/>
    </sheetView>
  </sheetViews>
  <sheetFormatPr defaultColWidth="10.140625" defaultRowHeight="15.75"/>
  <cols>
    <col min="1" max="4" width="25.7109375" style="473" customWidth="1"/>
    <col min="5" max="5" width="33.7109375" style="473" customWidth="1"/>
    <col min="6" max="6" width="25.7109375" style="473" customWidth="1"/>
    <col min="7" max="7" width="33.7109375" style="473" customWidth="1"/>
    <col min="8" max="11" width="25.7109375" style="473" customWidth="1"/>
    <col min="12" max="12" width="26.42578125" style="473" bestFit="1" customWidth="1"/>
    <col min="13" max="14" width="26.42578125" style="473" customWidth="1"/>
    <col min="15" max="15" width="26.140625" style="473" bestFit="1" customWidth="1"/>
    <col min="16" max="16" width="10.140625" style="473"/>
    <col min="17" max="18" width="13.7109375" style="473" bestFit="1" customWidth="1"/>
    <col min="19" max="20" width="10.140625" style="473"/>
    <col min="21" max="21" width="15.140625" style="473" bestFit="1" customWidth="1"/>
    <col min="22" max="23" width="10.140625" style="473"/>
    <col min="24" max="24" width="13.7109375" style="473" bestFit="1" customWidth="1"/>
    <col min="25" max="26" width="10.140625" style="473"/>
    <col min="27" max="27" width="15.140625" style="473" bestFit="1" customWidth="1"/>
    <col min="28" max="29" width="10.140625" style="473"/>
    <col min="30" max="30" width="13.7109375" style="473" bestFit="1" customWidth="1"/>
    <col min="31" max="32" width="10.140625" style="473"/>
    <col min="33" max="33" width="15.140625" style="473" bestFit="1" customWidth="1"/>
    <col min="34" max="16384" width="10.140625" style="473"/>
  </cols>
  <sheetData>
    <row r="1" spans="1:33" ht="27">
      <c r="A1" s="871" t="s">
        <v>565</v>
      </c>
      <c r="B1" s="871"/>
      <c r="C1" s="871"/>
      <c r="D1" s="871"/>
      <c r="E1" s="871"/>
      <c r="F1" s="871"/>
      <c r="G1" s="871"/>
      <c r="H1" s="871"/>
      <c r="I1" s="871"/>
      <c r="J1" s="871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</row>
    <row r="2" spans="1:33" ht="48">
      <c r="A2" s="872" t="s">
        <v>778</v>
      </c>
      <c r="B2" s="874">
        <f>SUM(C13:C43)</f>
        <v>263747.9326</v>
      </c>
      <c r="C2" s="872" t="s">
        <v>779</v>
      </c>
      <c r="D2" s="876">
        <f>B2/B48</f>
        <v>2.0087240664461675E-3</v>
      </c>
      <c r="E2" s="475" t="s">
        <v>780</v>
      </c>
      <c r="F2" s="476" t="s">
        <v>781</v>
      </c>
      <c r="G2" s="477" t="s">
        <v>782</v>
      </c>
      <c r="H2" s="478" t="s">
        <v>783</v>
      </c>
      <c r="I2" s="878" t="s">
        <v>784</v>
      </c>
      <c r="J2" s="878" t="s">
        <v>785</v>
      </c>
      <c r="K2" s="472"/>
      <c r="L2" s="449"/>
      <c r="M2" s="472"/>
      <c r="N2" s="472"/>
      <c r="O2" s="472"/>
      <c r="P2" s="472"/>
      <c r="Q2" s="472"/>
      <c r="R2" s="472"/>
      <c r="S2" s="472"/>
      <c r="T2" s="472"/>
      <c r="U2" s="472"/>
      <c r="V2" s="472"/>
    </row>
    <row r="3" spans="1:33" ht="24">
      <c r="A3" s="873"/>
      <c r="B3" s="875"/>
      <c r="C3" s="873"/>
      <c r="D3" s="877"/>
      <c r="E3" s="474">
        <f>SUM(E13:E43)</f>
        <v>790593.27334999992</v>
      </c>
      <c r="F3" s="479">
        <f>E3/B48</f>
        <v>6.0212177562623224E-3</v>
      </c>
      <c r="G3" s="480">
        <f>SUM(G13:G43)</f>
        <v>526845.34074999997</v>
      </c>
      <c r="H3" s="481">
        <f>G3/B48</f>
        <v>4.0124936898161554E-3</v>
      </c>
      <c r="I3" s="879"/>
      <c r="J3" s="879"/>
      <c r="K3" s="482"/>
      <c r="L3" s="483"/>
      <c r="M3" s="472"/>
      <c r="N3" s="472"/>
      <c r="O3" s="472"/>
      <c r="P3" s="472"/>
      <c r="Q3" s="472"/>
      <c r="R3" s="472"/>
      <c r="S3" s="472"/>
      <c r="T3" s="472"/>
      <c r="U3" s="472"/>
      <c r="V3" s="472"/>
    </row>
    <row r="4" spans="1:33" ht="37.5" customHeight="1">
      <c r="A4" s="484" t="s">
        <v>786</v>
      </c>
      <c r="B4" s="484" t="s">
        <v>135</v>
      </c>
      <c r="C4" s="484" t="s">
        <v>787</v>
      </c>
      <c r="D4" s="484" t="s">
        <v>788</v>
      </c>
      <c r="E4" s="484" t="s">
        <v>789</v>
      </c>
      <c r="F4" s="484" t="s">
        <v>790</v>
      </c>
      <c r="G4" s="485" t="s">
        <v>791</v>
      </c>
      <c r="H4" s="485" t="s">
        <v>792</v>
      </c>
      <c r="I4" s="880"/>
      <c r="J4" s="880"/>
      <c r="K4" s="472"/>
      <c r="L4" s="449"/>
      <c r="M4" s="450"/>
      <c r="N4" s="449"/>
      <c r="O4" s="486"/>
      <c r="P4" s="449"/>
      <c r="Q4" s="450"/>
      <c r="R4" s="487"/>
      <c r="S4" s="472"/>
      <c r="T4" s="472"/>
      <c r="U4" s="487"/>
      <c r="V4" s="472"/>
      <c r="X4" s="488"/>
      <c r="AA4" s="488"/>
      <c r="AD4" s="488"/>
      <c r="AG4" s="488"/>
    </row>
    <row r="5" spans="1:33" s="497" customFormat="1" ht="19.5" customHeight="1">
      <c r="A5" s="489">
        <v>46196</v>
      </c>
      <c r="B5" s="490">
        <v>7449467.7599999998</v>
      </c>
      <c r="C5" s="491">
        <v>15006.648499999992</v>
      </c>
      <c r="D5" s="492">
        <f t="shared" ref="D5:D46" si="0">C5/B5</f>
        <v>2.0144591511058493E-3</v>
      </c>
      <c r="E5" s="491">
        <v>45326.036800000002</v>
      </c>
      <c r="F5" s="493">
        <f t="shared" ref="F5:F46" si="1">E5/B5</f>
        <v>6.0844664693199511E-3</v>
      </c>
      <c r="G5" s="494">
        <f>E5-C5</f>
        <v>30319.38830000001</v>
      </c>
      <c r="H5" s="495">
        <f t="shared" ref="H5:H10" si="2">G5/B5</f>
        <v>4.0700073182141014E-3</v>
      </c>
      <c r="I5" s="870">
        <f>SUM(C5:C11)</f>
        <v>93627.815799999982</v>
      </c>
      <c r="J5" s="870">
        <f>SUM(E5:E11)</f>
        <v>281657.45449999999</v>
      </c>
      <c r="K5" s="472"/>
      <c r="L5" s="472"/>
      <c r="M5" s="472"/>
      <c r="N5" s="472"/>
      <c r="O5" s="496"/>
      <c r="P5" s="496"/>
      <c r="Q5" s="496"/>
      <c r="R5" s="496"/>
      <c r="S5" s="496"/>
      <c r="T5" s="496"/>
      <c r="U5" s="496"/>
      <c r="V5" s="496"/>
    </row>
    <row r="6" spans="1:33" s="497" customFormat="1" ht="19.5" customHeight="1">
      <c r="A6" s="489">
        <f>A5+1</f>
        <v>46197</v>
      </c>
      <c r="B6" s="490">
        <v>6989716.1500000004</v>
      </c>
      <c r="C6" s="491">
        <v>14037.559799999995</v>
      </c>
      <c r="D6" s="492">
        <f t="shared" si="0"/>
        <v>2.0083161459997193E-3</v>
      </c>
      <c r="E6" s="491">
        <v>42287.341700000019</v>
      </c>
      <c r="F6" s="493">
        <f t="shared" si="1"/>
        <v>6.0499369062361735E-3</v>
      </c>
      <c r="G6" s="494">
        <f t="shared" ref="G6:G10" si="3">E6-C6</f>
        <v>28249.781900000024</v>
      </c>
      <c r="H6" s="495">
        <f t="shared" si="2"/>
        <v>4.0416207602364546E-3</v>
      </c>
      <c r="I6" s="870"/>
      <c r="J6" s="870"/>
      <c r="K6" s="472"/>
      <c r="L6" s="472"/>
      <c r="M6" s="472"/>
      <c r="N6" s="472"/>
      <c r="O6" s="496"/>
      <c r="P6" s="496"/>
      <c r="Q6" s="496"/>
      <c r="R6" s="496"/>
      <c r="S6" s="496"/>
      <c r="T6" s="496"/>
      <c r="U6" s="496"/>
      <c r="V6" s="496"/>
    </row>
    <row r="7" spans="1:33" s="497" customFormat="1" ht="19.5" customHeight="1">
      <c r="A7" s="489">
        <f t="shared" ref="A7:A46" si="4">A6+1</f>
        <v>46198</v>
      </c>
      <c r="B7" s="490">
        <v>6448640.1000000006</v>
      </c>
      <c r="C7" s="491">
        <v>12908.202599999995</v>
      </c>
      <c r="D7" s="492">
        <f t="shared" si="0"/>
        <v>2.0016937524548772E-3</v>
      </c>
      <c r="E7" s="491">
        <v>38822.113600000012</v>
      </c>
      <c r="F7" s="493">
        <f t="shared" si="1"/>
        <v>6.0202016235950291E-3</v>
      </c>
      <c r="G7" s="494">
        <f t="shared" si="3"/>
        <v>25913.911000000015</v>
      </c>
      <c r="H7" s="495">
        <f t="shared" si="2"/>
        <v>4.0185078711401515E-3</v>
      </c>
      <c r="I7" s="870"/>
      <c r="J7" s="870"/>
      <c r="K7" s="472"/>
      <c r="L7" s="472"/>
      <c r="M7" s="472"/>
      <c r="N7" s="472"/>
      <c r="O7" s="496"/>
      <c r="P7" s="496"/>
      <c r="Q7" s="496"/>
      <c r="R7" s="496"/>
      <c r="S7" s="496"/>
      <c r="T7" s="496"/>
      <c r="U7" s="496"/>
      <c r="V7" s="496"/>
    </row>
    <row r="8" spans="1:33" s="497" customFormat="1" ht="19.5" customHeight="1">
      <c r="A8" s="489">
        <f t="shared" si="4"/>
        <v>46199</v>
      </c>
      <c r="B8" s="490">
        <v>5352556.66</v>
      </c>
      <c r="C8" s="491">
        <v>10703.473600000003</v>
      </c>
      <c r="D8" s="492">
        <f t="shared" si="0"/>
        <v>1.9996936566758364E-3</v>
      </c>
      <c r="E8" s="491">
        <v>32177.576800000006</v>
      </c>
      <c r="F8" s="493">
        <f t="shared" si="1"/>
        <v>6.0116274976526832E-3</v>
      </c>
      <c r="G8" s="494">
        <f t="shared" si="3"/>
        <v>21474.103200000005</v>
      </c>
      <c r="H8" s="495">
        <f t="shared" si="2"/>
        <v>4.0119338409768468E-3</v>
      </c>
      <c r="I8" s="870"/>
      <c r="J8" s="870"/>
      <c r="K8" s="472"/>
      <c r="L8" s="472"/>
      <c r="M8" s="472"/>
      <c r="N8" s="472"/>
      <c r="O8" s="496"/>
      <c r="P8" s="496"/>
      <c r="Q8" s="496"/>
      <c r="R8" s="496"/>
      <c r="S8" s="496"/>
      <c r="T8" s="496"/>
      <c r="U8" s="496"/>
      <c r="V8" s="496"/>
    </row>
    <row r="9" spans="1:33" s="497" customFormat="1" ht="19.5" customHeight="1">
      <c r="A9" s="489">
        <f t="shared" si="4"/>
        <v>46200</v>
      </c>
      <c r="B9" s="490">
        <v>5770317.1100000003</v>
      </c>
      <c r="C9" s="491">
        <v>11553.129899999994</v>
      </c>
      <c r="D9" s="492">
        <f t="shared" si="0"/>
        <v>2.0021655101031344E-3</v>
      </c>
      <c r="E9" s="491">
        <v>34715.205099999992</v>
      </c>
      <c r="F9" s="493">
        <f t="shared" si="1"/>
        <v>6.0161693782544981E-3</v>
      </c>
      <c r="G9" s="494">
        <f t="shared" si="3"/>
        <v>23162.075199999999</v>
      </c>
      <c r="H9" s="495">
        <f t="shared" si="2"/>
        <v>4.0140038681513637E-3</v>
      </c>
      <c r="I9" s="870"/>
      <c r="J9" s="870"/>
      <c r="K9" s="472"/>
      <c r="L9" s="472"/>
      <c r="M9" s="472"/>
      <c r="N9" s="472"/>
      <c r="O9" s="496"/>
      <c r="P9" s="496"/>
      <c r="Q9" s="496"/>
      <c r="R9" s="496"/>
      <c r="S9" s="496"/>
      <c r="T9" s="496"/>
      <c r="U9" s="496"/>
      <c r="V9" s="496"/>
    </row>
    <row r="10" spans="1:33" s="497" customFormat="1" ht="19.5" customHeight="1">
      <c r="A10" s="489">
        <f t="shared" si="4"/>
        <v>46201</v>
      </c>
      <c r="B10" s="490">
        <v>7367341.2600000016</v>
      </c>
      <c r="C10" s="491">
        <v>14810.736300000002</v>
      </c>
      <c r="D10" s="492">
        <f t="shared" si="0"/>
        <v>2.0103230972091553E-3</v>
      </c>
      <c r="E10" s="491">
        <v>44495.530799999986</v>
      </c>
      <c r="F10" s="493">
        <f t="shared" si="1"/>
        <v>6.0395642375876551E-3</v>
      </c>
      <c r="G10" s="494">
        <f t="shared" si="3"/>
        <v>29684.794499999982</v>
      </c>
      <c r="H10" s="495">
        <f t="shared" si="2"/>
        <v>4.0292411403784999E-3</v>
      </c>
      <c r="I10" s="870"/>
      <c r="J10" s="870"/>
      <c r="K10" s="472"/>
      <c r="L10" s="472"/>
      <c r="M10" s="472"/>
      <c r="N10" s="472"/>
      <c r="O10" s="496"/>
      <c r="P10" s="496"/>
      <c r="Q10" s="496"/>
      <c r="R10" s="496"/>
      <c r="S10" s="496"/>
      <c r="T10" s="496"/>
      <c r="U10" s="496"/>
      <c r="V10" s="496"/>
    </row>
    <row r="11" spans="1:33" s="497" customFormat="1" ht="19.5" customHeight="1">
      <c r="A11" s="489">
        <f t="shared" si="4"/>
        <v>46202</v>
      </c>
      <c r="B11" s="490">
        <v>7280769.8300000001</v>
      </c>
      <c r="C11" s="491">
        <v>14608.065100000002</v>
      </c>
      <c r="D11" s="492">
        <f t="shared" si="0"/>
        <v>2.0063901814075065E-3</v>
      </c>
      <c r="E11" s="491">
        <v>43833.649700000002</v>
      </c>
      <c r="F11" s="493">
        <f>E11/B11</f>
        <v>6.0204690882255238E-3</v>
      </c>
      <c r="G11" s="494">
        <f>E11-C11</f>
        <v>29225.584600000002</v>
      </c>
      <c r="H11" s="495">
        <f>G11/B11</f>
        <v>4.0140789068180173E-3</v>
      </c>
      <c r="I11" s="870"/>
      <c r="J11" s="870"/>
      <c r="K11" s="472"/>
      <c r="L11" s="472"/>
      <c r="M11" s="472"/>
      <c r="N11" s="472"/>
      <c r="O11" s="496"/>
      <c r="P11" s="496"/>
      <c r="Q11" s="496"/>
      <c r="R11" s="496"/>
      <c r="S11" s="496"/>
      <c r="T11" s="496"/>
      <c r="U11" s="496"/>
      <c r="V11" s="496"/>
    </row>
    <row r="12" spans="1:33" s="497" customFormat="1" ht="19.5" customHeight="1">
      <c r="A12" s="498">
        <f t="shared" si="4"/>
        <v>46203</v>
      </c>
      <c r="B12" s="490">
        <v>7292751.3200000003</v>
      </c>
      <c r="C12" s="491">
        <v>14683.012900000003</v>
      </c>
      <c r="D12" s="492">
        <f t="shared" si="0"/>
        <v>2.0133708467108408E-3</v>
      </c>
      <c r="E12" s="491">
        <v>43971.88769999997</v>
      </c>
      <c r="F12" s="493">
        <f>E12/B12</f>
        <v>6.029533405233399E-3</v>
      </c>
      <c r="G12" s="494">
        <f t="shared" ref="G12:G46" si="5">E12-C12</f>
        <v>29288.874799999969</v>
      </c>
      <c r="H12" s="495">
        <f t="shared" ref="H12:H46" si="6">G12/B12</f>
        <v>4.0161625585225591E-3</v>
      </c>
      <c r="I12" s="869">
        <f>SUM(C12:C18)</f>
        <v>93200.448800000013</v>
      </c>
      <c r="J12" s="869">
        <f>SUM(E12:E18)</f>
        <v>279158.78502000007</v>
      </c>
      <c r="K12" s="472"/>
      <c r="L12" s="472"/>
      <c r="M12" s="472"/>
      <c r="N12" s="472"/>
      <c r="O12" s="496"/>
      <c r="P12" s="496"/>
      <c r="Q12" s="496"/>
      <c r="R12" s="496"/>
      <c r="S12" s="496"/>
      <c r="T12" s="496"/>
      <c r="U12" s="496"/>
      <c r="V12" s="496"/>
    </row>
    <row r="13" spans="1:33" s="497" customFormat="1" ht="19.5" customHeight="1">
      <c r="A13" s="498">
        <f t="shared" si="4"/>
        <v>46204</v>
      </c>
      <c r="B13" s="490">
        <v>6821172.7800000003</v>
      </c>
      <c r="C13" s="451">
        <v>13696.273500000005</v>
      </c>
      <c r="D13" s="492">
        <f t="shared" si="0"/>
        <v>2.0079059630564006E-3</v>
      </c>
      <c r="E13" s="451">
        <v>41050.606100000026</v>
      </c>
      <c r="F13" s="493">
        <f t="shared" si="1"/>
        <v>6.0181155680973713E-3</v>
      </c>
      <c r="G13" s="494">
        <f t="shared" si="5"/>
        <v>27354.332600000023</v>
      </c>
      <c r="H13" s="495">
        <f t="shared" si="6"/>
        <v>4.0102096050409711E-3</v>
      </c>
      <c r="I13" s="869"/>
      <c r="J13" s="869"/>
      <c r="K13" s="472"/>
      <c r="L13" s="472"/>
      <c r="M13" s="472"/>
      <c r="N13" s="472"/>
      <c r="O13" s="496"/>
      <c r="P13" s="496"/>
      <c r="Q13" s="496"/>
      <c r="R13" s="496"/>
      <c r="S13" s="496"/>
      <c r="T13" s="496"/>
      <c r="U13" s="496"/>
      <c r="V13" s="496"/>
    </row>
    <row r="14" spans="1:33" s="497" customFormat="1" ht="19.5" customHeight="1">
      <c r="A14" s="498">
        <f t="shared" si="4"/>
        <v>46205</v>
      </c>
      <c r="B14" s="490">
        <v>6343385.2199999997</v>
      </c>
      <c r="C14" s="451">
        <v>12724.155099999996</v>
      </c>
      <c r="D14" s="492">
        <f t="shared" si="0"/>
        <v>2.0058934872632561E-3</v>
      </c>
      <c r="E14" s="451">
        <v>38135.225300000049</v>
      </c>
      <c r="F14" s="493">
        <f t="shared" si="1"/>
        <v>6.0118097793846505E-3</v>
      </c>
      <c r="G14" s="494">
        <f t="shared" si="5"/>
        <v>25411.070200000053</v>
      </c>
      <c r="H14" s="495">
        <f t="shared" si="6"/>
        <v>4.0059162921213939E-3</v>
      </c>
      <c r="I14" s="869"/>
      <c r="J14" s="869"/>
      <c r="K14" s="472"/>
      <c r="L14" s="472"/>
      <c r="M14" s="472"/>
      <c r="N14" s="472"/>
      <c r="O14" s="496"/>
      <c r="P14" s="496"/>
      <c r="Q14" s="496"/>
      <c r="R14" s="496"/>
      <c r="S14" s="496"/>
      <c r="T14" s="496"/>
      <c r="U14" s="496"/>
      <c r="V14" s="496"/>
    </row>
    <row r="15" spans="1:33" s="497" customFormat="1" ht="19.5" customHeight="1">
      <c r="A15" s="498">
        <f t="shared" si="4"/>
        <v>46206</v>
      </c>
      <c r="B15" s="490">
        <v>5464679.9400000004</v>
      </c>
      <c r="C15" s="451">
        <v>10942.5322</v>
      </c>
      <c r="D15" s="492">
        <f t="shared" si="0"/>
        <v>2.0024104467497869E-3</v>
      </c>
      <c r="E15" s="451">
        <v>32833.702400000016</v>
      </c>
      <c r="F15" s="493">
        <f t="shared" si="1"/>
        <v>6.0083486609464661E-3</v>
      </c>
      <c r="G15" s="494">
        <f t="shared" si="5"/>
        <v>21891.170200000015</v>
      </c>
      <c r="H15" s="495">
        <f t="shared" si="6"/>
        <v>4.0059382141966783E-3</v>
      </c>
      <c r="I15" s="869"/>
      <c r="J15" s="869"/>
      <c r="K15" s="472"/>
      <c r="L15" s="472"/>
      <c r="M15" s="472"/>
      <c r="N15" s="472"/>
      <c r="O15" s="496"/>
      <c r="P15" s="496"/>
      <c r="Q15" s="496"/>
      <c r="R15" s="496"/>
      <c r="S15" s="496"/>
      <c r="T15" s="496"/>
      <c r="U15" s="496"/>
      <c r="V15" s="496"/>
    </row>
    <row r="16" spans="1:33" s="497" customFormat="1" ht="19.5" customHeight="1">
      <c r="A16" s="498">
        <f t="shared" si="4"/>
        <v>46207</v>
      </c>
      <c r="B16" s="490">
        <v>6007602.620000002</v>
      </c>
      <c r="C16" s="451">
        <v>12042.110200000006</v>
      </c>
      <c r="D16" s="492">
        <f t="shared" si="0"/>
        <v>2.0044784852963531E-3</v>
      </c>
      <c r="E16" s="451">
        <v>36118.718620000007</v>
      </c>
      <c r="F16" s="493">
        <f t="shared" si="1"/>
        <v>6.0121683980489367E-3</v>
      </c>
      <c r="G16" s="494">
        <f t="shared" si="5"/>
        <v>24076.60842</v>
      </c>
      <c r="H16" s="495">
        <f t="shared" si="6"/>
        <v>4.0076899127525836E-3</v>
      </c>
      <c r="I16" s="869"/>
      <c r="J16" s="869"/>
      <c r="K16" s="472"/>
      <c r="L16" s="472"/>
      <c r="M16" s="472"/>
      <c r="N16" s="472"/>
      <c r="O16" s="496"/>
      <c r="P16" s="496"/>
      <c r="Q16" s="496"/>
      <c r="R16" s="496"/>
      <c r="S16" s="496"/>
      <c r="T16" s="496"/>
      <c r="U16" s="496"/>
      <c r="V16" s="496"/>
    </row>
    <row r="17" spans="1:22" s="497" customFormat="1" ht="19.5" customHeight="1">
      <c r="A17" s="498">
        <f t="shared" si="4"/>
        <v>46208</v>
      </c>
      <c r="B17" s="490">
        <v>7429288.9299999988</v>
      </c>
      <c r="C17" s="451">
        <v>14964.413499999997</v>
      </c>
      <c r="D17" s="492">
        <f t="shared" si="0"/>
        <v>2.0142457294361816E-3</v>
      </c>
      <c r="E17" s="451">
        <v>44751.840099999979</v>
      </c>
      <c r="F17" s="493">
        <f t="shared" si="1"/>
        <v>6.023704357396689E-3</v>
      </c>
      <c r="G17" s="494">
        <f t="shared" si="5"/>
        <v>29787.426599999984</v>
      </c>
      <c r="H17" s="495">
        <f t="shared" si="6"/>
        <v>4.0094586279605078E-3</v>
      </c>
      <c r="I17" s="869"/>
      <c r="J17" s="869"/>
      <c r="K17" s="472"/>
      <c r="L17" s="472"/>
      <c r="M17" s="472"/>
      <c r="N17" s="472"/>
      <c r="O17" s="496"/>
      <c r="P17" s="496"/>
      <c r="Q17" s="496"/>
      <c r="R17" s="496"/>
      <c r="S17" s="496"/>
      <c r="T17" s="496"/>
      <c r="U17" s="496"/>
      <c r="V17" s="496"/>
    </row>
    <row r="18" spans="1:22" s="497" customFormat="1" ht="19.5" customHeight="1">
      <c r="A18" s="498">
        <f t="shared" si="4"/>
        <v>46209</v>
      </c>
      <c r="B18" s="490">
        <v>7038286.0199999996</v>
      </c>
      <c r="C18" s="451">
        <v>14147.9514</v>
      </c>
      <c r="D18" s="492">
        <f t="shared" si="0"/>
        <v>2.0101415827372131E-3</v>
      </c>
      <c r="E18" s="451">
        <v>42296.804800000013</v>
      </c>
      <c r="F18" s="493">
        <f t="shared" si="1"/>
        <v>6.0095319627263477E-3</v>
      </c>
      <c r="G18" s="494">
        <f t="shared" si="5"/>
        <v>28148.853400000015</v>
      </c>
      <c r="H18" s="495">
        <f t="shared" si="6"/>
        <v>3.999390379989135E-3</v>
      </c>
      <c r="I18" s="869"/>
      <c r="J18" s="869"/>
      <c r="K18" s="472"/>
      <c r="L18" s="472"/>
      <c r="M18" s="472"/>
      <c r="N18" s="472"/>
      <c r="O18" s="496"/>
      <c r="P18" s="496"/>
      <c r="Q18" s="496"/>
      <c r="R18" s="496"/>
      <c r="S18" s="496"/>
      <c r="T18" s="496"/>
      <c r="U18" s="496"/>
      <c r="V18" s="496"/>
    </row>
    <row r="19" spans="1:22" s="497" customFormat="1" ht="19.5" customHeight="1">
      <c r="A19" s="489">
        <f t="shared" si="4"/>
        <v>46210</v>
      </c>
      <c r="B19" s="490">
        <v>7860603.3600000003</v>
      </c>
      <c r="C19" s="451">
        <v>15878.214199999999</v>
      </c>
      <c r="D19" s="492">
        <f t="shared" si="0"/>
        <v>2.01997397309206E-3</v>
      </c>
      <c r="E19" s="451">
        <v>47553.909699999975</v>
      </c>
      <c r="F19" s="493">
        <f t="shared" si="1"/>
        <v>6.0496513463566964E-3</v>
      </c>
      <c r="G19" s="494">
        <f t="shared" si="5"/>
        <v>31675.695499999976</v>
      </c>
      <c r="H19" s="495">
        <f t="shared" si="6"/>
        <v>4.029677373264636E-3</v>
      </c>
      <c r="I19" s="870">
        <f>SUM(C19:C25)</f>
        <v>97471.614600000001</v>
      </c>
      <c r="J19" s="870">
        <f>SUM(E19:E25)</f>
        <v>292062.31539999996</v>
      </c>
      <c r="K19" s="472"/>
      <c r="L19" s="472"/>
      <c r="M19" s="472"/>
      <c r="N19" s="472"/>
      <c r="O19" s="496"/>
      <c r="P19" s="496"/>
      <c r="Q19" s="496"/>
      <c r="R19" s="496"/>
      <c r="S19" s="496"/>
      <c r="T19" s="496"/>
      <c r="U19" s="496"/>
      <c r="V19" s="496"/>
    </row>
    <row r="20" spans="1:22" s="497" customFormat="1" ht="19.5" customHeight="1">
      <c r="A20" s="489">
        <f t="shared" si="4"/>
        <v>46211</v>
      </c>
      <c r="B20" s="490">
        <v>7229874.9699999988</v>
      </c>
      <c r="C20" s="451">
        <v>14575.342900000001</v>
      </c>
      <c r="D20" s="492">
        <f t="shared" si="0"/>
        <v>2.0159882377606322E-3</v>
      </c>
      <c r="E20" s="451">
        <v>43641.878000000019</v>
      </c>
      <c r="F20" s="493">
        <f t="shared" si="1"/>
        <v>6.0363254110326649E-3</v>
      </c>
      <c r="G20" s="494">
        <f t="shared" si="5"/>
        <v>29066.535100000016</v>
      </c>
      <c r="H20" s="495">
        <f t="shared" si="6"/>
        <v>4.0203371732720327E-3</v>
      </c>
      <c r="I20" s="870"/>
      <c r="J20" s="870"/>
      <c r="K20" s="472"/>
      <c r="L20" s="472"/>
      <c r="M20" s="472"/>
      <c r="N20" s="472"/>
      <c r="O20" s="496"/>
      <c r="P20" s="496"/>
      <c r="Q20" s="496"/>
      <c r="R20" s="496"/>
      <c r="S20" s="496"/>
      <c r="T20" s="496"/>
      <c r="U20" s="496"/>
      <c r="V20" s="496"/>
    </row>
    <row r="21" spans="1:22" s="497" customFormat="1" ht="19.5" customHeight="1">
      <c r="A21" s="489">
        <f t="shared" si="4"/>
        <v>46212</v>
      </c>
      <c r="B21" s="490">
        <v>6763681.4199999999</v>
      </c>
      <c r="C21" s="451">
        <v>13598.093999999999</v>
      </c>
      <c r="D21" s="492">
        <f t="shared" si="0"/>
        <v>2.0104574943152777E-3</v>
      </c>
      <c r="E21" s="451">
        <v>40482.406800000004</v>
      </c>
      <c r="F21" s="493">
        <f t="shared" si="1"/>
        <v>5.9852622094669862E-3</v>
      </c>
      <c r="G21" s="494">
        <f t="shared" si="5"/>
        <v>26884.312800000007</v>
      </c>
      <c r="H21" s="495">
        <f t="shared" si="6"/>
        <v>3.9748047151517089E-3</v>
      </c>
      <c r="I21" s="870"/>
      <c r="J21" s="870"/>
      <c r="K21" s="472"/>
      <c r="L21" s="472"/>
      <c r="M21" s="472"/>
      <c r="N21" s="472"/>
      <c r="O21" s="496"/>
      <c r="P21" s="496"/>
      <c r="Q21" s="496"/>
      <c r="R21" s="496"/>
      <c r="S21" s="496"/>
      <c r="T21" s="496"/>
      <c r="U21" s="496"/>
      <c r="V21" s="496"/>
    </row>
    <row r="22" spans="1:22" s="497" customFormat="1" ht="19.5" customHeight="1">
      <c r="A22" s="489">
        <f t="shared" si="4"/>
        <v>46213</v>
      </c>
      <c r="B22" s="490">
        <v>5383246.2600000007</v>
      </c>
      <c r="C22" s="451">
        <v>10788.829100000001</v>
      </c>
      <c r="D22" s="492">
        <f t="shared" si="0"/>
        <v>2.0041492770200707E-3</v>
      </c>
      <c r="E22" s="451">
        <v>32235.094899999996</v>
      </c>
      <c r="F22" s="493">
        <f t="shared" si="1"/>
        <v>5.9880401793099454E-3</v>
      </c>
      <c r="G22" s="494">
        <f t="shared" si="5"/>
        <v>21446.265799999994</v>
      </c>
      <c r="H22" s="495">
        <f t="shared" si="6"/>
        <v>3.9838909022898742E-3</v>
      </c>
      <c r="I22" s="870"/>
      <c r="J22" s="870"/>
      <c r="K22" s="472"/>
      <c r="L22" s="472"/>
      <c r="M22" s="472"/>
      <c r="N22" s="472"/>
      <c r="O22" s="496"/>
      <c r="P22" s="496"/>
      <c r="Q22" s="496"/>
      <c r="R22" s="496"/>
      <c r="S22" s="496"/>
      <c r="T22" s="496"/>
      <c r="U22" s="496"/>
      <c r="V22" s="496"/>
    </row>
    <row r="23" spans="1:22" s="497" customFormat="1" ht="19.5" customHeight="1">
      <c r="A23" s="489">
        <f t="shared" si="4"/>
        <v>46214</v>
      </c>
      <c r="B23" s="490">
        <v>6085802.3500000015</v>
      </c>
      <c r="C23" s="451">
        <v>12231.091399999996</v>
      </c>
      <c r="D23" s="492">
        <f t="shared" si="0"/>
        <v>2.0097746684132772E-3</v>
      </c>
      <c r="E23" s="451">
        <v>36539.751599999996</v>
      </c>
      <c r="F23" s="493">
        <f t="shared" si="1"/>
        <v>6.0040976519718861E-3</v>
      </c>
      <c r="G23" s="494">
        <f t="shared" si="5"/>
        <v>24308.660199999998</v>
      </c>
      <c r="H23" s="495">
        <f t="shared" si="6"/>
        <v>3.9943229835586085E-3</v>
      </c>
      <c r="I23" s="870"/>
      <c r="J23" s="870"/>
      <c r="K23" s="472"/>
      <c r="L23" s="472"/>
      <c r="M23" s="472"/>
      <c r="N23" s="472"/>
      <c r="O23" s="496"/>
      <c r="P23" s="496"/>
      <c r="Q23" s="496"/>
      <c r="R23" s="496"/>
      <c r="S23" s="496"/>
      <c r="T23" s="496"/>
      <c r="U23" s="496"/>
      <c r="V23" s="496"/>
    </row>
    <row r="24" spans="1:22" s="497" customFormat="1" ht="19.5" customHeight="1">
      <c r="A24" s="489">
        <f t="shared" si="4"/>
        <v>46215</v>
      </c>
      <c r="B24" s="490">
        <v>7790002.1000000006</v>
      </c>
      <c r="C24" s="451">
        <v>15732.254800000006</v>
      </c>
      <c r="D24" s="492">
        <f t="shared" si="0"/>
        <v>2.0195443593012644E-3</v>
      </c>
      <c r="E24" s="451">
        <v>47583.363200000014</v>
      </c>
      <c r="F24" s="493">
        <f t="shared" si="1"/>
        <v>6.1082606383379553E-3</v>
      </c>
      <c r="G24" s="494">
        <f t="shared" si="5"/>
        <v>31851.108400000008</v>
      </c>
      <c r="H24" s="495">
        <f t="shared" si="6"/>
        <v>4.0887162790366905E-3</v>
      </c>
      <c r="I24" s="870"/>
      <c r="J24" s="870"/>
      <c r="K24" s="472"/>
      <c r="L24" s="472"/>
      <c r="M24" s="472"/>
      <c r="N24" s="472"/>
      <c r="O24" s="496"/>
      <c r="P24" s="496"/>
      <c r="Q24" s="496"/>
      <c r="R24" s="496"/>
      <c r="S24" s="496"/>
      <c r="T24" s="496"/>
      <c r="U24" s="496"/>
      <c r="V24" s="496"/>
    </row>
    <row r="25" spans="1:22" s="497" customFormat="1" ht="19.5" customHeight="1">
      <c r="A25" s="489">
        <f t="shared" si="4"/>
        <v>46216</v>
      </c>
      <c r="B25" s="490">
        <v>7296191.4900000002</v>
      </c>
      <c r="C25" s="451">
        <v>14667.788200000001</v>
      </c>
      <c r="D25" s="492">
        <f t="shared" si="0"/>
        <v>2.0103348740371399E-3</v>
      </c>
      <c r="E25" s="451">
        <v>44025.911199999966</v>
      </c>
      <c r="F25" s="493">
        <f t="shared" si="1"/>
        <v>6.0340948096470485E-3</v>
      </c>
      <c r="G25" s="494">
        <f t="shared" si="5"/>
        <v>29358.122999999963</v>
      </c>
      <c r="H25" s="495">
        <f t="shared" si="6"/>
        <v>4.0237599356099081E-3</v>
      </c>
      <c r="I25" s="870"/>
      <c r="J25" s="870"/>
      <c r="K25" s="472"/>
      <c r="L25" s="472"/>
      <c r="M25" s="472"/>
      <c r="N25" s="472"/>
      <c r="O25" s="496"/>
      <c r="P25" s="496"/>
      <c r="Q25" s="496"/>
      <c r="R25" s="496"/>
      <c r="S25" s="496"/>
      <c r="T25" s="496"/>
      <c r="U25" s="496"/>
      <c r="V25" s="496"/>
    </row>
    <row r="26" spans="1:22" s="497" customFormat="1" ht="19.5" customHeight="1">
      <c r="A26" s="498">
        <f t="shared" si="4"/>
        <v>46217</v>
      </c>
      <c r="B26" s="490">
        <v>6870172.4199999999</v>
      </c>
      <c r="C26" s="451">
        <v>13784.064200000003</v>
      </c>
      <c r="D26" s="492">
        <f t="shared" si="0"/>
        <v>2.0063636481484409E-3</v>
      </c>
      <c r="E26" s="451">
        <v>41358.172199999986</v>
      </c>
      <c r="F26" s="493">
        <f t="shared" si="1"/>
        <v>6.0199613156142577E-3</v>
      </c>
      <c r="G26" s="494">
        <f t="shared" si="5"/>
        <v>27574.107999999986</v>
      </c>
      <c r="H26" s="495">
        <f t="shared" si="6"/>
        <v>4.0135976674658168E-3</v>
      </c>
      <c r="I26" s="869">
        <f>SUM(C26:C32)</f>
        <v>87758.882100000003</v>
      </c>
      <c r="J26" s="869">
        <f>SUM(E26:E32)</f>
        <v>263344.06062999996</v>
      </c>
      <c r="K26" s="472"/>
      <c r="L26" s="472"/>
      <c r="M26" s="472"/>
      <c r="N26" s="472"/>
      <c r="O26" s="496"/>
      <c r="P26" s="496"/>
      <c r="Q26" s="496"/>
      <c r="R26" s="496"/>
      <c r="S26" s="496"/>
      <c r="T26" s="496"/>
      <c r="U26" s="496"/>
      <c r="V26" s="496"/>
    </row>
    <row r="27" spans="1:22" s="497" customFormat="1" ht="19.5" customHeight="1">
      <c r="A27" s="498">
        <f t="shared" si="4"/>
        <v>46218</v>
      </c>
      <c r="B27" s="490">
        <v>6423738.6200000001</v>
      </c>
      <c r="C27" s="451">
        <v>12857.284799999996</v>
      </c>
      <c r="D27" s="492">
        <f t="shared" si="0"/>
        <v>2.0015267682233304E-3</v>
      </c>
      <c r="E27" s="451">
        <v>38630.656099999993</v>
      </c>
      <c r="F27" s="493">
        <f t="shared" si="1"/>
        <v>6.0137341173448914E-3</v>
      </c>
      <c r="G27" s="494">
        <f t="shared" si="5"/>
        <v>25773.371299999999</v>
      </c>
      <c r="H27" s="495">
        <f t="shared" si="6"/>
        <v>4.0122073491215618E-3</v>
      </c>
      <c r="I27" s="869"/>
      <c r="J27" s="869"/>
      <c r="K27" s="472"/>
      <c r="L27" s="472"/>
      <c r="M27" s="472"/>
      <c r="N27" s="472"/>
      <c r="O27" s="496"/>
      <c r="P27" s="496"/>
      <c r="Q27" s="496"/>
      <c r="R27" s="496"/>
      <c r="S27" s="496"/>
      <c r="T27" s="496"/>
      <c r="U27" s="496"/>
      <c r="V27" s="496"/>
    </row>
    <row r="28" spans="1:22" s="497" customFormat="1" ht="19.5" customHeight="1">
      <c r="A28" s="498">
        <f t="shared" si="4"/>
        <v>46219</v>
      </c>
      <c r="B28" s="490">
        <v>5886839.0899999999</v>
      </c>
      <c r="C28" s="451">
        <v>11776.549399999996</v>
      </c>
      <c r="D28" s="492">
        <f t="shared" si="0"/>
        <v>2.0004877354308655E-3</v>
      </c>
      <c r="E28" s="451">
        <v>35382.618000000002</v>
      </c>
      <c r="F28" s="493">
        <f t="shared" si="1"/>
        <v>6.0104612100073561E-3</v>
      </c>
      <c r="G28" s="494">
        <f t="shared" si="5"/>
        <v>23606.068600000006</v>
      </c>
      <c r="H28" s="495">
        <f t="shared" si="6"/>
        <v>4.009973474576491E-3</v>
      </c>
      <c r="I28" s="869"/>
      <c r="J28" s="869"/>
      <c r="K28" s="472"/>
      <c r="L28" s="472"/>
      <c r="M28" s="472"/>
      <c r="N28" s="472"/>
      <c r="O28" s="496"/>
      <c r="P28" s="496"/>
      <c r="Q28" s="496"/>
      <c r="R28" s="496"/>
      <c r="S28" s="496"/>
      <c r="T28" s="496"/>
      <c r="U28" s="496"/>
      <c r="V28" s="496"/>
    </row>
    <row r="29" spans="1:22" s="497" customFormat="1" ht="19.5" customHeight="1">
      <c r="A29" s="498">
        <f t="shared" si="4"/>
        <v>46220</v>
      </c>
      <c r="B29" s="490">
        <v>5200104.47</v>
      </c>
      <c r="C29" s="451">
        <v>10387.606</v>
      </c>
      <c r="D29" s="492">
        <f t="shared" si="0"/>
        <v>1.9975764063832357E-3</v>
      </c>
      <c r="E29" s="451">
        <v>31240.630730000012</v>
      </c>
      <c r="F29" s="493">
        <f t="shared" si="1"/>
        <v>6.0076929050619657E-3</v>
      </c>
      <c r="G29" s="494">
        <f t="shared" si="5"/>
        <v>20853.024730000012</v>
      </c>
      <c r="H29" s="495">
        <f t="shared" si="6"/>
        <v>4.0101164986787296E-3</v>
      </c>
      <c r="I29" s="869"/>
      <c r="J29" s="869"/>
      <c r="K29" s="472"/>
      <c r="L29" s="472"/>
      <c r="M29" s="472"/>
      <c r="N29" s="472"/>
      <c r="O29" s="496"/>
      <c r="P29" s="496"/>
      <c r="Q29" s="496"/>
      <c r="R29" s="496"/>
      <c r="S29" s="496"/>
      <c r="T29" s="496"/>
      <c r="U29" s="496"/>
      <c r="V29" s="496"/>
    </row>
    <row r="30" spans="1:22" s="497" customFormat="1" ht="19.5" customHeight="1">
      <c r="A30" s="498">
        <f t="shared" si="4"/>
        <v>46221</v>
      </c>
      <c r="B30" s="490">
        <v>5391308.3200000003</v>
      </c>
      <c r="C30" s="451">
        <v>10780.444300000006</v>
      </c>
      <c r="D30" s="492">
        <f t="shared" si="0"/>
        <v>1.9995970662646141E-3</v>
      </c>
      <c r="E30" s="451">
        <v>32403.86119999997</v>
      </c>
      <c r="F30" s="493">
        <f t="shared" si="1"/>
        <v>6.0103891813777718E-3</v>
      </c>
      <c r="G30" s="494">
        <f t="shared" si="5"/>
        <v>21623.416899999964</v>
      </c>
      <c r="H30" s="495">
        <f t="shared" si="6"/>
        <v>4.0107921151131569E-3</v>
      </c>
      <c r="I30" s="869"/>
      <c r="J30" s="869"/>
      <c r="K30" s="472"/>
      <c r="L30" s="472"/>
      <c r="M30" s="472"/>
      <c r="N30" s="472"/>
      <c r="O30" s="496"/>
      <c r="P30" s="496"/>
      <c r="Q30" s="496"/>
      <c r="R30" s="496"/>
      <c r="S30" s="496"/>
      <c r="T30" s="496"/>
      <c r="U30" s="496"/>
      <c r="V30" s="496"/>
    </row>
    <row r="31" spans="1:22" s="497" customFormat="1" ht="19.5" customHeight="1">
      <c r="A31" s="498">
        <f t="shared" si="4"/>
        <v>46222</v>
      </c>
      <c r="B31" s="490">
        <v>7176291.25</v>
      </c>
      <c r="C31" s="451">
        <v>14455.089900000001</v>
      </c>
      <c r="D31" s="492">
        <f t="shared" si="0"/>
        <v>2.0142841749908077E-3</v>
      </c>
      <c r="E31" s="451">
        <v>43185.546699999992</v>
      </c>
      <c r="F31" s="493">
        <f t="shared" si="1"/>
        <v>6.0178085302766927E-3</v>
      </c>
      <c r="G31" s="494">
        <f t="shared" si="5"/>
        <v>28730.456799999993</v>
      </c>
      <c r="H31" s="495">
        <f t="shared" si="6"/>
        <v>4.0035243552858854E-3</v>
      </c>
      <c r="I31" s="869"/>
      <c r="J31" s="869"/>
      <c r="K31" s="472"/>
      <c r="L31" s="472"/>
      <c r="M31" s="472"/>
      <c r="N31" s="472"/>
      <c r="O31" s="496"/>
      <c r="P31" s="496"/>
      <c r="Q31" s="496"/>
      <c r="R31" s="496"/>
      <c r="S31" s="496"/>
      <c r="T31" s="496"/>
      <c r="U31" s="496"/>
      <c r="V31" s="496"/>
    </row>
    <row r="32" spans="1:22" s="497" customFormat="1" ht="19.5" customHeight="1">
      <c r="A32" s="498">
        <f t="shared" si="4"/>
        <v>46223</v>
      </c>
      <c r="B32" s="490">
        <v>6838954.3600000003</v>
      </c>
      <c r="C32" s="451">
        <v>13717.843500000001</v>
      </c>
      <c r="D32" s="492">
        <f t="shared" si="0"/>
        <v>2.0058393107919496E-3</v>
      </c>
      <c r="E32" s="451">
        <v>41142.575699999987</v>
      </c>
      <c r="F32" s="493">
        <f t="shared" si="1"/>
        <v>6.0159161085555166E-3</v>
      </c>
      <c r="G32" s="494">
        <f t="shared" si="5"/>
        <v>27424.732199999984</v>
      </c>
      <c r="H32" s="495">
        <f t="shared" si="6"/>
        <v>4.0100767977635666E-3</v>
      </c>
      <c r="I32" s="869"/>
      <c r="J32" s="869"/>
      <c r="K32" s="472"/>
      <c r="L32" s="472"/>
      <c r="M32" s="472"/>
      <c r="N32" s="472"/>
      <c r="O32" s="496"/>
      <c r="P32" s="496"/>
      <c r="Q32" s="496"/>
      <c r="R32" s="496"/>
      <c r="S32" s="496"/>
      <c r="T32" s="496"/>
      <c r="U32" s="496"/>
      <c r="V32" s="496"/>
    </row>
    <row r="33" spans="1:22" s="497" customFormat="1" ht="19.5" customHeight="1">
      <c r="A33" s="489">
        <f t="shared" si="4"/>
        <v>46224</v>
      </c>
      <c r="B33" s="490"/>
      <c r="C33" s="491"/>
      <c r="D33" s="492" t="e">
        <f t="shared" si="0"/>
        <v>#DIV/0!</v>
      </c>
      <c r="E33" s="491"/>
      <c r="F33" s="493" t="e">
        <f t="shared" si="1"/>
        <v>#DIV/0!</v>
      </c>
      <c r="G33" s="494">
        <f t="shared" si="5"/>
        <v>0</v>
      </c>
      <c r="H33" s="495" t="e">
        <f t="shared" si="6"/>
        <v>#DIV/0!</v>
      </c>
      <c r="I33" s="870">
        <f>SUM(C33:C39)</f>
        <v>0</v>
      </c>
      <c r="J33" s="870">
        <f>SUM(E33:E39)</f>
        <v>0</v>
      </c>
      <c r="K33" s="472"/>
      <c r="L33" s="472"/>
      <c r="M33" s="472"/>
      <c r="N33" s="472"/>
      <c r="O33" s="496"/>
      <c r="P33" s="496"/>
      <c r="Q33" s="496"/>
      <c r="R33" s="496"/>
      <c r="S33" s="496"/>
      <c r="T33" s="496"/>
      <c r="U33" s="496"/>
      <c r="V33" s="496"/>
    </row>
    <row r="34" spans="1:22" s="497" customFormat="1" ht="19.5" customHeight="1">
      <c r="A34" s="489">
        <f t="shared" si="4"/>
        <v>46225</v>
      </c>
      <c r="B34" s="490"/>
      <c r="C34" s="491"/>
      <c r="D34" s="492" t="e">
        <f t="shared" si="0"/>
        <v>#DIV/0!</v>
      </c>
      <c r="E34" s="491"/>
      <c r="F34" s="493" t="e">
        <f t="shared" si="1"/>
        <v>#DIV/0!</v>
      </c>
      <c r="G34" s="494">
        <f t="shared" si="5"/>
        <v>0</v>
      </c>
      <c r="H34" s="495" t="e">
        <f t="shared" si="6"/>
        <v>#DIV/0!</v>
      </c>
      <c r="I34" s="870"/>
      <c r="J34" s="870"/>
      <c r="K34" s="472"/>
      <c r="L34" s="472"/>
      <c r="M34" s="472"/>
      <c r="N34" s="472"/>
      <c r="O34" s="496"/>
      <c r="P34" s="496"/>
      <c r="Q34" s="496"/>
      <c r="R34" s="496"/>
      <c r="S34" s="496"/>
      <c r="T34" s="496"/>
      <c r="U34" s="496"/>
      <c r="V34" s="496"/>
    </row>
    <row r="35" spans="1:22" s="497" customFormat="1" ht="19.5" customHeight="1">
      <c r="A35" s="489">
        <f t="shared" si="4"/>
        <v>46226</v>
      </c>
      <c r="B35" s="490"/>
      <c r="C35" s="491"/>
      <c r="D35" s="492" t="e">
        <f t="shared" si="0"/>
        <v>#DIV/0!</v>
      </c>
      <c r="E35" s="491"/>
      <c r="F35" s="493" t="e">
        <f t="shared" si="1"/>
        <v>#DIV/0!</v>
      </c>
      <c r="G35" s="494">
        <f t="shared" si="5"/>
        <v>0</v>
      </c>
      <c r="H35" s="495" t="e">
        <f t="shared" si="6"/>
        <v>#DIV/0!</v>
      </c>
      <c r="I35" s="870"/>
      <c r="J35" s="870"/>
      <c r="K35" s="472"/>
      <c r="L35" s="472"/>
      <c r="M35" s="472"/>
      <c r="N35" s="472"/>
      <c r="O35" s="496"/>
      <c r="P35" s="496"/>
      <c r="Q35" s="496"/>
      <c r="R35" s="496"/>
      <c r="S35" s="496"/>
      <c r="T35" s="496"/>
      <c r="U35" s="496"/>
      <c r="V35" s="496"/>
    </row>
    <row r="36" spans="1:22" s="497" customFormat="1" ht="19.5" customHeight="1">
      <c r="A36" s="489">
        <f t="shared" si="4"/>
        <v>46227</v>
      </c>
      <c r="B36" s="490"/>
      <c r="C36" s="491"/>
      <c r="D36" s="492" t="e">
        <f t="shared" si="0"/>
        <v>#DIV/0!</v>
      </c>
      <c r="E36" s="491"/>
      <c r="F36" s="493" t="e">
        <f t="shared" si="1"/>
        <v>#DIV/0!</v>
      </c>
      <c r="G36" s="494">
        <f t="shared" si="5"/>
        <v>0</v>
      </c>
      <c r="H36" s="495" t="e">
        <f t="shared" si="6"/>
        <v>#DIV/0!</v>
      </c>
      <c r="I36" s="870"/>
      <c r="J36" s="870"/>
      <c r="K36" s="472"/>
      <c r="L36" s="472"/>
      <c r="M36" s="472"/>
      <c r="N36" s="472"/>
      <c r="O36" s="496"/>
      <c r="P36" s="496"/>
      <c r="Q36" s="496"/>
      <c r="R36" s="496"/>
      <c r="S36" s="496"/>
      <c r="T36" s="496"/>
      <c r="U36" s="496"/>
      <c r="V36" s="496"/>
    </row>
    <row r="37" spans="1:22" s="497" customFormat="1" ht="19.5" customHeight="1">
      <c r="A37" s="489">
        <f t="shared" si="4"/>
        <v>46228</v>
      </c>
      <c r="B37" s="490"/>
      <c r="C37" s="491"/>
      <c r="D37" s="492" t="e">
        <f t="shared" si="0"/>
        <v>#DIV/0!</v>
      </c>
      <c r="E37" s="491"/>
      <c r="F37" s="493" t="e">
        <f t="shared" si="1"/>
        <v>#DIV/0!</v>
      </c>
      <c r="G37" s="494">
        <f t="shared" si="5"/>
        <v>0</v>
      </c>
      <c r="H37" s="495" t="e">
        <f t="shared" si="6"/>
        <v>#DIV/0!</v>
      </c>
      <c r="I37" s="870"/>
      <c r="J37" s="870"/>
      <c r="K37" s="472"/>
      <c r="L37" s="472"/>
      <c r="M37" s="472"/>
      <c r="N37" s="472"/>
      <c r="O37" s="496"/>
      <c r="P37" s="496"/>
      <c r="Q37" s="496"/>
      <c r="R37" s="496"/>
      <c r="S37" s="496"/>
      <c r="T37" s="496"/>
      <c r="U37" s="496"/>
      <c r="V37" s="496"/>
    </row>
    <row r="38" spans="1:22" s="497" customFormat="1" ht="19.5" customHeight="1">
      <c r="A38" s="489">
        <f t="shared" si="4"/>
        <v>46229</v>
      </c>
      <c r="B38" s="490"/>
      <c r="C38" s="491"/>
      <c r="D38" s="492" t="e">
        <f t="shared" si="0"/>
        <v>#DIV/0!</v>
      </c>
      <c r="E38" s="491"/>
      <c r="F38" s="493" t="e">
        <f t="shared" si="1"/>
        <v>#DIV/0!</v>
      </c>
      <c r="G38" s="494">
        <f t="shared" si="5"/>
        <v>0</v>
      </c>
      <c r="H38" s="495" t="e">
        <f t="shared" si="6"/>
        <v>#DIV/0!</v>
      </c>
      <c r="I38" s="870"/>
      <c r="J38" s="870"/>
      <c r="K38" s="472"/>
      <c r="L38" s="472"/>
      <c r="M38" s="472"/>
      <c r="N38" s="472"/>
      <c r="O38" s="496"/>
      <c r="P38" s="496"/>
      <c r="Q38" s="496"/>
      <c r="R38" s="496"/>
      <c r="S38" s="496"/>
      <c r="T38" s="496"/>
      <c r="U38" s="496"/>
      <c r="V38" s="496"/>
    </row>
    <row r="39" spans="1:22" s="497" customFormat="1" ht="19.5" customHeight="1">
      <c r="A39" s="489">
        <f t="shared" si="4"/>
        <v>46230</v>
      </c>
      <c r="B39" s="490"/>
      <c r="C39" s="491"/>
      <c r="D39" s="492" t="e">
        <f t="shared" si="0"/>
        <v>#DIV/0!</v>
      </c>
      <c r="E39" s="491"/>
      <c r="F39" s="493" t="e">
        <f t="shared" si="1"/>
        <v>#DIV/0!</v>
      </c>
      <c r="G39" s="494">
        <f t="shared" si="5"/>
        <v>0</v>
      </c>
      <c r="H39" s="495" t="e">
        <f t="shared" si="6"/>
        <v>#DIV/0!</v>
      </c>
      <c r="I39" s="870"/>
      <c r="J39" s="870"/>
      <c r="K39" s="472"/>
      <c r="L39" s="472"/>
      <c r="M39" s="472"/>
      <c r="N39" s="472"/>
      <c r="O39" s="496"/>
      <c r="P39" s="496"/>
      <c r="Q39" s="496"/>
      <c r="R39" s="496"/>
      <c r="S39" s="496"/>
      <c r="T39" s="496"/>
      <c r="U39" s="496"/>
      <c r="V39" s="496"/>
    </row>
    <row r="40" spans="1:22" s="497" customFormat="1" ht="19.5" customHeight="1">
      <c r="A40" s="498">
        <f t="shared" si="4"/>
        <v>46231</v>
      </c>
      <c r="B40" s="490"/>
      <c r="C40" s="491"/>
      <c r="D40" s="492" t="e">
        <f t="shared" si="0"/>
        <v>#DIV/0!</v>
      </c>
      <c r="E40" s="491"/>
      <c r="F40" s="493" t="e">
        <f t="shared" si="1"/>
        <v>#DIV/0!</v>
      </c>
      <c r="G40" s="494">
        <f t="shared" si="5"/>
        <v>0</v>
      </c>
      <c r="H40" s="495" t="e">
        <f t="shared" si="6"/>
        <v>#DIV/0!</v>
      </c>
      <c r="I40" s="869">
        <f>SUM(C40:C46)</f>
        <v>0</v>
      </c>
      <c r="J40" s="869">
        <f>SUM(E40:E46)</f>
        <v>0</v>
      </c>
      <c r="K40" s="472"/>
      <c r="L40" s="472"/>
      <c r="M40" s="472"/>
      <c r="N40" s="472"/>
      <c r="O40" s="496"/>
      <c r="P40" s="496"/>
      <c r="Q40" s="496"/>
      <c r="R40" s="496"/>
      <c r="S40" s="496"/>
      <c r="T40" s="496"/>
      <c r="U40" s="496"/>
      <c r="V40" s="496"/>
    </row>
    <row r="41" spans="1:22" s="497" customFormat="1" ht="19.5" customHeight="1">
      <c r="A41" s="498">
        <f t="shared" si="4"/>
        <v>46232</v>
      </c>
      <c r="B41" s="490"/>
      <c r="C41" s="491"/>
      <c r="D41" s="492" t="e">
        <f t="shared" si="0"/>
        <v>#DIV/0!</v>
      </c>
      <c r="E41" s="491"/>
      <c r="F41" s="493" t="e">
        <f t="shared" si="1"/>
        <v>#DIV/0!</v>
      </c>
      <c r="G41" s="494">
        <f t="shared" si="5"/>
        <v>0</v>
      </c>
      <c r="H41" s="495" t="e">
        <f t="shared" si="6"/>
        <v>#DIV/0!</v>
      </c>
      <c r="I41" s="869"/>
      <c r="J41" s="869"/>
      <c r="K41" s="472"/>
      <c r="L41" s="472"/>
      <c r="M41" s="472"/>
      <c r="N41" s="472"/>
      <c r="O41" s="496"/>
      <c r="P41" s="496"/>
      <c r="Q41" s="496"/>
      <c r="R41" s="496"/>
      <c r="S41" s="496"/>
      <c r="T41" s="496"/>
      <c r="U41" s="496"/>
      <c r="V41" s="496"/>
    </row>
    <row r="42" spans="1:22" s="497" customFormat="1" ht="19.5" customHeight="1">
      <c r="A42" s="498">
        <f t="shared" si="4"/>
        <v>46233</v>
      </c>
      <c r="B42" s="490"/>
      <c r="C42" s="491"/>
      <c r="D42" s="492" t="e">
        <f t="shared" si="0"/>
        <v>#DIV/0!</v>
      </c>
      <c r="E42" s="491"/>
      <c r="F42" s="493" t="e">
        <f t="shared" si="1"/>
        <v>#DIV/0!</v>
      </c>
      <c r="G42" s="494">
        <f t="shared" si="5"/>
        <v>0</v>
      </c>
      <c r="H42" s="495" t="e">
        <f t="shared" si="6"/>
        <v>#DIV/0!</v>
      </c>
      <c r="I42" s="869"/>
      <c r="J42" s="869"/>
      <c r="K42" s="472"/>
      <c r="L42" s="472"/>
      <c r="M42" s="472"/>
      <c r="N42" s="472"/>
      <c r="O42" s="496"/>
      <c r="P42" s="496"/>
      <c r="Q42" s="496"/>
      <c r="R42" s="496"/>
      <c r="S42" s="496"/>
      <c r="T42" s="496"/>
      <c r="U42" s="496"/>
      <c r="V42" s="496"/>
    </row>
    <row r="43" spans="1:22" s="497" customFormat="1" ht="19.5" customHeight="1">
      <c r="A43" s="498">
        <f t="shared" si="4"/>
        <v>46234</v>
      </c>
      <c r="B43" s="490"/>
      <c r="C43" s="491"/>
      <c r="D43" s="492" t="e">
        <f t="shared" si="0"/>
        <v>#DIV/0!</v>
      </c>
      <c r="E43" s="491"/>
      <c r="F43" s="493" t="e">
        <f t="shared" si="1"/>
        <v>#DIV/0!</v>
      </c>
      <c r="G43" s="494">
        <f t="shared" si="5"/>
        <v>0</v>
      </c>
      <c r="H43" s="495" t="e">
        <f t="shared" si="6"/>
        <v>#DIV/0!</v>
      </c>
      <c r="I43" s="869"/>
      <c r="J43" s="869"/>
      <c r="K43" s="472"/>
      <c r="L43" s="472"/>
      <c r="M43" s="472"/>
      <c r="N43" s="472"/>
      <c r="O43" s="496"/>
      <c r="P43" s="496"/>
      <c r="Q43" s="496"/>
      <c r="R43" s="496"/>
      <c r="S43" s="496"/>
      <c r="T43" s="496"/>
      <c r="U43" s="496"/>
      <c r="V43" s="496"/>
    </row>
    <row r="44" spans="1:22" s="497" customFormat="1" ht="19.5" customHeight="1">
      <c r="A44" s="498">
        <f t="shared" si="4"/>
        <v>46235</v>
      </c>
      <c r="B44" s="490"/>
      <c r="C44" s="491"/>
      <c r="D44" s="492" t="e">
        <f t="shared" si="0"/>
        <v>#DIV/0!</v>
      </c>
      <c r="E44" s="491"/>
      <c r="F44" s="493" t="e">
        <f t="shared" si="1"/>
        <v>#DIV/0!</v>
      </c>
      <c r="G44" s="494">
        <f t="shared" si="5"/>
        <v>0</v>
      </c>
      <c r="H44" s="495" t="e">
        <f t="shared" si="6"/>
        <v>#DIV/0!</v>
      </c>
      <c r="I44" s="869"/>
      <c r="J44" s="869"/>
      <c r="K44" s="472"/>
      <c r="L44" s="472"/>
      <c r="M44" s="472"/>
      <c r="N44" s="472"/>
      <c r="O44" s="496"/>
      <c r="P44" s="496"/>
      <c r="Q44" s="496"/>
      <c r="R44" s="496"/>
      <c r="S44" s="496"/>
      <c r="T44" s="496"/>
      <c r="U44" s="496"/>
      <c r="V44" s="496"/>
    </row>
    <row r="45" spans="1:22" s="497" customFormat="1" ht="19.5" customHeight="1">
      <c r="A45" s="498">
        <f t="shared" si="4"/>
        <v>46236</v>
      </c>
      <c r="B45" s="490"/>
      <c r="C45" s="491"/>
      <c r="D45" s="492" t="e">
        <f t="shared" si="0"/>
        <v>#DIV/0!</v>
      </c>
      <c r="E45" s="491"/>
      <c r="F45" s="493" t="e">
        <f t="shared" si="1"/>
        <v>#DIV/0!</v>
      </c>
      <c r="G45" s="494">
        <f t="shared" si="5"/>
        <v>0</v>
      </c>
      <c r="H45" s="495" t="e">
        <f t="shared" si="6"/>
        <v>#DIV/0!</v>
      </c>
      <c r="I45" s="869"/>
      <c r="J45" s="869"/>
      <c r="K45" s="472"/>
      <c r="L45" s="472"/>
      <c r="M45" s="472"/>
      <c r="N45" s="472"/>
      <c r="O45" s="496"/>
      <c r="P45" s="496"/>
      <c r="Q45" s="496"/>
      <c r="R45" s="496"/>
      <c r="S45" s="496"/>
      <c r="T45" s="496"/>
      <c r="U45" s="496"/>
      <c r="V45" s="496"/>
    </row>
    <row r="46" spans="1:22" s="497" customFormat="1" ht="19.5" customHeight="1">
      <c r="A46" s="498">
        <f t="shared" si="4"/>
        <v>46237</v>
      </c>
      <c r="B46" s="490"/>
      <c r="C46" s="491"/>
      <c r="D46" s="492" t="e">
        <f t="shared" si="0"/>
        <v>#DIV/0!</v>
      </c>
      <c r="E46" s="491"/>
      <c r="F46" s="493" t="e">
        <f t="shared" si="1"/>
        <v>#DIV/0!</v>
      </c>
      <c r="G46" s="494">
        <f t="shared" si="5"/>
        <v>0</v>
      </c>
      <c r="H46" s="495" t="e">
        <f t="shared" si="6"/>
        <v>#DIV/0!</v>
      </c>
      <c r="I46" s="869"/>
      <c r="J46" s="869"/>
      <c r="K46" s="472"/>
      <c r="L46" s="472"/>
      <c r="M46" s="472"/>
      <c r="N46" s="472"/>
      <c r="O46" s="496"/>
      <c r="P46" s="496"/>
      <c r="Q46" s="496"/>
      <c r="R46" s="496"/>
      <c r="S46" s="496"/>
      <c r="T46" s="496"/>
      <c r="U46" s="496"/>
      <c r="V46" s="496"/>
    </row>
    <row r="47" spans="1:22" ht="18.75">
      <c r="A47" s="472"/>
      <c r="B47" s="472"/>
      <c r="C47" s="472"/>
      <c r="D47" s="472"/>
      <c r="E47" s="472"/>
      <c r="F47" s="472"/>
      <c r="G47" s="472"/>
      <c r="H47" s="472"/>
      <c r="I47" s="472"/>
      <c r="J47" s="472"/>
      <c r="K47" s="472"/>
      <c r="L47" s="472"/>
      <c r="M47" s="472"/>
      <c r="N47" s="472"/>
      <c r="O47" s="472"/>
      <c r="P47" s="472"/>
      <c r="Q47" s="472"/>
      <c r="R47" s="472"/>
      <c r="S47" s="472"/>
      <c r="T47" s="472"/>
      <c r="U47" s="472"/>
      <c r="V47" s="472"/>
    </row>
    <row r="48" spans="1:22" ht="18.75">
      <c r="A48" s="499" t="s">
        <v>793</v>
      </c>
      <c r="B48" s="500">
        <f>SUM(B13:B43)</f>
        <v>131301225.98999999</v>
      </c>
      <c r="C48" s="472"/>
      <c r="D48" s="472"/>
      <c r="E48" s="472"/>
      <c r="F48" s="472"/>
      <c r="G48" s="472"/>
      <c r="H48" s="472"/>
      <c r="I48" s="472"/>
      <c r="J48" s="472"/>
      <c r="K48" s="472"/>
      <c r="L48" s="472"/>
      <c r="M48" s="472"/>
      <c r="N48" s="472"/>
      <c r="O48" s="472"/>
      <c r="P48" s="472"/>
      <c r="Q48" s="472"/>
      <c r="R48" s="472"/>
      <c r="S48" s="472"/>
      <c r="T48" s="472"/>
      <c r="U48" s="472"/>
      <c r="V48" s="472"/>
    </row>
    <row r="49" spans="1:22" ht="18.75">
      <c r="A49" s="472"/>
      <c r="B49" s="472"/>
      <c r="C49" s="472"/>
      <c r="D49" s="472"/>
      <c r="E49" s="472"/>
      <c r="F49" s="472"/>
      <c r="G49" s="472"/>
      <c r="H49" s="472"/>
      <c r="I49" s="472"/>
      <c r="J49" s="472"/>
      <c r="K49" s="472"/>
      <c r="L49" s="472"/>
      <c r="M49" s="472"/>
      <c r="N49" s="472"/>
      <c r="O49" s="472"/>
      <c r="P49" s="472"/>
      <c r="Q49" s="472"/>
      <c r="R49" s="472"/>
      <c r="S49" s="472"/>
      <c r="T49" s="472"/>
      <c r="U49" s="472"/>
      <c r="V49" s="472"/>
    </row>
  </sheetData>
  <mergeCells count="19">
    <mergeCell ref="I5:I11"/>
    <mergeCell ref="J5:J11"/>
    <mergeCell ref="I12:I18"/>
    <mergeCell ref="J12:J18"/>
    <mergeCell ref="A1:J1"/>
    <mergeCell ref="A2:A3"/>
    <mergeCell ref="B2:B3"/>
    <mergeCell ref="C2:C3"/>
    <mergeCell ref="D2:D3"/>
    <mergeCell ref="I2:I4"/>
    <mergeCell ref="J2:J4"/>
    <mergeCell ref="I40:I46"/>
    <mergeCell ref="J40:J46"/>
    <mergeCell ref="I19:I25"/>
    <mergeCell ref="J19:J25"/>
    <mergeCell ref="I26:I32"/>
    <mergeCell ref="J26:J32"/>
    <mergeCell ref="I33:I39"/>
    <mergeCell ref="J33:J39"/>
  </mergeCells>
  <phoneticPr fontId="13" type="noConversion"/>
  <conditionalFormatting sqref="A5:A46">
    <cfRule type="timePeriod" dxfId="2" priority="2" timePeriod="yesterday">
      <formula>FLOOR(A5,1)=TODAY()-1</formula>
    </cfRule>
  </conditionalFormatting>
  <conditionalFormatting sqref="D5:D46">
    <cfRule type="cellIs" dxfId="1" priority="1" operator="greaterThan">
      <formula>0.0025</formula>
    </cfRule>
  </conditionalFormatting>
  <conditionalFormatting sqref="D48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>
    <tabColor rgb="FF92D050"/>
    <pageSetUpPr fitToPage="1"/>
  </sheetPr>
  <dimension ref="B2:AM202"/>
  <sheetViews>
    <sheetView zoomScale="70" zoomScaleNormal="70" workbookViewId="0">
      <pane xSplit="3" ySplit="2" topLeftCell="AB153" activePane="bottomRight" state="frozen"/>
      <selection pane="topRight" activeCell="D1" sqref="D1"/>
      <selection pane="bottomLeft" activeCell="A4" sqref="A4"/>
      <selection pane="bottomRight" activeCell="AD161" sqref="AD161:AD180"/>
    </sheetView>
  </sheetViews>
  <sheetFormatPr defaultColWidth="8.85546875" defaultRowHeight="14.25"/>
  <cols>
    <col min="1" max="1" width="8.85546875" style="145"/>
    <col min="2" max="2" width="12.42578125" style="145" customWidth="1"/>
    <col min="3" max="3" width="8.85546875" style="145"/>
    <col min="4" max="4" width="11.5703125" style="145" customWidth="1"/>
    <col min="5" max="5" width="39.28515625" style="145" bestFit="1" customWidth="1"/>
    <col min="6" max="6" width="11.42578125" style="145" bestFit="1" customWidth="1"/>
    <col min="7" max="8" width="17.28515625" style="145" bestFit="1" customWidth="1"/>
    <col min="9" max="9" width="16.85546875" style="145" customWidth="1"/>
    <col min="10" max="10" width="14" style="145" customWidth="1"/>
    <col min="11" max="11" width="16.85546875" style="145" customWidth="1"/>
    <col min="12" max="12" width="14" style="145" customWidth="1"/>
    <col min="13" max="13" width="13.85546875" style="145" bestFit="1" customWidth="1"/>
    <col min="14" max="14" width="10.85546875" style="145" bestFit="1" customWidth="1"/>
    <col min="15" max="15" width="19.140625" style="145" bestFit="1" customWidth="1"/>
    <col min="16" max="16" width="15.28515625" style="145" bestFit="1" customWidth="1"/>
    <col min="17" max="17" width="12.5703125" style="145" bestFit="1" customWidth="1"/>
    <col min="18" max="18" width="12.85546875" style="145" bestFit="1" customWidth="1"/>
    <col min="19" max="19" width="13.42578125" style="145" bestFit="1" customWidth="1"/>
    <col min="20" max="20" width="12.85546875" style="145" bestFit="1" customWidth="1"/>
    <col min="21" max="21" width="10.85546875" style="145" bestFit="1" customWidth="1"/>
    <col min="22" max="22" width="12.5703125" style="145" bestFit="1" customWidth="1"/>
    <col min="23" max="24" width="10.85546875" style="145" customWidth="1"/>
    <col min="25" max="25" width="12.42578125" style="145" bestFit="1" customWidth="1"/>
    <col min="26" max="26" width="25.28515625" style="145" bestFit="1" customWidth="1"/>
    <col min="27" max="27" width="88.28515625" style="145" customWidth="1"/>
    <col min="28" max="28" width="117.7109375" style="145" bestFit="1" customWidth="1"/>
    <col min="29" max="29" width="11.5703125" style="145" bestFit="1" customWidth="1"/>
    <col min="30" max="30" width="69.5703125" style="145" bestFit="1" customWidth="1"/>
    <col min="31" max="31" width="11.42578125" style="145" bestFit="1" customWidth="1"/>
    <col min="32" max="32" width="21.5703125" style="145" customWidth="1"/>
    <col min="33" max="33" width="19.42578125" style="145" bestFit="1" customWidth="1"/>
    <col min="34" max="39" width="14.42578125" style="145" customWidth="1"/>
    <col min="40" max="16384" width="8.85546875" style="145"/>
  </cols>
  <sheetData>
    <row r="2" spans="2:39" ht="41.1" customHeight="1">
      <c r="B2" s="916" t="s">
        <v>441</v>
      </c>
      <c r="C2" s="917"/>
      <c r="D2" s="917"/>
      <c r="E2" s="917"/>
      <c r="F2" s="917"/>
      <c r="G2" s="917"/>
      <c r="H2" s="917"/>
      <c r="I2" s="917"/>
      <c r="J2" s="917"/>
      <c r="K2" s="917"/>
      <c r="L2" s="917"/>
      <c r="M2" s="917"/>
      <c r="N2" s="917"/>
      <c r="O2" s="917"/>
      <c r="P2" s="917"/>
      <c r="Q2" s="917"/>
      <c r="R2" s="917"/>
      <c r="S2" s="917"/>
      <c r="T2" s="917"/>
      <c r="U2" s="917"/>
      <c r="V2" s="917"/>
      <c r="W2" s="917"/>
      <c r="X2" s="917"/>
      <c r="Y2" s="917"/>
      <c r="Z2" s="917"/>
      <c r="AA2" s="917"/>
      <c r="AB2" s="917"/>
      <c r="AC2" s="917"/>
      <c r="AD2" s="917"/>
      <c r="AF2" s="146"/>
      <c r="AG2" s="146"/>
    </row>
    <row r="3" spans="2:39" ht="17.100000000000001" hidden="1" customHeight="1">
      <c r="B3" s="943" t="s">
        <v>442</v>
      </c>
      <c r="C3" s="944"/>
      <c r="D3" s="940" t="s">
        <v>170</v>
      </c>
      <c r="E3" s="941"/>
      <c r="F3" s="942"/>
      <c r="G3" s="940" t="s">
        <v>184</v>
      </c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2"/>
      <c r="Y3" s="914" t="s">
        <v>171</v>
      </c>
      <c r="Z3" s="914" t="s">
        <v>245</v>
      </c>
      <c r="AA3" s="937" t="s">
        <v>443</v>
      </c>
      <c r="AB3" s="937" t="s">
        <v>444</v>
      </c>
      <c r="AC3" s="914" t="s">
        <v>246</v>
      </c>
      <c r="AD3" s="881" t="s">
        <v>172</v>
      </c>
      <c r="AF3" s="918" t="s">
        <v>247</v>
      </c>
      <c r="AG3" s="919"/>
      <c r="AH3" s="919"/>
      <c r="AI3" s="919"/>
      <c r="AJ3" s="919"/>
      <c r="AK3" s="919"/>
      <c r="AL3" s="919"/>
      <c r="AM3" s="920"/>
    </row>
    <row r="4" spans="2:39" ht="17.100000000000001" hidden="1" customHeight="1">
      <c r="B4" s="945"/>
      <c r="C4" s="946"/>
      <c r="D4" s="932" t="s">
        <v>169</v>
      </c>
      <c r="E4" s="940" t="s">
        <v>173</v>
      </c>
      <c r="F4" s="942"/>
      <c r="G4" s="940" t="s">
        <v>185</v>
      </c>
      <c r="H4" s="941"/>
      <c r="I4" s="941"/>
      <c r="J4" s="941"/>
      <c r="K4" s="941"/>
      <c r="L4" s="941"/>
      <c r="M4" s="941"/>
      <c r="N4" s="941"/>
      <c r="O4" s="941"/>
      <c r="P4" s="942"/>
      <c r="Q4" s="940" t="s">
        <v>174</v>
      </c>
      <c r="R4" s="941"/>
      <c r="S4" s="941"/>
      <c r="T4" s="941"/>
      <c r="U4" s="942"/>
      <c r="Y4" s="929"/>
      <c r="Z4" s="929"/>
      <c r="AA4" s="938"/>
      <c r="AB4" s="938"/>
      <c r="AC4" s="929"/>
      <c r="AD4" s="928"/>
      <c r="AF4" s="921"/>
      <c r="AG4" s="922"/>
      <c r="AH4" s="922"/>
      <c r="AI4" s="922"/>
      <c r="AJ4" s="922"/>
      <c r="AK4" s="922"/>
      <c r="AL4" s="922"/>
      <c r="AM4" s="923"/>
    </row>
    <row r="5" spans="2:39" ht="17.100000000000001" hidden="1" customHeight="1">
      <c r="B5" s="945"/>
      <c r="C5" s="946"/>
      <c r="D5" s="952"/>
      <c r="E5" s="932" t="s">
        <v>175</v>
      </c>
      <c r="F5" s="881" t="s">
        <v>248</v>
      </c>
      <c r="G5" s="949" t="s">
        <v>186</v>
      </c>
      <c r="H5" s="950"/>
      <c r="I5" s="950"/>
      <c r="J5" s="950"/>
      <c r="K5" s="950"/>
      <c r="L5" s="950"/>
      <c r="M5" s="950"/>
      <c r="N5" s="950"/>
      <c r="O5" s="950"/>
      <c r="P5" s="951"/>
      <c r="Q5" s="949" t="s">
        <v>168</v>
      </c>
      <c r="R5" s="951"/>
      <c r="S5" s="949" t="s">
        <v>176</v>
      </c>
      <c r="T5" s="950"/>
      <c r="U5" s="951"/>
      <c r="Y5" s="929"/>
      <c r="Z5" s="929"/>
      <c r="AA5" s="938"/>
      <c r="AB5" s="938"/>
      <c r="AC5" s="929"/>
      <c r="AD5" s="928"/>
      <c r="AF5" s="924"/>
      <c r="AG5" s="925"/>
      <c r="AH5" s="925"/>
      <c r="AI5" s="925"/>
      <c r="AJ5" s="925"/>
      <c r="AK5" s="925"/>
      <c r="AL5" s="925"/>
      <c r="AM5" s="926"/>
    </row>
    <row r="6" spans="2:39" ht="38.450000000000003" hidden="1" customHeight="1">
      <c r="B6" s="947"/>
      <c r="C6" s="948"/>
      <c r="D6" s="933"/>
      <c r="E6" s="933"/>
      <c r="F6" s="882"/>
      <c r="G6" s="362" t="s">
        <v>177</v>
      </c>
      <c r="H6" s="362" t="s">
        <v>252</v>
      </c>
      <c r="I6" s="439" t="s">
        <v>559</v>
      </c>
      <c r="J6" s="362" t="s">
        <v>560</v>
      </c>
      <c r="K6" s="362" t="s">
        <v>253</v>
      </c>
      <c r="L6" s="362" t="s">
        <v>178</v>
      </c>
      <c r="M6" s="362" t="s">
        <v>250</v>
      </c>
      <c r="N6" s="362" t="s">
        <v>179</v>
      </c>
      <c r="O6" s="362" t="s">
        <v>187</v>
      </c>
      <c r="P6" s="362" t="s">
        <v>180</v>
      </c>
      <c r="Q6" s="363" t="s">
        <v>181</v>
      </c>
      <c r="R6" s="363" t="s">
        <v>182</v>
      </c>
      <c r="S6" s="363" t="s">
        <v>181</v>
      </c>
      <c r="T6" s="363" t="s">
        <v>182</v>
      </c>
      <c r="U6" s="362" t="s">
        <v>183</v>
      </c>
      <c r="Y6" s="915"/>
      <c r="Z6" s="915"/>
      <c r="AA6" s="939"/>
      <c r="AB6" s="939"/>
      <c r="AC6" s="915"/>
      <c r="AD6" s="882"/>
      <c r="AF6" s="160" t="s">
        <v>244</v>
      </c>
      <c r="AG6" s="160" t="s">
        <v>445</v>
      </c>
      <c r="AH6" s="155" t="s">
        <v>383</v>
      </c>
      <c r="AI6" s="155" t="s">
        <v>337</v>
      </c>
      <c r="AJ6" s="155" t="s">
        <v>428</v>
      </c>
      <c r="AK6" s="155" t="s">
        <v>215</v>
      </c>
      <c r="AL6" s="155" t="s">
        <v>216</v>
      </c>
      <c r="AM6" s="155" t="s">
        <v>384</v>
      </c>
    </row>
    <row r="7" spans="2:39" s="147" customFormat="1" ht="27" hidden="1" customHeight="1">
      <c r="B7" s="927" t="s">
        <v>564</v>
      </c>
      <c r="C7" s="893"/>
      <c r="D7" s="361">
        <v>1</v>
      </c>
      <c r="E7" s="440" t="s">
        <v>448</v>
      </c>
      <c r="F7" s="441">
        <f>IFERROR(Q7*G7,"-")</f>
        <v>3932.2499999999995</v>
      </c>
      <c r="G7" s="365">
        <v>2.4499999999999997</v>
      </c>
      <c r="H7" s="442">
        <v>158641</v>
      </c>
      <c r="I7" s="442">
        <v>158641</v>
      </c>
      <c r="J7" s="444">
        <f>IFERROR(I7/H7,"-")</f>
        <v>1</v>
      </c>
      <c r="K7" s="443">
        <v>160246</v>
      </c>
      <c r="L7" s="444">
        <f>IFERROR(K7/H7,"-")</f>
        <v>1.0101171828215909</v>
      </c>
      <c r="M7" s="443">
        <v>0</v>
      </c>
      <c r="N7" s="444">
        <f>IFERROR(M7/H7,"-")</f>
        <v>0</v>
      </c>
      <c r="O7" s="445">
        <f>IFERROR(K7+M7,"-")</f>
        <v>160246</v>
      </c>
      <c r="P7" s="444">
        <f>IFERROR(O7/H7,"-")</f>
        <v>1.0101171828215909</v>
      </c>
      <c r="Q7" s="442">
        <v>1605</v>
      </c>
      <c r="R7" s="444">
        <f>IFERROR(Q7/H7,"-")</f>
        <v>1.0117182821590888E-2</v>
      </c>
      <c r="S7" s="445">
        <f>IFERROR(O7-H7,"-")</f>
        <v>1605</v>
      </c>
      <c r="T7" s="444">
        <f>IFERROR(S7/H7,"-")</f>
        <v>1.0117182821590888E-2</v>
      </c>
      <c r="U7" s="364">
        <f>IFERROR(S7*G7,"-")</f>
        <v>3932.2499999999995</v>
      </c>
      <c r="Y7" s="366" t="s">
        <v>417</v>
      </c>
      <c r="Z7" s="366" t="s">
        <v>337</v>
      </c>
      <c r="AA7" s="367" t="s">
        <v>467</v>
      </c>
      <c r="AB7" s="367" t="s">
        <v>468</v>
      </c>
      <c r="AC7" s="367">
        <v>1</v>
      </c>
      <c r="AD7" s="446" t="s">
        <v>340</v>
      </c>
      <c r="AE7" s="368" t="s">
        <v>446</v>
      </c>
      <c r="AF7" s="374">
        <f>SUM(AC7:AC26)</f>
        <v>20</v>
      </c>
      <c r="AG7" s="369">
        <f t="shared" ref="AG7:AM7" si="0">SUMIF($Z$7:$Z$26,TRIM(AG6),$AC$7:$AC$26)</f>
        <v>10</v>
      </c>
      <c r="AH7" s="369">
        <f t="shared" si="0"/>
        <v>0</v>
      </c>
      <c r="AI7" s="369">
        <f t="shared" si="0"/>
        <v>7</v>
      </c>
      <c r="AJ7" s="369">
        <f t="shared" si="0"/>
        <v>0</v>
      </c>
      <c r="AK7" s="369">
        <f t="shared" si="0"/>
        <v>1</v>
      </c>
      <c r="AL7" s="369">
        <f t="shared" si="0"/>
        <v>2</v>
      </c>
      <c r="AM7" s="369">
        <f t="shared" si="0"/>
        <v>0</v>
      </c>
    </row>
    <row r="8" spans="2:39" s="147" customFormat="1" ht="27" hidden="1" customHeight="1">
      <c r="B8" s="894"/>
      <c r="C8" s="895"/>
      <c r="D8" s="361">
        <v>2</v>
      </c>
      <c r="E8" s="440" t="s">
        <v>447</v>
      </c>
      <c r="F8" s="441">
        <f t="shared" ref="F8:F26" si="1">IFERROR(Q8*G8,"-")</f>
        <v>3452.6699999999996</v>
      </c>
      <c r="G8" s="365">
        <v>1.17</v>
      </c>
      <c r="H8" s="442">
        <v>299533</v>
      </c>
      <c r="I8" s="442">
        <v>299533</v>
      </c>
      <c r="J8" s="444">
        <f t="shared" ref="J8:J26" si="2">IFERROR(I8/H8,"-")</f>
        <v>1</v>
      </c>
      <c r="K8" s="443">
        <v>302484</v>
      </c>
      <c r="L8" s="444">
        <f t="shared" ref="L8:L26" si="3">IFERROR(K8/H8,"-")</f>
        <v>1.0098520029512608</v>
      </c>
      <c r="M8" s="443">
        <v>0</v>
      </c>
      <c r="N8" s="444">
        <f t="shared" ref="N8:N26" si="4">IFERROR(M8/H8,"-")</f>
        <v>0</v>
      </c>
      <c r="O8" s="445">
        <f t="shared" ref="O8:O26" si="5">IFERROR(K8+M8,"-")</f>
        <v>302484</v>
      </c>
      <c r="P8" s="444">
        <f t="shared" ref="P8:P26" si="6">IFERROR(O8/H8,"-")</f>
        <v>1.0098520029512608</v>
      </c>
      <c r="Q8" s="442">
        <v>2951</v>
      </c>
      <c r="R8" s="444">
        <f t="shared" ref="R8:R26" si="7">IFERROR(Q8/H8,"-")</f>
        <v>9.8520029512607962E-3</v>
      </c>
      <c r="S8" s="445">
        <f t="shared" ref="S8:S26" si="8">IFERROR(O8-H8,"-")</f>
        <v>2951</v>
      </c>
      <c r="T8" s="444">
        <f t="shared" ref="T8:T26" si="9">IFERROR(S8/H8,"-")</f>
        <v>9.8520029512607962E-3</v>
      </c>
      <c r="U8" s="364">
        <f t="shared" ref="U8:U26" si="10">IFERROR(S8*G8,"-")</f>
        <v>3452.6699999999996</v>
      </c>
      <c r="Y8" s="366" t="s">
        <v>417</v>
      </c>
      <c r="Z8" s="366" t="s">
        <v>337</v>
      </c>
      <c r="AA8" s="367" t="s">
        <v>469</v>
      </c>
      <c r="AB8" s="367" t="s">
        <v>526</v>
      </c>
      <c r="AC8" s="367">
        <v>1</v>
      </c>
      <c r="AD8" s="446" t="s">
        <v>340</v>
      </c>
      <c r="AF8" s="375"/>
      <c r="AG8" s="372">
        <f>SUMIF($Z7:$Z$26,TRIM(AG6),$F$7:$F$26)</f>
        <v>13087.2803</v>
      </c>
      <c r="AH8" s="372">
        <f>SUMIF($Z7:$Z$26,TRIM(AH6),$F$7:$F$26)</f>
        <v>0</v>
      </c>
      <c r="AI8" s="372">
        <f>SUMIF($Z7:$Z$26,TRIM(AI6),$F$7:$F$26)</f>
        <v>16114.2778</v>
      </c>
      <c r="AJ8" s="372">
        <f>SUMIF($Z7:$Z$26,TRIM(AJ6),$F$7:$F$26)</f>
        <v>0</v>
      </c>
      <c r="AK8" s="372">
        <f>SUMIF($Z7:$Z$26,TRIM(AK6),$F$7:$F$26)</f>
        <v>1444.8140000000005</v>
      </c>
      <c r="AL8" s="372">
        <f>SUMIF($Z7:$Z$26,TRIM(AL6),$F$7:$F$26)</f>
        <v>4810.9979999999996</v>
      </c>
      <c r="AM8" s="372">
        <f>SUMIF($Z7:$Z$26,TRIM(AM6),$F$7:$F$26)</f>
        <v>0</v>
      </c>
    </row>
    <row r="9" spans="2:39" s="147" customFormat="1" ht="27" hidden="1" customHeight="1">
      <c r="B9" s="894"/>
      <c r="C9" s="895"/>
      <c r="D9" s="361">
        <v>3</v>
      </c>
      <c r="E9" s="440" t="s">
        <v>335</v>
      </c>
      <c r="F9" s="441">
        <f t="shared" si="1"/>
        <v>3306.3</v>
      </c>
      <c r="G9" s="365">
        <v>15.450000000000001</v>
      </c>
      <c r="H9" s="442">
        <v>67490</v>
      </c>
      <c r="I9" s="442">
        <v>67490</v>
      </c>
      <c r="J9" s="444">
        <f t="shared" si="2"/>
        <v>1</v>
      </c>
      <c r="K9" s="443">
        <v>67704</v>
      </c>
      <c r="L9" s="444">
        <f t="shared" si="3"/>
        <v>1.0031708401244628</v>
      </c>
      <c r="M9" s="443">
        <v>0</v>
      </c>
      <c r="N9" s="444">
        <f t="shared" si="4"/>
        <v>0</v>
      </c>
      <c r="O9" s="445">
        <f t="shared" si="5"/>
        <v>67704</v>
      </c>
      <c r="P9" s="444">
        <f t="shared" si="6"/>
        <v>1.0031708401244628</v>
      </c>
      <c r="Q9" s="442">
        <v>214</v>
      </c>
      <c r="R9" s="444">
        <f t="shared" si="7"/>
        <v>3.1708401244628834E-3</v>
      </c>
      <c r="S9" s="445">
        <f t="shared" si="8"/>
        <v>214</v>
      </c>
      <c r="T9" s="444">
        <f t="shared" si="9"/>
        <v>3.1708401244628834E-3</v>
      </c>
      <c r="U9" s="364">
        <f t="shared" si="10"/>
        <v>3306.3</v>
      </c>
      <c r="Y9" s="366" t="s">
        <v>417</v>
      </c>
      <c r="Z9" s="366" t="s">
        <v>216</v>
      </c>
      <c r="AA9" s="367" t="s">
        <v>466</v>
      </c>
      <c r="AB9" s="367" t="s">
        <v>569</v>
      </c>
      <c r="AC9" s="367">
        <v>1</v>
      </c>
      <c r="AD9" s="446" t="s">
        <v>523</v>
      </c>
      <c r="AF9" s="361"/>
      <c r="AG9" s="373">
        <f t="shared" ref="AG9:AM9" si="11">AG7/$AF7</f>
        <v>0.5</v>
      </c>
      <c r="AH9" s="373">
        <f t="shared" si="11"/>
        <v>0</v>
      </c>
      <c r="AI9" s="373">
        <f t="shared" si="11"/>
        <v>0.35</v>
      </c>
      <c r="AJ9" s="373">
        <f t="shared" si="11"/>
        <v>0</v>
      </c>
      <c r="AK9" s="373">
        <f t="shared" si="11"/>
        <v>0.05</v>
      </c>
      <c r="AL9" s="373">
        <f t="shared" si="11"/>
        <v>0.1</v>
      </c>
      <c r="AM9" s="373">
        <f t="shared" si="11"/>
        <v>0</v>
      </c>
    </row>
    <row r="10" spans="2:39" s="147" customFormat="1" ht="27" hidden="1" customHeight="1">
      <c r="B10" s="894"/>
      <c r="C10" s="895"/>
      <c r="D10" s="361">
        <v>4</v>
      </c>
      <c r="E10" s="440" t="s">
        <v>461</v>
      </c>
      <c r="F10" s="441">
        <f t="shared" si="1"/>
        <v>2711.4710000000005</v>
      </c>
      <c r="G10" s="365">
        <v>407.74000000000007</v>
      </c>
      <c r="H10" s="442">
        <v>1204.5999999999999</v>
      </c>
      <c r="I10" s="442">
        <v>1204.5999999999999</v>
      </c>
      <c r="J10" s="444">
        <f t="shared" si="2"/>
        <v>1</v>
      </c>
      <c r="K10" s="443">
        <v>1220.3599999999999</v>
      </c>
      <c r="L10" s="444">
        <f t="shared" si="3"/>
        <v>1.0130831811389673</v>
      </c>
      <c r="M10" s="443">
        <v>15.76</v>
      </c>
      <c r="N10" s="444">
        <f t="shared" si="4"/>
        <v>1.3083181138967294E-2</v>
      </c>
      <c r="O10" s="445">
        <f t="shared" si="5"/>
        <v>1236.1199999999999</v>
      </c>
      <c r="P10" s="444">
        <f t="shared" si="6"/>
        <v>1.0261663622779347</v>
      </c>
      <c r="Q10" s="442">
        <v>6.65</v>
      </c>
      <c r="R10" s="444">
        <f t="shared" si="7"/>
        <v>5.5205047318611991E-3</v>
      </c>
      <c r="S10" s="445">
        <f t="shared" si="8"/>
        <v>31.519999999999982</v>
      </c>
      <c r="T10" s="444">
        <f t="shared" si="9"/>
        <v>2.616636227793457E-2</v>
      </c>
      <c r="U10" s="364">
        <f t="shared" si="10"/>
        <v>12851.964799999994</v>
      </c>
      <c r="Y10" s="366" t="s">
        <v>417</v>
      </c>
      <c r="Z10" s="366" t="s">
        <v>337</v>
      </c>
      <c r="AA10" s="367" t="s">
        <v>586</v>
      </c>
      <c r="AB10" s="380" t="s">
        <v>587</v>
      </c>
      <c r="AC10" s="367">
        <v>1</v>
      </c>
      <c r="AD10" s="446" t="s">
        <v>463</v>
      </c>
    </row>
    <row r="11" spans="2:39" s="147" customFormat="1" ht="27" hidden="1" customHeight="1">
      <c r="B11" s="894"/>
      <c r="C11" s="895"/>
      <c r="D11" s="361">
        <v>5</v>
      </c>
      <c r="E11" s="440" t="s">
        <v>386</v>
      </c>
      <c r="F11" s="441">
        <f t="shared" si="1"/>
        <v>2536.3456000000006</v>
      </c>
      <c r="G11" s="365">
        <v>127.84000000000002</v>
      </c>
      <c r="H11" s="442">
        <v>4439.49</v>
      </c>
      <c r="I11" s="442">
        <v>4439.49</v>
      </c>
      <c r="J11" s="444">
        <f t="shared" si="2"/>
        <v>1</v>
      </c>
      <c r="K11" s="443">
        <v>4531.1400000000003</v>
      </c>
      <c r="L11" s="444">
        <f t="shared" si="3"/>
        <v>1.0206442631923938</v>
      </c>
      <c r="M11" s="443">
        <v>91.65</v>
      </c>
      <c r="N11" s="444">
        <f t="shared" si="4"/>
        <v>2.0644263192393722E-2</v>
      </c>
      <c r="O11" s="445">
        <f t="shared" si="5"/>
        <v>4622.79</v>
      </c>
      <c r="P11" s="444">
        <f t="shared" si="6"/>
        <v>1.0412885263847875</v>
      </c>
      <c r="Q11" s="442">
        <v>19.840000000000003</v>
      </c>
      <c r="R11" s="444">
        <f t="shared" si="7"/>
        <v>4.4689817974587183E-3</v>
      </c>
      <c r="S11" s="445">
        <f t="shared" si="8"/>
        <v>183.30000000000018</v>
      </c>
      <c r="T11" s="444">
        <f t="shared" si="9"/>
        <v>4.1288526384787486E-2</v>
      </c>
      <c r="U11" s="364">
        <f t="shared" si="10"/>
        <v>23433.072000000026</v>
      </c>
      <c r="Y11" s="366" t="s">
        <v>417</v>
      </c>
      <c r="Z11" s="366" t="s">
        <v>445</v>
      </c>
      <c r="AA11" s="367" t="s">
        <v>570</v>
      </c>
      <c r="AB11" s="367" t="s">
        <v>571</v>
      </c>
      <c r="AC11" s="367">
        <v>1</v>
      </c>
      <c r="AD11" s="446" t="s">
        <v>340</v>
      </c>
    </row>
    <row r="12" spans="2:39" s="147" customFormat="1" ht="27" hidden="1" customHeight="1">
      <c r="B12" s="894"/>
      <c r="C12" s="895"/>
      <c r="D12" s="361">
        <v>6</v>
      </c>
      <c r="E12" s="440" t="s">
        <v>581</v>
      </c>
      <c r="F12" s="441">
        <f t="shared" si="1"/>
        <v>2040.97</v>
      </c>
      <c r="G12" s="365">
        <v>24.59</v>
      </c>
      <c r="H12" s="442">
        <v>16803</v>
      </c>
      <c r="I12" s="442">
        <v>16803</v>
      </c>
      <c r="J12" s="444">
        <f t="shared" si="2"/>
        <v>1</v>
      </c>
      <c r="K12" s="443">
        <v>16886</v>
      </c>
      <c r="L12" s="444">
        <f t="shared" si="3"/>
        <v>1.0049395941200976</v>
      </c>
      <c r="M12" s="443">
        <v>0</v>
      </c>
      <c r="N12" s="444">
        <f t="shared" si="4"/>
        <v>0</v>
      </c>
      <c r="O12" s="445">
        <f t="shared" si="5"/>
        <v>16886</v>
      </c>
      <c r="P12" s="444">
        <f t="shared" si="6"/>
        <v>1.0049395941200976</v>
      </c>
      <c r="Q12" s="442">
        <v>83</v>
      </c>
      <c r="R12" s="444">
        <f t="shared" si="7"/>
        <v>4.9395941200976014E-3</v>
      </c>
      <c r="S12" s="445">
        <f t="shared" si="8"/>
        <v>83</v>
      </c>
      <c r="T12" s="444">
        <f t="shared" si="9"/>
        <v>4.9395941200976014E-3</v>
      </c>
      <c r="U12" s="364">
        <f t="shared" si="10"/>
        <v>2040.97</v>
      </c>
      <c r="Y12" s="366" t="s">
        <v>417</v>
      </c>
      <c r="Z12" s="366" t="s">
        <v>337</v>
      </c>
      <c r="AA12" s="367" t="s">
        <v>585</v>
      </c>
      <c r="AB12" s="367" t="s">
        <v>603</v>
      </c>
      <c r="AC12" s="367">
        <v>1</v>
      </c>
      <c r="AD12" s="446" t="s">
        <v>566</v>
      </c>
    </row>
    <row r="13" spans="2:39" s="147" customFormat="1" ht="27" hidden="1" customHeight="1">
      <c r="B13" s="894"/>
      <c r="C13" s="895"/>
      <c r="D13" s="361">
        <v>7</v>
      </c>
      <c r="E13" s="440" t="s">
        <v>462</v>
      </c>
      <c r="F13" s="441">
        <f t="shared" si="1"/>
        <v>1786.2537000000002</v>
      </c>
      <c r="G13" s="365">
        <v>160.49</v>
      </c>
      <c r="H13" s="442">
        <v>699.3</v>
      </c>
      <c r="I13" s="442">
        <v>699.3</v>
      </c>
      <c r="J13" s="444">
        <f t="shared" si="2"/>
        <v>1</v>
      </c>
      <c r="K13" s="443">
        <v>721.76</v>
      </c>
      <c r="L13" s="444">
        <f t="shared" si="3"/>
        <v>1.0321178321178321</v>
      </c>
      <c r="M13" s="443">
        <v>19.940000000000001</v>
      </c>
      <c r="N13" s="444">
        <f t="shared" si="4"/>
        <v>2.8514228514228517E-2</v>
      </c>
      <c r="O13" s="445">
        <f t="shared" si="5"/>
        <v>741.7</v>
      </c>
      <c r="P13" s="444">
        <f t="shared" si="6"/>
        <v>1.0606320606320607</v>
      </c>
      <c r="Q13" s="442">
        <v>11.13</v>
      </c>
      <c r="R13" s="444">
        <f t="shared" si="7"/>
        <v>1.5915915915915919E-2</v>
      </c>
      <c r="S13" s="445">
        <f t="shared" si="8"/>
        <v>42.400000000000091</v>
      </c>
      <c r="T13" s="444">
        <f t="shared" si="9"/>
        <v>6.0632060632060766E-2</v>
      </c>
      <c r="U13" s="364">
        <f t="shared" si="10"/>
        <v>6804.7760000000153</v>
      </c>
      <c r="Y13" s="366" t="s">
        <v>417</v>
      </c>
      <c r="Z13" s="366" t="s">
        <v>445</v>
      </c>
      <c r="AA13" s="367" t="s">
        <v>527</v>
      </c>
      <c r="AB13" s="367" t="s">
        <v>455</v>
      </c>
      <c r="AC13" s="367">
        <v>1</v>
      </c>
      <c r="AD13" s="446" t="s">
        <v>433</v>
      </c>
      <c r="AH13" s="370"/>
    </row>
    <row r="14" spans="2:39" s="147" customFormat="1" ht="27" hidden="1" customHeight="1">
      <c r="B14" s="894"/>
      <c r="C14" s="895"/>
      <c r="D14" s="361">
        <v>8</v>
      </c>
      <c r="E14" s="440" t="s">
        <v>459</v>
      </c>
      <c r="F14" s="441">
        <f t="shared" si="1"/>
        <v>1550.7967999999996</v>
      </c>
      <c r="G14" s="365">
        <v>605.77999999999986</v>
      </c>
      <c r="H14" s="442">
        <v>1046.28</v>
      </c>
      <c r="I14" s="442">
        <v>1046.28</v>
      </c>
      <c r="J14" s="444">
        <f t="shared" si="2"/>
        <v>1</v>
      </c>
      <c r="K14" s="443">
        <v>1062.83</v>
      </c>
      <c r="L14" s="444">
        <f t="shared" si="3"/>
        <v>1.0158179454830447</v>
      </c>
      <c r="M14" s="443">
        <v>16.549999999999997</v>
      </c>
      <c r="N14" s="444">
        <f t="shared" si="4"/>
        <v>1.5817945483044691E-2</v>
      </c>
      <c r="O14" s="445">
        <f t="shared" si="5"/>
        <v>1079.3799999999999</v>
      </c>
      <c r="P14" s="444">
        <f t="shared" si="6"/>
        <v>1.0316358909660892</v>
      </c>
      <c r="Q14" s="442">
        <v>2.56</v>
      </c>
      <c r="R14" s="444">
        <f t="shared" si="7"/>
        <v>2.4467637726038921E-3</v>
      </c>
      <c r="S14" s="445">
        <f t="shared" si="8"/>
        <v>33.099999999999909</v>
      </c>
      <c r="T14" s="444">
        <f t="shared" si="9"/>
        <v>3.1635890966089299E-2</v>
      </c>
      <c r="U14" s="364">
        <f t="shared" si="10"/>
        <v>20051.317999999941</v>
      </c>
      <c r="Y14" s="366" t="s">
        <v>417</v>
      </c>
      <c r="Z14" s="366" t="s">
        <v>337</v>
      </c>
      <c r="AA14" s="367" t="s">
        <v>586</v>
      </c>
      <c r="AB14" s="380" t="s">
        <v>587</v>
      </c>
      <c r="AC14" s="367">
        <v>1</v>
      </c>
      <c r="AD14" s="446" t="s">
        <v>342</v>
      </c>
      <c r="AH14" s="370"/>
    </row>
    <row r="15" spans="2:39" s="147" customFormat="1" ht="27" hidden="1" customHeight="1">
      <c r="B15" s="894"/>
      <c r="C15" s="895"/>
      <c r="D15" s="361">
        <v>9</v>
      </c>
      <c r="E15" s="440" t="s">
        <v>534</v>
      </c>
      <c r="F15" s="441">
        <f t="shared" si="1"/>
        <v>1504.6979999999999</v>
      </c>
      <c r="G15" s="365">
        <v>39.389999999999993</v>
      </c>
      <c r="H15" s="442">
        <v>38623.35</v>
      </c>
      <c r="I15" s="442">
        <v>38623.35</v>
      </c>
      <c r="J15" s="444">
        <f t="shared" si="2"/>
        <v>1</v>
      </c>
      <c r="K15" s="443">
        <v>38954.090000000004</v>
      </c>
      <c r="L15" s="444">
        <f t="shared" si="3"/>
        <v>1.0085632137036276</v>
      </c>
      <c r="M15" s="443">
        <v>330.74</v>
      </c>
      <c r="N15" s="444">
        <f t="shared" si="4"/>
        <v>8.5632137036274689E-3</v>
      </c>
      <c r="O15" s="445">
        <f t="shared" si="5"/>
        <v>39284.83</v>
      </c>
      <c r="P15" s="444">
        <f t="shared" si="6"/>
        <v>1.0171264274072551</v>
      </c>
      <c r="Q15" s="442">
        <v>38.200000000000003</v>
      </c>
      <c r="R15" s="444">
        <f t="shared" si="7"/>
        <v>9.8903901396435066E-4</v>
      </c>
      <c r="S15" s="445">
        <f t="shared" si="8"/>
        <v>661.4800000000032</v>
      </c>
      <c r="T15" s="444">
        <f t="shared" si="9"/>
        <v>1.7126427407255021E-2</v>
      </c>
      <c r="U15" s="364">
        <f t="shared" si="10"/>
        <v>26055.697200000122</v>
      </c>
      <c r="Y15" s="366" t="s">
        <v>417</v>
      </c>
      <c r="Z15" s="366" t="s">
        <v>216</v>
      </c>
      <c r="AA15" s="380" t="s">
        <v>572</v>
      </c>
      <c r="AB15" s="367" t="s">
        <v>569</v>
      </c>
      <c r="AC15" s="367">
        <v>1</v>
      </c>
      <c r="AD15" s="446" t="s">
        <v>340</v>
      </c>
      <c r="AH15" s="370"/>
    </row>
    <row r="16" spans="2:39" s="147" customFormat="1" ht="27" hidden="1" customHeight="1">
      <c r="B16" s="894"/>
      <c r="C16" s="895"/>
      <c r="D16" s="361">
        <v>10</v>
      </c>
      <c r="E16" s="440" t="s">
        <v>336</v>
      </c>
      <c r="F16" s="441">
        <f t="shared" si="1"/>
        <v>1444.8140000000005</v>
      </c>
      <c r="G16" s="365">
        <v>147.43000000000004</v>
      </c>
      <c r="H16" s="442">
        <v>5035.0899999999992</v>
      </c>
      <c r="I16" s="442">
        <v>5035.0899999999992</v>
      </c>
      <c r="J16" s="444">
        <f t="shared" si="2"/>
        <v>1</v>
      </c>
      <c r="K16" s="443">
        <v>5146.2</v>
      </c>
      <c r="L16" s="444">
        <f t="shared" si="3"/>
        <v>1.0220671328615776</v>
      </c>
      <c r="M16" s="443">
        <v>111.11000000000001</v>
      </c>
      <c r="N16" s="444">
        <f t="shared" si="4"/>
        <v>2.2067132861577455E-2</v>
      </c>
      <c r="O16" s="445">
        <f t="shared" si="5"/>
        <v>5257.3099999999995</v>
      </c>
      <c r="P16" s="444">
        <f t="shared" si="6"/>
        <v>1.0441342657231549</v>
      </c>
      <c r="Q16" s="442">
        <v>9.8000000000000007</v>
      </c>
      <c r="R16" s="444">
        <f t="shared" si="7"/>
        <v>1.9463405817969496E-3</v>
      </c>
      <c r="S16" s="445">
        <f t="shared" si="8"/>
        <v>222.22000000000025</v>
      </c>
      <c r="T16" s="444">
        <f t="shared" si="9"/>
        <v>4.4134265723154958E-2</v>
      </c>
      <c r="U16" s="364">
        <f t="shared" si="10"/>
        <v>32761.894600000047</v>
      </c>
      <c r="Y16" s="366" t="s">
        <v>417</v>
      </c>
      <c r="Z16" s="366" t="s">
        <v>215</v>
      </c>
      <c r="AA16" s="367" t="s">
        <v>602</v>
      </c>
      <c r="AB16" s="367" t="s">
        <v>569</v>
      </c>
      <c r="AC16" s="367">
        <v>1</v>
      </c>
      <c r="AD16" s="446" t="s">
        <v>340</v>
      </c>
      <c r="AH16" s="370"/>
    </row>
    <row r="17" spans="2:39" s="147" customFormat="1" ht="27" hidden="1" customHeight="1">
      <c r="B17" s="894"/>
      <c r="C17" s="895"/>
      <c r="D17" s="361">
        <v>11</v>
      </c>
      <c r="E17" s="440" t="s">
        <v>475</v>
      </c>
      <c r="F17" s="441">
        <f t="shared" si="1"/>
        <v>1278.9310999999998</v>
      </c>
      <c r="G17" s="365">
        <v>118.30999999999997</v>
      </c>
      <c r="H17" s="442">
        <v>825.54</v>
      </c>
      <c r="I17" s="442">
        <v>825.54</v>
      </c>
      <c r="J17" s="444">
        <f t="shared" si="2"/>
        <v>1</v>
      </c>
      <c r="K17" s="443">
        <v>847.87</v>
      </c>
      <c r="L17" s="444">
        <f t="shared" si="3"/>
        <v>1.0270489618916103</v>
      </c>
      <c r="M17" s="443">
        <v>17.03</v>
      </c>
      <c r="N17" s="444">
        <f t="shared" si="4"/>
        <v>2.0628921675509365E-2</v>
      </c>
      <c r="O17" s="445">
        <f t="shared" si="5"/>
        <v>864.9</v>
      </c>
      <c r="P17" s="444">
        <f t="shared" si="6"/>
        <v>1.0476778835671197</v>
      </c>
      <c r="Q17" s="442">
        <v>10.81</v>
      </c>
      <c r="R17" s="444">
        <f t="shared" si="7"/>
        <v>1.3094459384160671E-2</v>
      </c>
      <c r="S17" s="445">
        <f t="shared" si="8"/>
        <v>39.360000000000014</v>
      </c>
      <c r="T17" s="444">
        <f t="shared" si="9"/>
        <v>4.7677883567119723E-2</v>
      </c>
      <c r="U17" s="364">
        <f t="shared" si="10"/>
        <v>4656.6816000000008</v>
      </c>
      <c r="Y17" s="366" t="s">
        <v>417</v>
      </c>
      <c r="Z17" s="366" t="s">
        <v>445</v>
      </c>
      <c r="AA17" s="367" t="s">
        <v>546</v>
      </c>
      <c r="AB17" s="367" t="s">
        <v>454</v>
      </c>
      <c r="AC17" s="367">
        <v>1</v>
      </c>
      <c r="AD17" s="446" t="s">
        <v>472</v>
      </c>
      <c r="AH17" s="370"/>
    </row>
    <row r="18" spans="2:39" s="147" customFormat="1" ht="27" hidden="1" customHeight="1">
      <c r="B18" s="894"/>
      <c r="C18" s="895"/>
      <c r="D18" s="361">
        <v>12</v>
      </c>
      <c r="E18" s="440" t="s">
        <v>582</v>
      </c>
      <c r="F18" s="441">
        <f t="shared" si="1"/>
        <v>1236.24</v>
      </c>
      <c r="G18" s="365">
        <v>24.240000000000002</v>
      </c>
      <c r="H18" s="442">
        <v>20191</v>
      </c>
      <c r="I18" s="442">
        <v>20191</v>
      </c>
      <c r="J18" s="444">
        <f t="shared" si="2"/>
        <v>1</v>
      </c>
      <c r="K18" s="443">
        <v>20242</v>
      </c>
      <c r="L18" s="444">
        <f t="shared" si="3"/>
        <v>1.0025258778663761</v>
      </c>
      <c r="M18" s="443">
        <v>0</v>
      </c>
      <c r="N18" s="444">
        <f t="shared" si="4"/>
        <v>0</v>
      </c>
      <c r="O18" s="445">
        <f t="shared" si="5"/>
        <v>20242</v>
      </c>
      <c r="P18" s="444">
        <f t="shared" si="6"/>
        <v>1.0025258778663761</v>
      </c>
      <c r="Q18" s="442">
        <v>51</v>
      </c>
      <c r="R18" s="444">
        <f t="shared" si="7"/>
        <v>2.5258778663761082E-3</v>
      </c>
      <c r="S18" s="445">
        <f t="shared" si="8"/>
        <v>51</v>
      </c>
      <c r="T18" s="444">
        <f t="shared" si="9"/>
        <v>2.5258778663761082E-3</v>
      </c>
      <c r="U18" s="364">
        <f t="shared" si="10"/>
        <v>1236.24</v>
      </c>
      <c r="Y18" s="366" t="s">
        <v>417</v>
      </c>
      <c r="Z18" s="366" t="s">
        <v>337</v>
      </c>
      <c r="AA18" s="367" t="s">
        <v>588</v>
      </c>
      <c r="AB18" s="367" t="s">
        <v>589</v>
      </c>
      <c r="AC18" s="367">
        <v>1</v>
      </c>
      <c r="AD18" s="446" t="s">
        <v>580</v>
      </c>
    </row>
    <row r="19" spans="2:39" s="147" customFormat="1" ht="27" hidden="1" customHeight="1">
      <c r="B19" s="894"/>
      <c r="C19" s="895"/>
      <c r="D19" s="361">
        <v>13</v>
      </c>
      <c r="E19" s="440" t="s">
        <v>474</v>
      </c>
      <c r="F19" s="441">
        <f t="shared" si="1"/>
        <v>1224.0359999999998</v>
      </c>
      <c r="G19" s="365">
        <v>84.3</v>
      </c>
      <c r="H19" s="442">
        <v>1341.0100000000002</v>
      </c>
      <c r="I19" s="442">
        <v>1341.0100000000002</v>
      </c>
      <c r="J19" s="444">
        <f t="shared" si="2"/>
        <v>1</v>
      </c>
      <c r="K19" s="443">
        <v>1392</v>
      </c>
      <c r="L19" s="444">
        <f t="shared" si="3"/>
        <v>1.038023579242511</v>
      </c>
      <c r="M19" s="443">
        <v>46.290000000000006</v>
      </c>
      <c r="N19" s="444">
        <f t="shared" si="4"/>
        <v>3.4518758249379201E-2</v>
      </c>
      <c r="O19" s="445">
        <f t="shared" si="5"/>
        <v>1438.29</v>
      </c>
      <c r="P19" s="444">
        <f t="shared" si="6"/>
        <v>1.0725423374918903</v>
      </c>
      <c r="Q19" s="442">
        <v>14.52</v>
      </c>
      <c r="R19" s="444">
        <f t="shared" si="7"/>
        <v>1.0827659748995157E-2</v>
      </c>
      <c r="S19" s="445">
        <f t="shared" si="8"/>
        <v>97.279999999999745</v>
      </c>
      <c r="T19" s="444">
        <f t="shared" si="9"/>
        <v>7.2542337491890235E-2</v>
      </c>
      <c r="U19" s="364">
        <f t="shared" si="10"/>
        <v>8200.7039999999779</v>
      </c>
      <c r="Y19" s="366" t="s">
        <v>417</v>
      </c>
      <c r="Z19" s="366" t="s">
        <v>445</v>
      </c>
      <c r="AA19" s="367" t="s">
        <v>479</v>
      </c>
      <c r="AB19" s="367" t="s">
        <v>590</v>
      </c>
      <c r="AC19" s="367">
        <v>1</v>
      </c>
      <c r="AD19" s="446" t="s">
        <v>473</v>
      </c>
    </row>
    <row r="20" spans="2:39" s="147" customFormat="1" ht="27" hidden="1" customHeight="1">
      <c r="B20" s="894"/>
      <c r="C20" s="895"/>
      <c r="D20" s="361">
        <v>14</v>
      </c>
      <c r="E20" s="440" t="s">
        <v>598</v>
      </c>
      <c r="F20" s="441">
        <f t="shared" si="1"/>
        <v>1189.8800000000001</v>
      </c>
      <c r="G20" s="365">
        <v>6.04</v>
      </c>
      <c r="H20" s="442">
        <v>9310</v>
      </c>
      <c r="I20" s="442">
        <v>9310</v>
      </c>
      <c r="J20" s="444">
        <f t="shared" si="2"/>
        <v>1</v>
      </c>
      <c r="K20" s="443">
        <v>9507</v>
      </c>
      <c r="L20" s="444">
        <f t="shared" si="3"/>
        <v>1.0211600429645542</v>
      </c>
      <c r="M20" s="443">
        <v>0</v>
      </c>
      <c r="N20" s="444">
        <f t="shared" si="4"/>
        <v>0</v>
      </c>
      <c r="O20" s="445">
        <f t="shared" si="5"/>
        <v>9507</v>
      </c>
      <c r="P20" s="444">
        <f t="shared" si="6"/>
        <v>1.0211600429645542</v>
      </c>
      <c r="Q20" s="442">
        <v>197</v>
      </c>
      <c r="R20" s="444">
        <f t="shared" si="7"/>
        <v>2.1160042964554242E-2</v>
      </c>
      <c r="S20" s="445">
        <f t="shared" si="8"/>
        <v>197</v>
      </c>
      <c r="T20" s="444">
        <f t="shared" si="9"/>
        <v>2.1160042964554242E-2</v>
      </c>
      <c r="U20" s="364">
        <f t="shared" si="10"/>
        <v>1189.8800000000001</v>
      </c>
      <c r="Y20" s="366" t="s">
        <v>417</v>
      </c>
      <c r="Z20" s="366" t="s">
        <v>337</v>
      </c>
      <c r="AA20" s="366" t="s">
        <v>604</v>
      </c>
      <c r="AB20" s="367" t="s">
        <v>605</v>
      </c>
      <c r="AC20" s="367">
        <v>1</v>
      </c>
      <c r="AD20" s="446" t="s">
        <v>508</v>
      </c>
    </row>
    <row r="21" spans="2:39" s="147" customFormat="1" ht="27" hidden="1" customHeight="1">
      <c r="B21" s="894"/>
      <c r="C21" s="895"/>
      <c r="D21" s="361">
        <v>15</v>
      </c>
      <c r="E21" s="440" t="s">
        <v>476</v>
      </c>
      <c r="F21" s="441">
        <f t="shared" si="1"/>
        <v>1061.9531999999999</v>
      </c>
      <c r="G21" s="365">
        <v>421.40999999999997</v>
      </c>
      <c r="H21" s="442">
        <v>214.66</v>
      </c>
      <c r="I21" s="442">
        <v>214.66</v>
      </c>
      <c r="J21" s="444">
        <f t="shared" si="2"/>
        <v>1</v>
      </c>
      <c r="K21" s="443">
        <v>221.85999999999996</v>
      </c>
      <c r="L21" s="444">
        <f t="shared" si="3"/>
        <v>1.0335414143296373</v>
      </c>
      <c r="M21" s="443">
        <v>6.12</v>
      </c>
      <c r="N21" s="444">
        <f t="shared" si="4"/>
        <v>2.8510202180191933E-2</v>
      </c>
      <c r="O21" s="445">
        <f t="shared" si="5"/>
        <v>227.97999999999996</v>
      </c>
      <c r="P21" s="444">
        <f t="shared" si="6"/>
        <v>1.0620516165098293</v>
      </c>
      <c r="Q21" s="442">
        <v>2.52</v>
      </c>
      <c r="R21" s="444">
        <f t="shared" si="7"/>
        <v>1.1739495015373148E-2</v>
      </c>
      <c r="S21" s="445">
        <f t="shared" si="8"/>
        <v>13.319999999999965</v>
      </c>
      <c r="T21" s="444">
        <f t="shared" si="9"/>
        <v>6.2051616509829335E-2</v>
      </c>
      <c r="U21" s="364">
        <f t="shared" si="10"/>
        <v>5613.1811999999845</v>
      </c>
      <c r="Y21" s="366" t="s">
        <v>417</v>
      </c>
      <c r="Z21" s="366" t="s">
        <v>445</v>
      </c>
      <c r="AA21" s="367" t="s">
        <v>621</v>
      </c>
      <c r="AB21" s="367" t="s">
        <v>569</v>
      </c>
      <c r="AC21" s="367">
        <v>1</v>
      </c>
      <c r="AD21" s="446" t="s">
        <v>440</v>
      </c>
    </row>
    <row r="22" spans="2:39" s="147" customFormat="1" ht="27" hidden="1" customHeight="1">
      <c r="B22" s="894"/>
      <c r="C22" s="895"/>
      <c r="D22" s="361">
        <v>16</v>
      </c>
      <c r="E22" s="440" t="s">
        <v>483</v>
      </c>
      <c r="F22" s="441">
        <f t="shared" si="1"/>
        <v>1055.9534999999996</v>
      </c>
      <c r="G22" s="365">
        <v>370.50999999999993</v>
      </c>
      <c r="H22" s="442">
        <v>397.08000000000004</v>
      </c>
      <c r="I22" s="442">
        <v>397.08000000000004</v>
      </c>
      <c r="J22" s="444">
        <f t="shared" si="2"/>
        <v>1</v>
      </c>
      <c r="K22" s="443">
        <v>408.84000000000003</v>
      </c>
      <c r="L22" s="444">
        <f t="shared" si="3"/>
        <v>1.0296161982472045</v>
      </c>
      <c r="M22" s="443">
        <v>11.759999999999998</v>
      </c>
      <c r="N22" s="444">
        <f t="shared" si="4"/>
        <v>2.9616198247204586E-2</v>
      </c>
      <c r="O22" s="445">
        <f t="shared" si="5"/>
        <v>420.6</v>
      </c>
      <c r="P22" s="444">
        <f t="shared" si="6"/>
        <v>1.059232396494409</v>
      </c>
      <c r="Q22" s="442">
        <v>2.8499999999999996</v>
      </c>
      <c r="R22" s="444">
        <f t="shared" si="7"/>
        <v>7.1773949833786625E-3</v>
      </c>
      <c r="S22" s="445">
        <f t="shared" si="8"/>
        <v>23.519999999999982</v>
      </c>
      <c r="T22" s="444">
        <f t="shared" si="9"/>
        <v>5.9232396494409138E-2</v>
      </c>
      <c r="U22" s="364">
        <f t="shared" si="10"/>
        <v>8714.3951999999917</v>
      </c>
      <c r="Y22" s="366" t="s">
        <v>417</v>
      </c>
      <c r="Z22" s="366" t="s">
        <v>445</v>
      </c>
      <c r="AA22" s="367" t="s">
        <v>622</v>
      </c>
      <c r="AB22" s="367" t="s">
        <v>569</v>
      </c>
      <c r="AC22" s="367">
        <v>1</v>
      </c>
      <c r="AD22" s="446" t="s">
        <v>353</v>
      </c>
    </row>
    <row r="23" spans="2:39" s="147" customFormat="1" ht="27" hidden="1" customHeight="1">
      <c r="B23" s="894"/>
      <c r="C23" s="895"/>
      <c r="D23" s="361">
        <v>17</v>
      </c>
      <c r="E23" s="440" t="s">
        <v>599</v>
      </c>
      <c r="F23" s="441">
        <f t="shared" si="1"/>
        <v>1044.9264000000001</v>
      </c>
      <c r="G23" s="365">
        <v>153.44000000000003</v>
      </c>
      <c r="H23" s="442">
        <v>2546.5</v>
      </c>
      <c r="I23" s="442">
        <v>2546.5</v>
      </c>
      <c r="J23" s="444">
        <f t="shared" si="2"/>
        <v>1</v>
      </c>
      <c r="K23" s="443">
        <v>2580.71</v>
      </c>
      <c r="L23" s="444">
        <f t="shared" si="3"/>
        <v>1.0134341252699783</v>
      </c>
      <c r="M23" s="443">
        <v>34.21</v>
      </c>
      <c r="N23" s="444">
        <f t="shared" si="4"/>
        <v>1.3434125269978402E-2</v>
      </c>
      <c r="O23" s="445">
        <f t="shared" si="5"/>
        <v>2614.92</v>
      </c>
      <c r="P23" s="444">
        <f t="shared" si="6"/>
        <v>1.0268682505399569</v>
      </c>
      <c r="Q23" s="442">
        <v>6.81</v>
      </c>
      <c r="R23" s="444">
        <f t="shared" si="7"/>
        <v>2.6742587865698016E-3</v>
      </c>
      <c r="S23" s="445">
        <f t="shared" si="8"/>
        <v>68.420000000000073</v>
      </c>
      <c r="T23" s="444">
        <f t="shared" si="9"/>
        <v>2.6868250539956832E-2</v>
      </c>
      <c r="U23" s="364">
        <f t="shared" si="10"/>
        <v>10498.364800000012</v>
      </c>
      <c r="Y23" s="366" t="s">
        <v>417</v>
      </c>
      <c r="Z23" s="366" t="s">
        <v>445</v>
      </c>
      <c r="AA23" s="367" t="s">
        <v>527</v>
      </c>
      <c r="AB23" s="367" t="s">
        <v>455</v>
      </c>
      <c r="AC23" s="367">
        <v>1</v>
      </c>
      <c r="AD23" s="446" t="s">
        <v>465</v>
      </c>
    </row>
    <row r="24" spans="2:39" s="147" customFormat="1" ht="27" hidden="1" customHeight="1">
      <c r="B24" s="894"/>
      <c r="C24" s="895"/>
      <c r="D24" s="361">
        <v>18</v>
      </c>
      <c r="E24" s="440" t="s">
        <v>438</v>
      </c>
      <c r="F24" s="441">
        <f t="shared" si="1"/>
        <v>1040.6252999999999</v>
      </c>
      <c r="G24" s="365">
        <v>181.60999999999999</v>
      </c>
      <c r="H24" s="442">
        <v>464.32</v>
      </c>
      <c r="I24" s="442">
        <v>464.32</v>
      </c>
      <c r="J24" s="444">
        <f t="shared" si="2"/>
        <v>1</v>
      </c>
      <c r="K24" s="443">
        <v>484.01</v>
      </c>
      <c r="L24" s="444">
        <f t="shared" si="3"/>
        <v>1.0424060992419022</v>
      </c>
      <c r="M24" s="443">
        <v>19.690000000000001</v>
      </c>
      <c r="N24" s="444">
        <f t="shared" si="4"/>
        <v>4.240609924190214E-2</v>
      </c>
      <c r="O24" s="445">
        <f t="shared" si="5"/>
        <v>503.7</v>
      </c>
      <c r="P24" s="444">
        <f t="shared" si="6"/>
        <v>1.0848121984838042</v>
      </c>
      <c r="Q24" s="442">
        <v>5.73</v>
      </c>
      <c r="R24" s="444">
        <f t="shared" si="7"/>
        <v>1.2340627153687113E-2</v>
      </c>
      <c r="S24" s="445">
        <f t="shared" si="8"/>
        <v>39.379999999999995</v>
      </c>
      <c r="T24" s="444">
        <f t="shared" si="9"/>
        <v>8.4812198483804266E-2</v>
      </c>
      <c r="U24" s="364">
        <f t="shared" si="10"/>
        <v>7151.8017999999984</v>
      </c>
      <c r="Y24" s="366" t="s">
        <v>417</v>
      </c>
      <c r="Z24" s="366" t="s">
        <v>445</v>
      </c>
      <c r="AA24" s="367" t="s">
        <v>546</v>
      </c>
      <c r="AB24" s="367" t="s">
        <v>454</v>
      </c>
      <c r="AC24" s="367">
        <v>1</v>
      </c>
      <c r="AD24" s="446" t="s">
        <v>437</v>
      </c>
    </row>
    <row r="25" spans="2:39" s="147" customFormat="1" ht="27" hidden="1" customHeight="1">
      <c r="B25" s="894"/>
      <c r="C25" s="895"/>
      <c r="D25" s="361">
        <v>19</v>
      </c>
      <c r="E25" s="440" t="s">
        <v>600</v>
      </c>
      <c r="F25" s="441">
        <f t="shared" si="1"/>
        <v>1030.7355</v>
      </c>
      <c r="G25" s="365">
        <v>413.94999999999993</v>
      </c>
      <c r="H25" s="442">
        <v>545.73</v>
      </c>
      <c r="I25" s="442">
        <v>545.73</v>
      </c>
      <c r="J25" s="444">
        <f t="shared" si="2"/>
        <v>1</v>
      </c>
      <c r="K25" s="443">
        <v>558.84</v>
      </c>
      <c r="L25" s="444">
        <f t="shared" si="3"/>
        <v>1.0240228684514321</v>
      </c>
      <c r="M25" s="443">
        <v>12.41</v>
      </c>
      <c r="N25" s="444">
        <f t="shared" si="4"/>
        <v>2.2740182874315135E-2</v>
      </c>
      <c r="O25" s="445">
        <f t="shared" si="5"/>
        <v>571.25</v>
      </c>
      <c r="P25" s="444">
        <f t="shared" si="6"/>
        <v>1.0467630513257471</v>
      </c>
      <c r="Q25" s="442">
        <v>2.4900000000000002</v>
      </c>
      <c r="R25" s="444">
        <f t="shared" si="7"/>
        <v>4.5626958386015062E-3</v>
      </c>
      <c r="S25" s="445">
        <f t="shared" si="8"/>
        <v>25.519999999999982</v>
      </c>
      <c r="T25" s="444">
        <f t="shared" si="9"/>
        <v>4.6763051325747131E-2</v>
      </c>
      <c r="U25" s="364">
        <f t="shared" si="10"/>
        <v>10564.00399999999</v>
      </c>
      <c r="V25" s="145"/>
      <c r="W25" s="145"/>
      <c r="X25" s="145"/>
      <c r="Y25" s="366" t="s">
        <v>417</v>
      </c>
      <c r="Z25" s="366" t="s">
        <v>445</v>
      </c>
      <c r="AA25" s="367" t="s">
        <v>527</v>
      </c>
      <c r="AB25" s="367" t="s">
        <v>455</v>
      </c>
      <c r="AC25" s="367">
        <v>1</v>
      </c>
      <c r="AD25" s="446" t="s">
        <v>597</v>
      </c>
      <c r="AG25" s="371"/>
      <c r="AH25" s="370"/>
    </row>
    <row r="26" spans="2:39" s="147" customFormat="1" ht="27" hidden="1" customHeight="1">
      <c r="B26" s="896"/>
      <c r="C26" s="897"/>
      <c r="D26" s="361">
        <v>20</v>
      </c>
      <c r="E26" s="440" t="s">
        <v>618</v>
      </c>
      <c r="F26" s="441">
        <f t="shared" si="1"/>
        <v>1027.52</v>
      </c>
      <c r="G26" s="365">
        <v>2.08</v>
      </c>
      <c r="H26" s="442">
        <v>47604</v>
      </c>
      <c r="I26" s="442">
        <v>47604</v>
      </c>
      <c r="J26" s="444">
        <f t="shared" si="2"/>
        <v>1</v>
      </c>
      <c r="K26" s="443">
        <v>48098</v>
      </c>
      <c r="L26" s="444">
        <f t="shared" si="3"/>
        <v>1.0103772792202337</v>
      </c>
      <c r="M26" s="443">
        <v>0</v>
      </c>
      <c r="N26" s="444">
        <f t="shared" si="4"/>
        <v>0</v>
      </c>
      <c r="O26" s="445">
        <f t="shared" si="5"/>
        <v>48098</v>
      </c>
      <c r="P26" s="444">
        <f t="shared" si="6"/>
        <v>1.0103772792202337</v>
      </c>
      <c r="Q26" s="442">
        <v>494</v>
      </c>
      <c r="R26" s="444">
        <f t="shared" si="7"/>
        <v>1.0377279220233593E-2</v>
      </c>
      <c r="S26" s="445">
        <f t="shared" si="8"/>
        <v>494</v>
      </c>
      <c r="T26" s="444">
        <f t="shared" si="9"/>
        <v>1.0377279220233593E-2</v>
      </c>
      <c r="U26" s="364">
        <f t="shared" si="10"/>
        <v>1027.52</v>
      </c>
      <c r="V26" s="145"/>
      <c r="W26" s="145"/>
      <c r="X26" s="145"/>
      <c r="Y26" s="366" t="s">
        <v>417</v>
      </c>
      <c r="Z26" s="366" t="s">
        <v>445</v>
      </c>
      <c r="AA26" s="367" t="s">
        <v>623</v>
      </c>
      <c r="AB26" s="367" t="s">
        <v>605</v>
      </c>
      <c r="AC26" s="367">
        <v>1</v>
      </c>
      <c r="AD26" s="446" t="s">
        <v>530</v>
      </c>
      <c r="AG26" s="371"/>
      <c r="AH26" s="370"/>
    </row>
    <row r="27" spans="2:39" ht="17.100000000000001" hidden="1" customHeight="1">
      <c r="B27" s="930" t="s">
        <v>442</v>
      </c>
      <c r="C27" s="931"/>
      <c r="D27" s="932" t="s">
        <v>549</v>
      </c>
      <c r="E27" s="934" t="s">
        <v>550</v>
      </c>
      <c r="F27" s="881" t="s">
        <v>551</v>
      </c>
      <c r="G27" s="881" t="s">
        <v>552</v>
      </c>
      <c r="H27" s="905" t="s">
        <v>553</v>
      </c>
      <c r="I27" s="906" t="s">
        <v>554</v>
      </c>
      <c r="J27" s="907"/>
      <c r="K27" s="906" t="s">
        <v>555</v>
      </c>
      <c r="L27" s="907"/>
      <c r="M27" s="906" t="s">
        <v>556</v>
      </c>
      <c r="N27" s="907"/>
      <c r="O27" s="906" t="s">
        <v>557</v>
      </c>
      <c r="P27" s="907"/>
      <c r="Q27" s="906" t="s">
        <v>418</v>
      </c>
      <c r="R27" s="907"/>
      <c r="S27" s="908" t="s">
        <v>419</v>
      </c>
      <c r="T27" s="909"/>
      <c r="U27" s="910"/>
      <c r="Y27" s="914" t="s">
        <v>171</v>
      </c>
      <c r="Z27" s="914" t="s">
        <v>245</v>
      </c>
      <c r="AA27" s="914" t="s">
        <v>558</v>
      </c>
      <c r="AB27" s="914" t="s">
        <v>444</v>
      </c>
      <c r="AC27" s="914" t="s">
        <v>246</v>
      </c>
      <c r="AD27" s="881" t="s">
        <v>172</v>
      </c>
      <c r="AF27" s="883" t="s">
        <v>247</v>
      </c>
      <c r="AG27" s="884"/>
      <c r="AH27" s="884"/>
      <c r="AI27" s="884"/>
      <c r="AJ27" s="884"/>
      <c r="AK27" s="884"/>
      <c r="AL27" s="884"/>
      <c r="AM27" s="885"/>
    </row>
    <row r="28" spans="2:39" hidden="1">
      <c r="B28" s="900"/>
      <c r="C28" s="901"/>
      <c r="D28" s="933"/>
      <c r="E28" s="935"/>
      <c r="F28" s="882"/>
      <c r="G28" s="882"/>
      <c r="H28" s="936"/>
      <c r="I28" s="439" t="s">
        <v>559</v>
      </c>
      <c r="J28" s="362" t="s">
        <v>560</v>
      </c>
      <c r="K28" s="439" t="s">
        <v>559</v>
      </c>
      <c r="L28" s="362" t="s">
        <v>560</v>
      </c>
      <c r="M28" s="439" t="s">
        <v>559</v>
      </c>
      <c r="N28" s="362" t="s">
        <v>560</v>
      </c>
      <c r="O28" s="439" t="s">
        <v>559</v>
      </c>
      <c r="P28" s="362" t="s">
        <v>560</v>
      </c>
      <c r="Q28" s="439" t="s">
        <v>559</v>
      </c>
      <c r="R28" s="362" t="s">
        <v>560</v>
      </c>
      <c r="S28" s="439" t="s">
        <v>559</v>
      </c>
      <c r="T28" s="362" t="s">
        <v>560</v>
      </c>
      <c r="U28" s="362" t="s">
        <v>561</v>
      </c>
      <c r="Y28" s="915"/>
      <c r="Z28" s="915"/>
      <c r="AA28" s="915"/>
      <c r="AB28" s="915"/>
      <c r="AC28" s="915"/>
      <c r="AD28" s="882"/>
      <c r="AF28" s="886"/>
      <c r="AG28" s="887"/>
      <c r="AH28" s="887"/>
      <c r="AI28" s="887"/>
      <c r="AJ28" s="887"/>
      <c r="AK28" s="887"/>
      <c r="AL28" s="887"/>
      <c r="AM28" s="888"/>
    </row>
    <row r="29" spans="2:39" s="147" customFormat="1" ht="27" hidden="1" customHeight="1">
      <c r="B29" s="927" t="s">
        <v>625</v>
      </c>
      <c r="C29" s="893"/>
      <c r="D29" s="361">
        <v>1</v>
      </c>
      <c r="E29" s="440" t="s">
        <v>335</v>
      </c>
      <c r="F29" s="441">
        <f>IFERROR(Q29*G29,"-")</f>
        <v>3275.4</v>
      </c>
      <c r="G29" s="365">
        <v>15.450000000000001</v>
      </c>
      <c r="H29" s="442">
        <v>78076</v>
      </c>
      <c r="I29" s="442">
        <v>78076</v>
      </c>
      <c r="J29" s="444">
        <f>IFERROR(I29/H29,"-")</f>
        <v>1</v>
      </c>
      <c r="K29" s="443">
        <v>78289</v>
      </c>
      <c r="L29" s="444">
        <f>IFERROR(K29/H29,"-")</f>
        <v>1.0027281110712638</v>
      </c>
      <c r="M29" s="443">
        <v>0</v>
      </c>
      <c r="N29" s="444">
        <f>IFERROR(M29/H29,"-")</f>
        <v>0</v>
      </c>
      <c r="O29" s="445">
        <f>IFERROR(K29+M29,"-")</f>
        <v>78289</v>
      </c>
      <c r="P29" s="444">
        <f>IFERROR(O29/H29,"-")</f>
        <v>1.0027281110712638</v>
      </c>
      <c r="Q29" s="442">
        <v>212</v>
      </c>
      <c r="R29" s="444">
        <f>IFERROR(Q29/H29,"-")</f>
        <v>2.7153030380654745E-3</v>
      </c>
      <c r="S29" s="445">
        <f>IFERROR(O29-H29,"-")</f>
        <v>213</v>
      </c>
      <c r="T29" s="444">
        <f>IFERROR(S29/H29,"-")</f>
        <v>2.7281110712638968E-3</v>
      </c>
      <c r="U29" s="364">
        <f>IFERROR(S29*G29,"-")</f>
        <v>3290.8500000000004</v>
      </c>
      <c r="V29" s="145"/>
      <c r="W29" s="145"/>
      <c r="X29" s="145"/>
      <c r="Y29" s="366" t="s">
        <v>417</v>
      </c>
      <c r="Z29" s="366" t="s">
        <v>216</v>
      </c>
      <c r="AA29" s="367" t="s">
        <v>466</v>
      </c>
      <c r="AB29" s="367" t="s">
        <v>569</v>
      </c>
      <c r="AC29" s="367">
        <v>1</v>
      </c>
      <c r="AD29" s="446" t="s">
        <v>523</v>
      </c>
      <c r="AF29" s="889"/>
      <c r="AG29" s="890"/>
      <c r="AH29" s="890"/>
      <c r="AI29" s="890"/>
      <c r="AJ29" s="890"/>
      <c r="AK29" s="890"/>
      <c r="AL29" s="890"/>
      <c r="AM29" s="891"/>
    </row>
    <row r="30" spans="2:39" s="147" customFormat="1" ht="27" hidden="1" customHeight="1">
      <c r="B30" s="894"/>
      <c r="C30" s="895"/>
      <c r="D30" s="361">
        <v>2</v>
      </c>
      <c r="E30" s="440" t="s">
        <v>448</v>
      </c>
      <c r="F30" s="441">
        <f t="shared" ref="F30:F48" si="12">IFERROR(Q30*G30,"-")</f>
        <v>3268.2999999999997</v>
      </c>
      <c r="G30" s="365">
        <v>2.4499999999999997</v>
      </c>
      <c r="H30" s="442">
        <v>150466</v>
      </c>
      <c r="I30" s="442">
        <v>150466</v>
      </c>
      <c r="J30" s="444">
        <f t="shared" ref="J30:J48" si="13">IFERROR(I30/H30,"-")</f>
        <v>1</v>
      </c>
      <c r="K30" s="443">
        <v>151800</v>
      </c>
      <c r="L30" s="444">
        <f t="shared" ref="L30:L48" si="14">IFERROR(K30/H30,"-")</f>
        <v>1.0088657902782023</v>
      </c>
      <c r="M30" s="443">
        <v>0</v>
      </c>
      <c r="N30" s="444">
        <f t="shared" ref="N30:N48" si="15">IFERROR(M30/H30,"-")</f>
        <v>0</v>
      </c>
      <c r="O30" s="445">
        <f t="shared" ref="O30:O48" si="16">IFERROR(K30+M30,"-")</f>
        <v>151800</v>
      </c>
      <c r="P30" s="444">
        <f t="shared" ref="P30:P48" si="17">IFERROR(O30/H30,"-")</f>
        <v>1.0088657902782023</v>
      </c>
      <c r="Q30" s="442">
        <v>1334</v>
      </c>
      <c r="R30" s="444">
        <f t="shared" ref="R30:R48" si="18">IFERROR(Q30/H30,"-")</f>
        <v>8.8657902782023849E-3</v>
      </c>
      <c r="S30" s="445">
        <f t="shared" ref="S30:S48" si="19">IFERROR(O30-H30,"-")</f>
        <v>1334</v>
      </c>
      <c r="T30" s="444">
        <f t="shared" ref="T30:T48" si="20">IFERROR(S30/H30,"-")</f>
        <v>8.8657902782023849E-3</v>
      </c>
      <c r="U30" s="364">
        <f t="shared" ref="U30:U48" si="21">IFERROR(S30*G30,"-")</f>
        <v>3268.2999999999997</v>
      </c>
      <c r="V30" s="145"/>
      <c r="W30" s="145"/>
      <c r="X30" s="145"/>
      <c r="Y30" s="366" t="s">
        <v>417</v>
      </c>
      <c r="Z30" s="366" t="s">
        <v>337</v>
      </c>
      <c r="AA30" s="367" t="s">
        <v>467</v>
      </c>
      <c r="AB30" s="367" t="s">
        <v>468</v>
      </c>
      <c r="AC30" s="367">
        <v>1</v>
      </c>
      <c r="AD30" s="446" t="s">
        <v>340</v>
      </c>
      <c r="AF30" s="160" t="s">
        <v>244</v>
      </c>
      <c r="AG30" s="160" t="s">
        <v>445</v>
      </c>
      <c r="AH30" s="155" t="s">
        <v>562</v>
      </c>
      <c r="AI30" s="155" t="s">
        <v>337</v>
      </c>
      <c r="AJ30" s="155" t="s">
        <v>428</v>
      </c>
      <c r="AK30" s="155" t="s">
        <v>215</v>
      </c>
      <c r="AL30" s="155" t="s">
        <v>216</v>
      </c>
      <c r="AM30" s="155" t="s">
        <v>384</v>
      </c>
    </row>
    <row r="31" spans="2:39" s="147" customFormat="1" ht="27" hidden="1" customHeight="1">
      <c r="B31" s="894"/>
      <c r="C31" s="895"/>
      <c r="D31" s="361">
        <v>3</v>
      </c>
      <c r="E31" s="440" t="s">
        <v>447</v>
      </c>
      <c r="F31" s="441">
        <f t="shared" si="12"/>
        <v>2833.74</v>
      </c>
      <c r="G31" s="365">
        <v>1.17</v>
      </c>
      <c r="H31" s="442">
        <v>285494</v>
      </c>
      <c r="I31" s="442">
        <v>285494</v>
      </c>
      <c r="J31" s="444">
        <f t="shared" si="13"/>
        <v>1</v>
      </c>
      <c r="K31" s="443">
        <v>287916</v>
      </c>
      <c r="L31" s="444">
        <f t="shared" si="14"/>
        <v>1.0084835408099644</v>
      </c>
      <c r="M31" s="443">
        <v>0</v>
      </c>
      <c r="N31" s="444">
        <f t="shared" si="15"/>
        <v>0</v>
      </c>
      <c r="O31" s="445">
        <f t="shared" si="16"/>
        <v>287916</v>
      </c>
      <c r="P31" s="444">
        <f t="shared" si="17"/>
        <v>1.0084835408099644</v>
      </c>
      <c r="Q31" s="442">
        <v>2422</v>
      </c>
      <c r="R31" s="444">
        <f t="shared" si="18"/>
        <v>8.4835408099644821E-3</v>
      </c>
      <c r="S31" s="445">
        <f t="shared" si="19"/>
        <v>2422</v>
      </c>
      <c r="T31" s="444">
        <f t="shared" si="20"/>
        <v>8.4835408099644821E-3</v>
      </c>
      <c r="U31" s="364">
        <f t="shared" si="21"/>
        <v>2833.74</v>
      </c>
      <c r="V31" s="145"/>
      <c r="W31" s="145"/>
      <c r="X31" s="145"/>
      <c r="Y31" s="366" t="s">
        <v>417</v>
      </c>
      <c r="Z31" s="366" t="s">
        <v>337</v>
      </c>
      <c r="AA31" s="367" t="s">
        <v>469</v>
      </c>
      <c r="AB31" s="367" t="s">
        <v>526</v>
      </c>
      <c r="AC31" s="367">
        <v>1</v>
      </c>
      <c r="AD31" s="446" t="s">
        <v>340</v>
      </c>
      <c r="AF31" s="374">
        <f>SUM(AC29:AC48)</f>
        <v>20</v>
      </c>
      <c r="AG31" s="369">
        <f t="shared" ref="AG31:AM31" si="22">SUMIF($Z$29:$Z$48,TRIM(AG30),$AC$29:$AC$48)</f>
        <v>5</v>
      </c>
      <c r="AH31" s="369">
        <f t="shared" si="22"/>
        <v>0</v>
      </c>
      <c r="AI31" s="369">
        <f t="shared" si="22"/>
        <v>9</v>
      </c>
      <c r="AJ31" s="369">
        <f t="shared" si="22"/>
        <v>0</v>
      </c>
      <c r="AK31" s="369">
        <f t="shared" si="22"/>
        <v>1</v>
      </c>
      <c r="AL31" s="369">
        <f t="shared" si="22"/>
        <v>5</v>
      </c>
      <c r="AM31" s="369">
        <f t="shared" si="22"/>
        <v>0</v>
      </c>
    </row>
    <row r="32" spans="2:39" s="147" customFormat="1" ht="27" hidden="1" customHeight="1">
      <c r="B32" s="894"/>
      <c r="C32" s="895"/>
      <c r="D32" s="361">
        <v>4</v>
      </c>
      <c r="E32" s="440" t="s">
        <v>386</v>
      </c>
      <c r="F32" s="441">
        <f t="shared" si="12"/>
        <v>1752.6864000000003</v>
      </c>
      <c r="G32" s="365">
        <v>127.84000000000002</v>
      </c>
      <c r="H32" s="442">
        <v>4280.3500000000004</v>
      </c>
      <c r="I32" s="442">
        <v>4280.3500000000004</v>
      </c>
      <c r="J32" s="444">
        <f t="shared" si="13"/>
        <v>1</v>
      </c>
      <c r="K32" s="443">
        <v>4319.95</v>
      </c>
      <c r="L32" s="444">
        <f t="shared" si="14"/>
        <v>1.0092515798941675</v>
      </c>
      <c r="M32" s="443">
        <v>39.599999999999994</v>
      </c>
      <c r="N32" s="444">
        <f t="shared" si="15"/>
        <v>9.251579894167531E-3</v>
      </c>
      <c r="O32" s="445">
        <f t="shared" si="16"/>
        <v>4359.55</v>
      </c>
      <c r="P32" s="444">
        <f t="shared" si="17"/>
        <v>1.0185031597883349</v>
      </c>
      <c r="Q32" s="442">
        <v>13.71</v>
      </c>
      <c r="R32" s="444">
        <f t="shared" si="18"/>
        <v>3.2030090997231535E-3</v>
      </c>
      <c r="S32" s="445">
        <f t="shared" si="19"/>
        <v>79.199999999999818</v>
      </c>
      <c r="T32" s="444">
        <f t="shared" si="20"/>
        <v>1.850315978833502E-2</v>
      </c>
      <c r="U32" s="364">
        <f t="shared" si="21"/>
        <v>10124.927999999978</v>
      </c>
      <c r="V32" s="145"/>
      <c r="W32" s="145"/>
      <c r="X32" s="145"/>
      <c r="Y32" s="366" t="s">
        <v>417</v>
      </c>
      <c r="Z32" s="366" t="s">
        <v>445</v>
      </c>
      <c r="AA32" s="367" t="s">
        <v>570</v>
      </c>
      <c r="AB32" s="367" t="s">
        <v>571</v>
      </c>
      <c r="AC32" s="367">
        <v>1</v>
      </c>
      <c r="AD32" s="446" t="s">
        <v>340</v>
      </c>
      <c r="AF32" s="375" t="s">
        <v>11</v>
      </c>
      <c r="AG32" s="372">
        <f>SUMIF($Z$29:$Z48,TRIM(AG30),$F$29:$F$48)</f>
        <v>7264.2619999999997</v>
      </c>
      <c r="AH32" s="372">
        <f>SUMIF($Z$29:$Z48,TRIM(AH30),$F$29:$F$48)</f>
        <v>0</v>
      </c>
      <c r="AI32" s="372">
        <f>SUMIF($Z$29:$Z48,TRIM(AI30),$F$29:$F$48)</f>
        <v>15182.581999999999</v>
      </c>
      <c r="AJ32" s="372">
        <f>SUMIF($Z$29:$Z48,TRIM(AJ30),$F$29:$F$48)</f>
        <v>0</v>
      </c>
      <c r="AK32" s="372">
        <f>SUMIF($Z$29:$Z48,TRIM(AK30),$F$29:$F$48)</f>
        <v>1506.7346000000005</v>
      </c>
      <c r="AL32" s="372">
        <f>SUMIF($Z$29:$Z48,TRIM(AL30),$F$29:$F$48)</f>
        <v>8656.4228999999996</v>
      </c>
      <c r="AM32" s="372">
        <f>SUMIF($Z$29:$Z48,TRIM(AM30),$F$29:$F$48)</f>
        <v>0</v>
      </c>
    </row>
    <row r="33" spans="2:39" s="147" customFormat="1" ht="27" hidden="1" customHeight="1">
      <c r="B33" s="894"/>
      <c r="C33" s="895"/>
      <c r="D33" s="361">
        <v>5</v>
      </c>
      <c r="E33" s="440" t="s">
        <v>459</v>
      </c>
      <c r="F33" s="441">
        <f t="shared" si="12"/>
        <v>1647.7215999999994</v>
      </c>
      <c r="G33" s="365">
        <v>605.77999999999986</v>
      </c>
      <c r="H33" s="442">
        <v>1043.78</v>
      </c>
      <c r="I33" s="442">
        <v>1043.78</v>
      </c>
      <c r="J33" s="444">
        <f t="shared" si="13"/>
        <v>1</v>
      </c>
      <c r="K33" s="443">
        <v>1051.8799999999999</v>
      </c>
      <c r="L33" s="444">
        <f t="shared" si="14"/>
        <v>1.007760255992642</v>
      </c>
      <c r="M33" s="443">
        <v>7.0000000000000009</v>
      </c>
      <c r="N33" s="444">
        <f t="shared" si="15"/>
        <v>6.7063940677154201E-3</v>
      </c>
      <c r="O33" s="445">
        <f t="shared" si="16"/>
        <v>1058.8799999999999</v>
      </c>
      <c r="P33" s="444">
        <f t="shared" si="17"/>
        <v>1.0144666500603574</v>
      </c>
      <c r="Q33" s="442">
        <v>2.7199999999999998</v>
      </c>
      <c r="R33" s="444">
        <f t="shared" si="18"/>
        <v>2.6059131234551342E-3</v>
      </c>
      <c r="S33" s="445">
        <f t="shared" si="19"/>
        <v>15.099999999999909</v>
      </c>
      <c r="T33" s="444">
        <f t="shared" si="20"/>
        <v>1.446665006035746E-2</v>
      </c>
      <c r="U33" s="364">
        <f t="shared" si="21"/>
        <v>9147.277999999942</v>
      </c>
      <c r="V33" s="145"/>
      <c r="W33" s="145"/>
      <c r="X33" s="145"/>
      <c r="Y33" s="366" t="s">
        <v>417</v>
      </c>
      <c r="Z33" s="366" t="s">
        <v>337</v>
      </c>
      <c r="AA33" s="367" t="s">
        <v>586</v>
      </c>
      <c r="AB33" s="380" t="s">
        <v>587</v>
      </c>
      <c r="AC33" s="367">
        <v>1</v>
      </c>
      <c r="AD33" s="446" t="s">
        <v>342</v>
      </c>
      <c r="AF33" s="361" t="s">
        <v>563</v>
      </c>
      <c r="AG33" s="447">
        <f t="shared" ref="AG33:AM33" si="23">AG31/$AF31</f>
        <v>0.25</v>
      </c>
      <c r="AH33" s="447">
        <f t="shared" si="23"/>
        <v>0</v>
      </c>
      <c r="AI33" s="447">
        <f t="shared" si="23"/>
        <v>0.45</v>
      </c>
      <c r="AJ33" s="447">
        <f t="shared" si="23"/>
        <v>0</v>
      </c>
      <c r="AK33" s="447">
        <f t="shared" si="23"/>
        <v>0.05</v>
      </c>
      <c r="AL33" s="447">
        <f t="shared" si="23"/>
        <v>0.25</v>
      </c>
      <c r="AM33" s="447">
        <f t="shared" si="23"/>
        <v>0</v>
      </c>
    </row>
    <row r="34" spans="2:39" s="147" customFormat="1" ht="27" hidden="1" customHeight="1">
      <c r="B34" s="894"/>
      <c r="C34" s="895"/>
      <c r="D34" s="361">
        <v>6</v>
      </c>
      <c r="E34" s="440" t="s">
        <v>634</v>
      </c>
      <c r="F34" s="441">
        <f t="shared" si="12"/>
        <v>1585.211</v>
      </c>
      <c r="G34" s="365">
        <v>212.78</v>
      </c>
      <c r="H34" s="442">
        <v>908.13</v>
      </c>
      <c r="I34" s="442">
        <v>908.13</v>
      </c>
      <c r="J34" s="444">
        <f t="shared" si="13"/>
        <v>1</v>
      </c>
      <c r="K34" s="443">
        <v>933.74</v>
      </c>
      <c r="L34" s="444">
        <f t="shared" si="14"/>
        <v>1.0282008082543248</v>
      </c>
      <c r="M34" s="443">
        <v>25.61</v>
      </c>
      <c r="N34" s="444">
        <f t="shared" si="15"/>
        <v>2.8200808254324822E-2</v>
      </c>
      <c r="O34" s="445">
        <f t="shared" si="16"/>
        <v>959.35</v>
      </c>
      <c r="P34" s="444">
        <f t="shared" si="17"/>
        <v>1.0564016165086496</v>
      </c>
      <c r="Q34" s="442">
        <v>7.45</v>
      </c>
      <c r="R34" s="444">
        <f t="shared" si="18"/>
        <v>8.2036712805435355E-3</v>
      </c>
      <c r="S34" s="445">
        <f t="shared" si="19"/>
        <v>51.220000000000027</v>
      </c>
      <c r="T34" s="444">
        <f t="shared" si="20"/>
        <v>5.6401616508649673E-2</v>
      </c>
      <c r="U34" s="364">
        <f t="shared" si="21"/>
        <v>10898.591600000005</v>
      </c>
      <c r="V34" s="145"/>
      <c r="W34" s="145"/>
      <c r="X34" s="145"/>
      <c r="Y34" s="366" t="s">
        <v>417</v>
      </c>
      <c r="Z34" s="366" t="s">
        <v>445</v>
      </c>
      <c r="AA34" s="367" t="s">
        <v>546</v>
      </c>
      <c r="AB34" s="367" t="s">
        <v>454</v>
      </c>
      <c r="AC34" s="367">
        <v>1</v>
      </c>
      <c r="AD34" s="446" t="s">
        <v>630</v>
      </c>
    </row>
    <row r="35" spans="2:39" s="147" customFormat="1" ht="27" hidden="1" customHeight="1">
      <c r="B35" s="894"/>
      <c r="C35" s="895"/>
      <c r="D35" s="361">
        <v>7</v>
      </c>
      <c r="E35" s="440" t="s">
        <v>600</v>
      </c>
      <c r="F35" s="441">
        <f t="shared" si="12"/>
        <v>1519.1965</v>
      </c>
      <c r="G35" s="365">
        <v>413.94999999999993</v>
      </c>
      <c r="H35" s="442">
        <v>827.88999999999987</v>
      </c>
      <c r="I35" s="442">
        <v>827.88999999999987</v>
      </c>
      <c r="J35" s="444">
        <f t="shared" si="13"/>
        <v>1</v>
      </c>
      <c r="K35" s="443">
        <v>842.67</v>
      </c>
      <c r="L35" s="444">
        <f t="shared" si="14"/>
        <v>1.0178526132698789</v>
      </c>
      <c r="M35" s="443">
        <v>14.780000000000001</v>
      </c>
      <c r="N35" s="444">
        <f t="shared" si="15"/>
        <v>1.7852613269878852E-2</v>
      </c>
      <c r="O35" s="445">
        <f t="shared" si="16"/>
        <v>857.44999999999993</v>
      </c>
      <c r="P35" s="444">
        <f t="shared" si="17"/>
        <v>1.0357052265397577</v>
      </c>
      <c r="Q35" s="442">
        <v>3.6700000000000004</v>
      </c>
      <c r="R35" s="444">
        <f t="shared" si="18"/>
        <v>4.4329560690429901E-3</v>
      </c>
      <c r="S35" s="445">
        <f t="shared" si="19"/>
        <v>29.560000000000059</v>
      </c>
      <c r="T35" s="444">
        <f t="shared" si="20"/>
        <v>3.5705226539757773E-2</v>
      </c>
      <c r="U35" s="364">
        <f t="shared" si="21"/>
        <v>12236.362000000023</v>
      </c>
      <c r="V35" s="145"/>
      <c r="W35" s="145"/>
      <c r="X35" s="145"/>
      <c r="Y35" s="366" t="s">
        <v>417</v>
      </c>
      <c r="Z35" s="366" t="s">
        <v>445</v>
      </c>
      <c r="AA35" s="366" t="s">
        <v>643</v>
      </c>
      <c r="AB35" s="367" t="s">
        <v>454</v>
      </c>
      <c r="AC35" s="367">
        <v>1</v>
      </c>
      <c r="AD35" s="446" t="s">
        <v>340</v>
      </c>
    </row>
    <row r="36" spans="2:39" s="147" customFormat="1" ht="27" hidden="1" customHeight="1">
      <c r="B36" s="894"/>
      <c r="C36" s="895"/>
      <c r="D36" s="361">
        <v>8</v>
      </c>
      <c r="E36" s="440" t="s">
        <v>336</v>
      </c>
      <c r="F36" s="441">
        <f t="shared" si="12"/>
        <v>1506.7346000000005</v>
      </c>
      <c r="G36" s="365">
        <v>147.43000000000004</v>
      </c>
      <c r="H36" s="442">
        <v>4841.42</v>
      </c>
      <c r="I36" s="442">
        <v>4841.42</v>
      </c>
      <c r="J36" s="444">
        <f t="shared" si="13"/>
        <v>1</v>
      </c>
      <c r="K36" s="443">
        <v>4924.6100000000006</v>
      </c>
      <c r="L36" s="444">
        <f t="shared" si="14"/>
        <v>1.0171829752428008</v>
      </c>
      <c r="M36" s="443">
        <v>83.190000000000012</v>
      </c>
      <c r="N36" s="444">
        <f t="shared" si="15"/>
        <v>1.7182975242800668E-2</v>
      </c>
      <c r="O36" s="445">
        <f t="shared" si="16"/>
        <v>5007.8</v>
      </c>
      <c r="P36" s="444">
        <f t="shared" si="17"/>
        <v>1.0343659504856013</v>
      </c>
      <c r="Q36" s="442">
        <v>10.220000000000001</v>
      </c>
      <c r="R36" s="444">
        <f t="shared" si="18"/>
        <v>2.1109509193583701E-3</v>
      </c>
      <c r="S36" s="445">
        <f t="shared" si="19"/>
        <v>166.38000000000011</v>
      </c>
      <c r="T36" s="444">
        <f t="shared" si="20"/>
        <v>3.4365950485601357E-2</v>
      </c>
      <c r="U36" s="364">
        <f t="shared" si="21"/>
        <v>24529.403400000021</v>
      </c>
      <c r="V36" s="145"/>
      <c r="W36" s="145"/>
      <c r="X36" s="145"/>
      <c r="Y36" s="366" t="s">
        <v>417</v>
      </c>
      <c r="Z36" s="366" t="s">
        <v>215</v>
      </c>
      <c r="AA36" s="367" t="s">
        <v>602</v>
      </c>
      <c r="AB36" s="367" t="s">
        <v>569</v>
      </c>
      <c r="AC36" s="367">
        <v>1</v>
      </c>
      <c r="AD36" s="446" t="s">
        <v>340</v>
      </c>
    </row>
    <row r="37" spans="2:39" s="147" customFormat="1" ht="27" hidden="1" customHeight="1">
      <c r="B37" s="894"/>
      <c r="C37" s="895"/>
      <c r="D37" s="361">
        <v>9</v>
      </c>
      <c r="E37" s="440" t="s">
        <v>581</v>
      </c>
      <c r="F37" s="441">
        <f t="shared" si="12"/>
        <v>1475.4</v>
      </c>
      <c r="G37" s="365">
        <v>24.59</v>
      </c>
      <c r="H37" s="442">
        <v>16625</v>
      </c>
      <c r="I37" s="442">
        <v>16625</v>
      </c>
      <c r="J37" s="444">
        <f t="shared" si="13"/>
        <v>1</v>
      </c>
      <c r="K37" s="443">
        <v>16685</v>
      </c>
      <c r="L37" s="444">
        <f t="shared" si="14"/>
        <v>1.003609022556391</v>
      </c>
      <c r="M37" s="443">
        <v>0</v>
      </c>
      <c r="N37" s="444">
        <f t="shared" si="15"/>
        <v>0</v>
      </c>
      <c r="O37" s="445">
        <f t="shared" si="16"/>
        <v>16685</v>
      </c>
      <c r="P37" s="444">
        <f t="shared" si="17"/>
        <v>1.003609022556391</v>
      </c>
      <c r="Q37" s="442">
        <v>60</v>
      </c>
      <c r="R37" s="444">
        <f t="shared" si="18"/>
        <v>3.6090225563909775E-3</v>
      </c>
      <c r="S37" s="445">
        <f t="shared" si="19"/>
        <v>60</v>
      </c>
      <c r="T37" s="444">
        <f t="shared" si="20"/>
        <v>3.6090225563909775E-3</v>
      </c>
      <c r="U37" s="364">
        <f t="shared" si="21"/>
        <v>1475.4</v>
      </c>
      <c r="V37" s="145"/>
      <c r="W37" s="145"/>
      <c r="X37" s="145"/>
      <c r="Y37" s="366" t="s">
        <v>417</v>
      </c>
      <c r="Z37" s="366" t="s">
        <v>337</v>
      </c>
      <c r="AA37" s="367" t="s">
        <v>585</v>
      </c>
      <c r="AB37" s="367" t="s">
        <v>603</v>
      </c>
      <c r="AC37" s="367">
        <v>1</v>
      </c>
      <c r="AD37" s="446" t="s">
        <v>566</v>
      </c>
    </row>
    <row r="38" spans="2:39" s="147" customFormat="1" ht="27" hidden="1" customHeight="1">
      <c r="B38" s="894"/>
      <c r="C38" s="895"/>
      <c r="D38" s="361">
        <v>10</v>
      </c>
      <c r="E38" s="440" t="s">
        <v>534</v>
      </c>
      <c r="F38" s="441">
        <f t="shared" si="12"/>
        <v>1466.0957999999996</v>
      </c>
      <c r="G38" s="365">
        <v>39.389999999999993</v>
      </c>
      <c r="H38" s="442">
        <v>35576.85</v>
      </c>
      <c r="I38" s="442">
        <v>35576.85</v>
      </c>
      <c r="J38" s="444">
        <f t="shared" si="13"/>
        <v>1</v>
      </c>
      <c r="K38" s="443">
        <v>35815.5</v>
      </c>
      <c r="L38" s="444">
        <f t="shared" si="14"/>
        <v>1.0067080137786228</v>
      </c>
      <c r="M38" s="443">
        <v>238.64999999999998</v>
      </c>
      <c r="N38" s="444">
        <f t="shared" si="15"/>
        <v>6.7080137786228958E-3</v>
      </c>
      <c r="O38" s="445">
        <f t="shared" si="16"/>
        <v>36054.15</v>
      </c>
      <c r="P38" s="444">
        <f t="shared" si="17"/>
        <v>1.0134160275572459</v>
      </c>
      <c r="Q38" s="442">
        <v>37.22</v>
      </c>
      <c r="R38" s="444">
        <f t="shared" si="18"/>
        <v>1.0461859327062402E-3</v>
      </c>
      <c r="S38" s="445">
        <f t="shared" si="19"/>
        <v>477.30000000000291</v>
      </c>
      <c r="T38" s="444">
        <f t="shared" si="20"/>
        <v>1.3416027557245875E-2</v>
      </c>
      <c r="U38" s="364">
        <f t="shared" si="21"/>
        <v>18800.847000000111</v>
      </c>
      <c r="V38" s="145"/>
      <c r="W38" s="145"/>
      <c r="X38" s="145"/>
      <c r="Y38" s="366" t="s">
        <v>417</v>
      </c>
      <c r="Z38" s="366" t="s">
        <v>216</v>
      </c>
      <c r="AA38" s="380" t="s">
        <v>572</v>
      </c>
      <c r="AB38" s="367" t="s">
        <v>569</v>
      </c>
      <c r="AC38" s="367">
        <v>1</v>
      </c>
      <c r="AD38" s="446" t="s">
        <v>340</v>
      </c>
    </row>
    <row r="39" spans="2:39" s="147" customFormat="1" ht="27" hidden="1" customHeight="1">
      <c r="B39" s="894"/>
      <c r="C39" s="895"/>
      <c r="D39" s="361">
        <v>11</v>
      </c>
      <c r="E39" s="440" t="s">
        <v>631</v>
      </c>
      <c r="F39" s="441">
        <f t="shared" si="12"/>
        <v>1443.5420999999999</v>
      </c>
      <c r="G39" s="365">
        <v>43.889999999999993</v>
      </c>
      <c r="H39" s="442">
        <v>6266.0999999999985</v>
      </c>
      <c r="I39" s="442">
        <v>6266.0999999999985</v>
      </c>
      <c r="J39" s="444">
        <f t="shared" si="13"/>
        <v>1</v>
      </c>
      <c r="K39" s="443">
        <v>6448.079999999999</v>
      </c>
      <c r="L39" s="444">
        <f t="shared" si="14"/>
        <v>1.029041987839326</v>
      </c>
      <c r="M39" s="443">
        <v>181.98</v>
      </c>
      <c r="N39" s="444">
        <f t="shared" si="15"/>
        <v>2.9041987839325902E-2</v>
      </c>
      <c r="O39" s="445">
        <f t="shared" si="16"/>
        <v>6630.0599999999986</v>
      </c>
      <c r="P39" s="444">
        <f t="shared" si="17"/>
        <v>1.0580839756786518</v>
      </c>
      <c r="Q39" s="442">
        <v>32.89</v>
      </c>
      <c r="R39" s="444">
        <f t="shared" si="18"/>
        <v>5.2488788879845533E-3</v>
      </c>
      <c r="S39" s="445">
        <f t="shared" si="19"/>
        <v>363.96000000000004</v>
      </c>
      <c r="T39" s="444">
        <f t="shared" si="20"/>
        <v>5.8083975678651811E-2</v>
      </c>
      <c r="U39" s="364">
        <f t="shared" si="21"/>
        <v>15974.204399999999</v>
      </c>
      <c r="V39" s="145"/>
      <c r="W39" s="145"/>
      <c r="X39" s="145"/>
      <c r="Y39" s="366" t="s">
        <v>417</v>
      </c>
      <c r="Z39" s="366" t="s">
        <v>216</v>
      </c>
      <c r="AA39" s="380" t="s">
        <v>572</v>
      </c>
      <c r="AB39" s="367" t="s">
        <v>569</v>
      </c>
      <c r="AC39" s="367">
        <v>1</v>
      </c>
      <c r="AD39" s="446" t="s">
        <v>630</v>
      </c>
      <c r="AH39" s="370"/>
    </row>
    <row r="40" spans="2:39" s="147" customFormat="1" ht="27" hidden="1" customHeight="1">
      <c r="B40" s="894"/>
      <c r="C40" s="895"/>
      <c r="D40" s="361">
        <v>12</v>
      </c>
      <c r="E40" s="440" t="s">
        <v>544</v>
      </c>
      <c r="F40" s="441">
        <f t="shared" si="12"/>
        <v>1302.2898</v>
      </c>
      <c r="G40" s="365">
        <v>62.43</v>
      </c>
      <c r="H40" s="442">
        <v>3029.93</v>
      </c>
      <c r="I40" s="442">
        <v>3029.93</v>
      </c>
      <c r="J40" s="444">
        <f t="shared" si="13"/>
        <v>1</v>
      </c>
      <c r="K40" s="443">
        <v>3086.7400000000007</v>
      </c>
      <c r="L40" s="444">
        <f t="shared" si="14"/>
        <v>1.0187496080767546</v>
      </c>
      <c r="M40" s="443">
        <v>56.81</v>
      </c>
      <c r="N40" s="444">
        <f t="shared" si="15"/>
        <v>1.874960807675425E-2</v>
      </c>
      <c r="O40" s="445">
        <f t="shared" si="16"/>
        <v>3143.5500000000006</v>
      </c>
      <c r="P40" s="444">
        <f t="shared" si="17"/>
        <v>1.0374992161535088</v>
      </c>
      <c r="Q40" s="442">
        <v>20.86</v>
      </c>
      <c r="R40" s="444">
        <f t="shared" si="18"/>
        <v>6.8846475001072636E-3</v>
      </c>
      <c r="S40" s="445">
        <f t="shared" si="19"/>
        <v>113.6200000000008</v>
      </c>
      <c r="T40" s="444">
        <f t="shared" si="20"/>
        <v>3.7499216153508763E-2</v>
      </c>
      <c r="U40" s="364">
        <f t="shared" si="21"/>
        <v>7093.2966000000497</v>
      </c>
      <c r="V40" s="145"/>
      <c r="W40" s="145"/>
      <c r="X40" s="145"/>
      <c r="Y40" s="366" t="s">
        <v>417</v>
      </c>
      <c r="Z40" s="366" t="s">
        <v>216</v>
      </c>
      <c r="AA40" s="380" t="s">
        <v>572</v>
      </c>
      <c r="AB40" s="367" t="s">
        <v>569</v>
      </c>
      <c r="AC40" s="367">
        <v>1</v>
      </c>
      <c r="AD40" s="446" t="s">
        <v>543</v>
      </c>
    </row>
    <row r="41" spans="2:39" s="147" customFormat="1" ht="27" hidden="1" customHeight="1">
      <c r="B41" s="894"/>
      <c r="C41" s="895"/>
      <c r="D41" s="361">
        <v>13</v>
      </c>
      <c r="E41" s="440" t="s">
        <v>598</v>
      </c>
      <c r="F41" s="441">
        <f t="shared" si="12"/>
        <v>1274.44</v>
      </c>
      <c r="G41" s="365">
        <v>6.04</v>
      </c>
      <c r="H41" s="442">
        <v>8955</v>
      </c>
      <c r="I41" s="442">
        <v>8955</v>
      </c>
      <c r="J41" s="444">
        <f t="shared" si="13"/>
        <v>1</v>
      </c>
      <c r="K41" s="443">
        <v>9166</v>
      </c>
      <c r="L41" s="444">
        <f t="shared" si="14"/>
        <v>1.0235622557230597</v>
      </c>
      <c r="M41" s="443">
        <v>0</v>
      </c>
      <c r="N41" s="444">
        <f t="shared" si="15"/>
        <v>0</v>
      </c>
      <c r="O41" s="445">
        <f t="shared" si="16"/>
        <v>9166</v>
      </c>
      <c r="P41" s="444">
        <f t="shared" si="17"/>
        <v>1.0235622557230597</v>
      </c>
      <c r="Q41" s="442">
        <v>211</v>
      </c>
      <c r="R41" s="444">
        <f t="shared" si="18"/>
        <v>2.3562255723059745E-2</v>
      </c>
      <c r="S41" s="445">
        <f t="shared" si="19"/>
        <v>211</v>
      </c>
      <c r="T41" s="444">
        <f t="shared" si="20"/>
        <v>2.3562255723059745E-2</v>
      </c>
      <c r="U41" s="364">
        <f t="shared" si="21"/>
        <v>1274.44</v>
      </c>
      <c r="V41" s="145"/>
      <c r="W41" s="145"/>
      <c r="X41" s="145"/>
      <c r="Y41" s="366" t="s">
        <v>417</v>
      </c>
      <c r="Z41" s="366" t="s">
        <v>337</v>
      </c>
      <c r="AA41" s="366" t="s">
        <v>604</v>
      </c>
      <c r="AB41" s="367" t="s">
        <v>605</v>
      </c>
      <c r="AC41" s="367">
        <v>1</v>
      </c>
      <c r="AD41" s="446" t="s">
        <v>508</v>
      </c>
    </row>
    <row r="42" spans="2:39" s="147" customFormat="1" ht="27" hidden="1" customHeight="1">
      <c r="B42" s="894"/>
      <c r="C42" s="895"/>
      <c r="D42" s="361">
        <v>14</v>
      </c>
      <c r="E42" s="440" t="s">
        <v>462</v>
      </c>
      <c r="F42" s="441">
        <f t="shared" si="12"/>
        <v>1234.1680999999999</v>
      </c>
      <c r="G42" s="365">
        <v>160.49</v>
      </c>
      <c r="H42" s="442">
        <v>690.03</v>
      </c>
      <c r="I42" s="442">
        <v>690.03</v>
      </c>
      <c r="J42" s="444">
        <f t="shared" si="13"/>
        <v>1</v>
      </c>
      <c r="K42" s="443">
        <v>707.63000000000011</v>
      </c>
      <c r="L42" s="444">
        <f t="shared" si="14"/>
        <v>1.0255061374143155</v>
      </c>
      <c r="M42" s="443">
        <v>17.600000000000001</v>
      </c>
      <c r="N42" s="444">
        <f t="shared" si="15"/>
        <v>2.5506137414315323E-2</v>
      </c>
      <c r="O42" s="445">
        <f t="shared" si="16"/>
        <v>725.23000000000013</v>
      </c>
      <c r="P42" s="444">
        <f t="shared" si="17"/>
        <v>1.0510122748286308</v>
      </c>
      <c r="Q42" s="442">
        <v>7.6899999999999986</v>
      </c>
      <c r="R42" s="444">
        <f t="shared" si="18"/>
        <v>1.114444299523209E-2</v>
      </c>
      <c r="S42" s="445">
        <f t="shared" si="19"/>
        <v>35.200000000000159</v>
      </c>
      <c r="T42" s="444">
        <f t="shared" si="20"/>
        <v>5.1012274828630869E-2</v>
      </c>
      <c r="U42" s="364">
        <f t="shared" si="21"/>
        <v>5649.248000000026</v>
      </c>
      <c r="V42" s="145"/>
      <c r="W42" s="145"/>
      <c r="X42" s="145"/>
      <c r="Y42" s="366" t="s">
        <v>417</v>
      </c>
      <c r="Z42" s="366" t="s">
        <v>445</v>
      </c>
      <c r="AA42" s="367" t="s">
        <v>644</v>
      </c>
      <c r="AB42" s="367" t="s">
        <v>571</v>
      </c>
      <c r="AC42" s="367">
        <v>1</v>
      </c>
      <c r="AD42" s="446" t="s">
        <v>433</v>
      </c>
    </row>
    <row r="43" spans="2:39" s="147" customFormat="1" ht="27" hidden="1" customHeight="1">
      <c r="B43" s="894"/>
      <c r="C43" s="895"/>
      <c r="D43" s="361">
        <v>15</v>
      </c>
      <c r="E43" s="440" t="s">
        <v>637</v>
      </c>
      <c r="F43" s="441">
        <f t="shared" si="12"/>
        <v>1220.1000000000001</v>
      </c>
      <c r="G43" s="365">
        <v>5.8100000000000005</v>
      </c>
      <c r="H43" s="442">
        <v>6162</v>
      </c>
      <c r="I43" s="442">
        <v>6162</v>
      </c>
      <c r="J43" s="444">
        <f t="shared" si="13"/>
        <v>1</v>
      </c>
      <c r="K43" s="443">
        <v>6372</v>
      </c>
      <c r="L43" s="444">
        <f t="shared" si="14"/>
        <v>1.0340798442064265</v>
      </c>
      <c r="M43" s="443">
        <v>0</v>
      </c>
      <c r="N43" s="444">
        <f t="shared" si="15"/>
        <v>0</v>
      </c>
      <c r="O43" s="445">
        <f t="shared" si="16"/>
        <v>6372</v>
      </c>
      <c r="P43" s="444">
        <f t="shared" si="17"/>
        <v>1.0340798442064265</v>
      </c>
      <c r="Q43" s="442">
        <v>210</v>
      </c>
      <c r="R43" s="444">
        <f t="shared" si="18"/>
        <v>3.4079844206426485E-2</v>
      </c>
      <c r="S43" s="445">
        <f t="shared" si="19"/>
        <v>210</v>
      </c>
      <c r="T43" s="444">
        <f t="shared" si="20"/>
        <v>3.4079844206426485E-2</v>
      </c>
      <c r="U43" s="364">
        <f t="shared" si="21"/>
        <v>1220.1000000000001</v>
      </c>
      <c r="V43" s="145"/>
      <c r="W43" s="145"/>
      <c r="X43" s="145"/>
      <c r="Y43" s="366" t="s">
        <v>417</v>
      </c>
      <c r="Z43" s="366" t="s">
        <v>337</v>
      </c>
      <c r="AA43" s="367" t="s">
        <v>645</v>
      </c>
      <c r="AB43" s="367" t="s">
        <v>646</v>
      </c>
      <c r="AC43" s="367">
        <v>1</v>
      </c>
      <c r="AD43" s="446" t="s">
        <v>484</v>
      </c>
    </row>
    <row r="44" spans="2:39" s="147" customFormat="1" ht="27" hidden="1" customHeight="1">
      <c r="B44" s="894"/>
      <c r="C44" s="895"/>
      <c r="D44" s="361">
        <v>16</v>
      </c>
      <c r="E44" s="440" t="s">
        <v>638</v>
      </c>
      <c r="F44" s="441">
        <f t="shared" si="12"/>
        <v>1173.0000000000002</v>
      </c>
      <c r="G44" s="365">
        <v>1.1500000000000001</v>
      </c>
      <c r="H44" s="442">
        <v>45627</v>
      </c>
      <c r="I44" s="442">
        <v>45627</v>
      </c>
      <c r="J44" s="444">
        <f t="shared" si="13"/>
        <v>1</v>
      </c>
      <c r="K44" s="443">
        <v>46647</v>
      </c>
      <c r="L44" s="444">
        <f t="shared" si="14"/>
        <v>1.0223551844302716</v>
      </c>
      <c r="M44" s="443">
        <v>0</v>
      </c>
      <c r="N44" s="444">
        <f t="shared" si="15"/>
        <v>0</v>
      </c>
      <c r="O44" s="445">
        <f t="shared" si="16"/>
        <v>46647</v>
      </c>
      <c r="P44" s="444">
        <f t="shared" si="17"/>
        <v>1.0223551844302716</v>
      </c>
      <c r="Q44" s="442">
        <v>1020</v>
      </c>
      <c r="R44" s="444">
        <f t="shared" si="18"/>
        <v>2.2355184430271551E-2</v>
      </c>
      <c r="S44" s="445">
        <f t="shared" si="19"/>
        <v>1020</v>
      </c>
      <c r="T44" s="444">
        <f t="shared" si="20"/>
        <v>2.2355184430271551E-2</v>
      </c>
      <c r="U44" s="364">
        <f t="shared" si="21"/>
        <v>1173.0000000000002</v>
      </c>
      <c r="V44" s="145"/>
      <c r="W44" s="145"/>
      <c r="X44" s="145"/>
      <c r="Y44" s="366" t="s">
        <v>417</v>
      </c>
      <c r="Z44" s="366" t="s">
        <v>445</v>
      </c>
      <c r="AA44" s="366" t="s">
        <v>604</v>
      </c>
      <c r="AB44" s="367" t="s">
        <v>605</v>
      </c>
      <c r="AC44" s="367">
        <v>1</v>
      </c>
      <c r="AD44" s="446" t="s">
        <v>435</v>
      </c>
    </row>
    <row r="45" spans="2:39" s="147" customFormat="1" ht="27" hidden="1" customHeight="1">
      <c r="B45" s="894"/>
      <c r="C45" s="895"/>
      <c r="D45" s="361">
        <v>17</v>
      </c>
      <c r="E45" s="440" t="s">
        <v>619</v>
      </c>
      <c r="F45" s="441">
        <f t="shared" si="12"/>
        <v>1169.0951999999997</v>
      </c>
      <c r="G45" s="365">
        <v>39.389999999999993</v>
      </c>
      <c r="H45" s="442">
        <v>5051.83</v>
      </c>
      <c r="I45" s="442">
        <v>5051.83</v>
      </c>
      <c r="J45" s="444">
        <f t="shared" si="13"/>
        <v>1</v>
      </c>
      <c r="K45" s="443">
        <v>5184.1600000000008</v>
      </c>
      <c r="L45" s="444">
        <f t="shared" si="14"/>
        <v>1.0261944681432276</v>
      </c>
      <c r="M45" s="443">
        <v>132.33000000000001</v>
      </c>
      <c r="N45" s="444">
        <f t="shared" si="15"/>
        <v>2.6194468143227307E-2</v>
      </c>
      <c r="O45" s="445">
        <f t="shared" si="16"/>
        <v>5316.4900000000007</v>
      </c>
      <c r="P45" s="444">
        <f t="shared" si="17"/>
        <v>1.0523889362864547</v>
      </c>
      <c r="Q45" s="442">
        <v>29.68</v>
      </c>
      <c r="R45" s="444">
        <f t="shared" si="18"/>
        <v>5.8750987266000636E-3</v>
      </c>
      <c r="S45" s="445">
        <f t="shared" si="19"/>
        <v>264.66000000000076</v>
      </c>
      <c r="T45" s="444">
        <f t="shared" si="20"/>
        <v>5.2388936286454767E-2</v>
      </c>
      <c r="U45" s="364">
        <f t="shared" si="21"/>
        <v>10424.957400000028</v>
      </c>
      <c r="V45" s="145"/>
      <c r="W45" s="145"/>
      <c r="X45" s="145"/>
      <c r="Y45" s="366" t="s">
        <v>417</v>
      </c>
      <c r="Z45" s="366" t="s">
        <v>216</v>
      </c>
      <c r="AA45" s="380" t="s">
        <v>572</v>
      </c>
      <c r="AB45" s="367" t="s">
        <v>569</v>
      </c>
      <c r="AC45" s="367">
        <v>1</v>
      </c>
      <c r="AD45" s="446" t="s">
        <v>614</v>
      </c>
    </row>
    <row r="46" spans="2:39" s="147" customFormat="1" ht="27" hidden="1" customHeight="1">
      <c r="B46" s="894"/>
      <c r="C46" s="895"/>
      <c r="D46" s="361">
        <v>18</v>
      </c>
      <c r="E46" s="440" t="s">
        <v>639</v>
      </c>
      <c r="F46" s="441">
        <f t="shared" si="12"/>
        <v>1156.7000000000003</v>
      </c>
      <c r="G46" s="365">
        <v>2.6900000000000004</v>
      </c>
      <c r="H46" s="442">
        <v>82312</v>
      </c>
      <c r="I46" s="442">
        <v>82312</v>
      </c>
      <c r="J46" s="444">
        <f t="shared" si="13"/>
        <v>1</v>
      </c>
      <c r="K46" s="443">
        <v>82742</v>
      </c>
      <c r="L46" s="444">
        <f t="shared" si="14"/>
        <v>1.0052240256584701</v>
      </c>
      <c r="M46" s="443">
        <v>0</v>
      </c>
      <c r="N46" s="444">
        <f t="shared" si="15"/>
        <v>0</v>
      </c>
      <c r="O46" s="445">
        <f t="shared" si="16"/>
        <v>82742</v>
      </c>
      <c r="P46" s="444">
        <f t="shared" si="17"/>
        <v>1.0052240256584701</v>
      </c>
      <c r="Q46" s="442">
        <v>430</v>
      </c>
      <c r="R46" s="444">
        <f t="shared" si="18"/>
        <v>5.2240256584702108E-3</v>
      </c>
      <c r="S46" s="445">
        <f t="shared" si="19"/>
        <v>430</v>
      </c>
      <c r="T46" s="444">
        <f t="shared" si="20"/>
        <v>5.2240256584702108E-3</v>
      </c>
      <c r="U46" s="364">
        <f t="shared" si="21"/>
        <v>1156.7000000000003</v>
      </c>
      <c r="V46" s="145"/>
      <c r="W46" s="145"/>
      <c r="X46" s="145"/>
      <c r="Y46" s="366" t="s">
        <v>417</v>
      </c>
      <c r="Z46" s="366" t="s">
        <v>337</v>
      </c>
      <c r="AA46" s="366" t="s">
        <v>647</v>
      </c>
      <c r="AB46" s="367" t="s">
        <v>605</v>
      </c>
      <c r="AC46" s="367">
        <v>1</v>
      </c>
      <c r="AD46" s="446" t="s">
        <v>437</v>
      </c>
    </row>
    <row r="47" spans="2:39" s="147" customFormat="1" ht="27" hidden="1" customHeight="1">
      <c r="B47" s="894"/>
      <c r="C47" s="895"/>
      <c r="D47" s="361">
        <v>19</v>
      </c>
      <c r="E47" s="440" t="s">
        <v>640</v>
      </c>
      <c r="F47" s="441">
        <f t="shared" si="12"/>
        <v>1155.98</v>
      </c>
      <c r="G47" s="365">
        <v>3.2199999999999998</v>
      </c>
      <c r="H47" s="442">
        <v>218158</v>
      </c>
      <c r="I47" s="442">
        <v>218158</v>
      </c>
      <c r="J47" s="444">
        <f t="shared" si="13"/>
        <v>1</v>
      </c>
      <c r="K47" s="443">
        <v>218517</v>
      </c>
      <c r="L47" s="444">
        <f t="shared" si="14"/>
        <v>1.0016455963109305</v>
      </c>
      <c r="M47" s="443">
        <v>0</v>
      </c>
      <c r="N47" s="444">
        <f t="shared" si="15"/>
        <v>0</v>
      </c>
      <c r="O47" s="445">
        <f t="shared" si="16"/>
        <v>218517</v>
      </c>
      <c r="P47" s="444">
        <f t="shared" si="17"/>
        <v>1.0016455963109305</v>
      </c>
      <c r="Q47" s="442">
        <v>359</v>
      </c>
      <c r="R47" s="444">
        <f t="shared" si="18"/>
        <v>1.6455963109306099E-3</v>
      </c>
      <c r="S47" s="445">
        <f t="shared" si="19"/>
        <v>359</v>
      </c>
      <c r="T47" s="444">
        <f t="shared" si="20"/>
        <v>1.6455963109306099E-3</v>
      </c>
      <c r="U47" s="364">
        <f t="shared" si="21"/>
        <v>1155.98</v>
      </c>
      <c r="V47" s="145"/>
      <c r="W47" s="145"/>
      <c r="X47" s="145"/>
      <c r="Y47" s="366" t="s">
        <v>417</v>
      </c>
      <c r="Z47" s="366" t="s">
        <v>337</v>
      </c>
      <c r="AA47" s="366" t="s">
        <v>647</v>
      </c>
      <c r="AB47" s="367" t="s">
        <v>605</v>
      </c>
      <c r="AC47" s="367">
        <v>1</v>
      </c>
      <c r="AD47" s="446" t="s">
        <v>340</v>
      </c>
    </row>
    <row r="48" spans="2:39" s="147" customFormat="1" ht="27" hidden="1" customHeight="1">
      <c r="B48" s="896"/>
      <c r="C48" s="897"/>
      <c r="D48" s="361">
        <v>20</v>
      </c>
      <c r="E48" s="440" t="s">
        <v>641</v>
      </c>
      <c r="F48" s="441">
        <f t="shared" si="12"/>
        <v>1150.2004000000004</v>
      </c>
      <c r="G48" s="365">
        <v>3.5599999999999996</v>
      </c>
      <c r="H48" s="442">
        <v>51170</v>
      </c>
      <c r="I48" s="442">
        <v>51170</v>
      </c>
      <c r="J48" s="444">
        <f t="shared" si="13"/>
        <v>1</v>
      </c>
      <c r="K48" s="443">
        <v>51493.09</v>
      </c>
      <c r="L48" s="444">
        <f t="shared" si="14"/>
        <v>1.006314051201876</v>
      </c>
      <c r="M48" s="443">
        <v>0</v>
      </c>
      <c r="N48" s="444">
        <f t="shared" si="15"/>
        <v>0</v>
      </c>
      <c r="O48" s="445">
        <f t="shared" si="16"/>
        <v>51493.09</v>
      </c>
      <c r="P48" s="444">
        <f t="shared" si="17"/>
        <v>1.006314051201876</v>
      </c>
      <c r="Q48" s="442">
        <v>323.09000000000015</v>
      </c>
      <c r="R48" s="444">
        <f t="shared" si="18"/>
        <v>6.314051201876102E-3</v>
      </c>
      <c r="S48" s="445">
        <f t="shared" si="19"/>
        <v>323.08999999999651</v>
      </c>
      <c r="T48" s="444">
        <f t="shared" si="20"/>
        <v>6.3140512018760309E-3</v>
      </c>
      <c r="U48" s="364">
        <f t="shared" si="21"/>
        <v>1150.2003999999874</v>
      </c>
      <c r="V48" s="145"/>
      <c r="W48" s="145"/>
      <c r="X48" s="145"/>
      <c r="Y48" s="366" t="s">
        <v>417</v>
      </c>
      <c r="Z48" s="366" t="s">
        <v>337</v>
      </c>
      <c r="AA48" s="366" t="s">
        <v>647</v>
      </c>
      <c r="AB48" s="367" t="s">
        <v>605</v>
      </c>
      <c r="AC48" s="367">
        <v>1</v>
      </c>
      <c r="AD48" s="446" t="s">
        <v>349</v>
      </c>
    </row>
    <row r="49" spans="2:39" ht="17.100000000000001" hidden="1" customHeight="1">
      <c r="B49" s="930" t="s">
        <v>442</v>
      </c>
      <c r="C49" s="931"/>
      <c r="D49" s="932" t="s">
        <v>549</v>
      </c>
      <c r="E49" s="934" t="s">
        <v>550</v>
      </c>
      <c r="F49" s="881" t="s">
        <v>551</v>
      </c>
      <c r="G49" s="881" t="s">
        <v>552</v>
      </c>
      <c r="H49" s="905" t="s">
        <v>553</v>
      </c>
      <c r="I49" s="906" t="s">
        <v>554</v>
      </c>
      <c r="J49" s="907"/>
      <c r="K49" s="906" t="s">
        <v>555</v>
      </c>
      <c r="L49" s="907"/>
      <c r="M49" s="906" t="s">
        <v>556</v>
      </c>
      <c r="N49" s="907"/>
      <c r="O49" s="906" t="s">
        <v>557</v>
      </c>
      <c r="P49" s="907"/>
      <c r="Q49" s="906" t="s">
        <v>418</v>
      </c>
      <c r="R49" s="907"/>
      <c r="S49" s="908" t="s">
        <v>419</v>
      </c>
      <c r="T49" s="909"/>
      <c r="U49" s="910"/>
      <c r="Y49" s="914" t="s">
        <v>171</v>
      </c>
      <c r="Z49" s="914" t="s">
        <v>245</v>
      </c>
      <c r="AA49" s="914" t="s">
        <v>558</v>
      </c>
      <c r="AB49" s="914" t="s">
        <v>444</v>
      </c>
      <c r="AC49" s="914" t="s">
        <v>246</v>
      </c>
      <c r="AD49" s="881" t="s">
        <v>172</v>
      </c>
      <c r="AF49" s="883" t="s">
        <v>247</v>
      </c>
      <c r="AG49" s="884"/>
      <c r="AH49" s="884"/>
      <c r="AI49" s="884"/>
      <c r="AJ49" s="884"/>
      <c r="AK49" s="884"/>
      <c r="AL49" s="884"/>
      <c r="AM49" s="885"/>
    </row>
    <row r="50" spans="2:39" hidden="1">
      <c r="B50" s="900"/>
      <c r="C50" s="901"/>
      <c r="D50" s="933"/>
      <c r="E50" s="935"/>
      <c r="F50" s="882"/>
      <c r="G50" s="882"/>
      <c r="H50" s="936"/>
      <c r="I50" s="439" t="s">
        <v>559</v>
      </c>
      <c r="J50" s="362" t="s">
        <v>560</v>
      </c>
      <c r="K50" s="439" t="s">
        <v>559</v>
      </c>
      <c r="L50" s="362" t="s">
        <v>560</v>
      </c>
      <c r="M50" s="439" t="s">
        <v>559</v>
      </c>
      <c r="N50" s="362" t="s">
        <v>560</v>
      </c>
      <c r="O50" s="439" t="s">
        <v>559</v>
      </c>
      <c r="P50" s="362" t="s">
        <v>560</v>
      </c>
      <c r="Q50" s="439" t="s">
        <v>559</v>
      </c>
      <c r="R50" s="362" t="s">
        <v>560</v>
      </c>
      <c r="S50" s="439" t="s">
        <v>559</v>
      </c>
      <c r="T50" s="362" t="s">
        <v>560</v>
      </c>
      <c r="U50" s="362" t="s">
        <v>561</v>
      </c>
      <c r="Y50" s="915"/>
      <c r="Z50" s="915"/>
      <c r="AA50" s="915"/>
      <c r="AB50" s="915"/>
      <c r="AC50" s="915"/>
      <c r="AD50" s="882"/>
      <c r="AF50" s="886"/>
      <c r="AG50" s="887"/>
      <c r="AH50" s="887"/>
      <c r="AI50" s="887"/>
      <c r="AJ50" s="887"/>
      <c r="AK50" s="887"/>
      <c r="AL50" s="887"/>
      <c r="AM50" s="888"/>
    </row>
    <row r="51" spans="2:39" s="147" customFormat="1" ht="27" hidden="1" customHeight="1">
      <c r="B51" s="927" t="s">
        <v>626</v>
      </c>
      <c r="C51" s="893"/>
      <c r="D51" s="361">
        <v>1</v>
      </c>
      <c r="E51" s="440" t="s">
        <v>448</v>
      </c>
      <c r="F51" s="441">
        <f>IFERROR(Q51*G51,"-")</f>
        <v>2535.7499999999995</v>
      </c>
      <c r="G51" s="365">
        <v>2.4499999999999997</v>
      </c>
      <c r="H51" s="442">
        <v>151134</v>
      </c>
      <c r="I51" s="442">
        <v>151134</v>
      </c>
      <c r="J51" s="444">
        <f>IFERROR(I51/H51,"-")</f>
        <v>1</v>
      </c>
      <c r="K51" s="443">
        <v>152169</v>
      </c>
      <c r="L51" s="444">
        <f>IFERROR(K51/H51,"-")</f>
        <v>1.0068482274008497</v>
      </c>
      <c r="M51" s="443">
        <v>0</v>
      </c>
      <c r="N51" s="444">
        <f>IFERROR(M51/H51,"-")</f>
        <v>0</v>
      </c>
      <c r="O51" s="445">
        <f>IFERROR(K51+M51,"-")</f>
        <v>152169</v>
      </c>
      <c r="P51" s="444">
        <f>IFERROR(O51/H51,"-")</f>
        <v>1.0068482274008497</v>
      </c>
      <c r="Q51" s="442">
        <v>1035</v>
      </c>
      <c r="R51" s="444">
        <f>IFERROR(Q51/H51,"-")</f>
        <v>6.8482274008495776E-3</v>
      </c>
      <c r="S51" s="445">
        <f>IFERROR(O51-H51,"-")</f>
        <v>1035</v>
      </c>
      <c r="T51" s="444">
        <f>IFERROR(S51/H51,"-")</f>
        <v>6.8482274008495776E-3</v>
      </c>
      <c r="U51" s="364">
        <f>IFERROR(S51*G51,"-")</f>
        <v>2535.7499999999995</v>
      </c>
      <c r="V51" s="145"/>
      <c r="W51" s="145"/>
      <c r="X51" s="145"/>
      <c r="Y51" s="366" t="s">
        <v>417</v>
      </c>
      <c r="Z51" s="366" t="s">
        <v>337</v>
      </c>
      <c r="AA51" s="367" t="s">
        <v>467</v>
      </c>
      <c r="AB51" s="367" t="s">
        <v>468</v>
      </c>
      <c r="AC51" s="367">
        <v>1</v>
      </c>
      <c r="AD51" s="446" t="s">
        <v>340</v>
      </c>
      <c r="AF51" s="889"/>
      <c r="AG51" s="890"/>
      <c r="AH51" s="890"/>
      <c r="AI51" s="890"/>
      <c r="AJ51" s="890"/>
      <c r="AK51" s="890"/>
      <c r="AL51" s="890"/>
      <c r="AM51" s="891"/>
    </row>
    <row r="52" spans="2:39" s="147" customFormat="1" ht="27" hidden="1" customHeight="1">
      <c r="B52" s="894"/>
      <c r="C52" s="895"/>
      <c r="D52" s="361">
        <v>2</v>
      </c>
      <c r="E52" s="440" t="s">
        <v>447</v>
      </c>
      <c r="F52" s="441">
        <f t="shared" ref="F52:F70" si="24">IFERROR(Q52*G52,"-")</f>
        <v>2533.0499999999997</v>
      </c>
      <c r="G52" s="365">
        <v>1.17</v>
      </c>
      <c r="H52" s="442">
        <v>295586</v>
      </c>
      <c r="I52" s="442">
        <v>295586</v>
      </c>
      <c r="J52" s="444">
        <f t="shared" ref="J52:J70" si="25">IFERROR(I52/H52,"-")</f>
        <v>1</v>
      </c>
      <c r="K52" s="443">
        <v>297751</v>
      </c>
      <c r="L52" s="444">
        <f t="shared" ref="L52:L70" si="26">IFERROR(K52/H52,"-")</f>
        <v>1.0073244334982037</v>
      </c>
      <c r="M52" s="443">
        <v>0</v>
      </c>
      <c r="N52" s="444">
        <f t="shared" ref="N52:N70" si="27">IFERROR(M52/H52,"-")</f>
        <v>0</v>
      </c>
      <c r="O52" s="445">
        <f t="shared" ref="O52:O70" si="28">IFERROR(K52+M52,"-")</f>
        <v>297751</v>
      </c>
      <c r="P52" s="444">
        <f t="shared" ref="P52:P70" si="29">IFERROR(O52/H52,"-")</f>
        <v>1.0073244334982037</v>
      </c>
      <c r="Q52" s="442">
        <v>2165</v>
      </c>
      <c r="R52" s="444">
        <f t="shared" ref="R52:R70" si="30">IFERROR(Q52/H52,"-")</f>
        <v>7.3244334982035687E-3</v>
      </c>
      <c r="S52" s="445">
        <f t="shared" ref="S52:S70" si="31">IFERROR(O52-H52,"-")</f>
        <v>2165</v>
      </c>
      <c r="T52" s="444">
        <f t="shared" ref="T52:T70" si="32">IFERROR(S52/H52,"-")</f>
        <v>7.3244334982035687E-3</v>
      </c>
      <c r="U52" s="364">
        <f t="shared" ref="U52:U70" si="33">IFERROR(S52*G52,"-")</f>
        <v>2533.0499999999997</v>
      </c>
      <c r="V52" s="145"/>
      <c r="W52" s="145"/>
      <c r="X52" s="145"/>
      <c r="Y52" s="366" t="s">
        <v>417</v>
      </c>
      <c r="Z52" s="366" t="s">
        <v>337</v>
      </c>
      <c r="AA52" s="367" t="s">
        <v>469</v>
      </c>
      <c r="AB52" s="367" t="s">
        <v>526</v>
      </c>
      <c r="AC52" s="367">
        <v>1</v>
      </c>
      <c r="AD52" s="446" t="s">
        <v>340</v>
      </c>
      <c r="AF52" s="160" t="s">
        <v>244</v>
      </c>
      <c r="AG52" s="160" t="s">
        <v>445</v>
      </c>
      <c r="AH52" s="155" t="s">
        <v>562</v>
      </c>
      <c r="AI52" s="155" t="s">
        <v>337</v>
      </c>
      <c r="AJ52" s="155" t="s">
        <v>428</v>
      </c>
      <c r="AK52" s="155" t="s">
        <v>215</v>
      </c>
      <c r="AL52" s="155" t="s">
        <v>216</v>
      </c>
      <c r="AM52" s="155" t="s">
        <v>384</v>
      </c>
    </row>
    <row r="53" spans="2:39" s="147" customFormat="1" ht="27" hidden="1" customHeight="1">
      <c r="B53" s="894"/>
      <c r="C53" s="895"/>
      <c r="D53" s="361">
        <v>3</v>
      </c>
      <c r="E53" s="440" t="s">
        <v>335</v>
      </c>
      <c r="F53" s="441">
        <f t="shared" si="24"/>
        <v>2473.3905000000004</v>
      </c>
      <c r="G53" s="365">
        <v>15.450000000000001</v>
      </c>
      <c r="H53" s="442">
        <v>75982</v>
      </c>
      <c r="I53" s="442">
        <v>75982</v>
      </c>
      <c r="J53" s="444">
        <f t="shared" si="25"/>
        <v>1</v>
      </c>
      <c r="K53" s="443">
        <v>76152</v>
      </c>
      <c r="L53" s="444">
        <f t="shared" si="26"/>
        <v>1.00223737200916</v>
      </c>
      <c r="M53" s="443">
        <v>0</v>
      </c>
      <c r="N53" s="444">
        <f t="shared" si="27"/>
        <v>0</v>
      </c>
      <c r="O53" s="445">
        <f t="shared" si="28"/>
        <v>76152</v>
      </c>
      <c r="P53" s="444">
        <f t="shared" si="29"/>
        <v>1.00223737200916</v>
      </c>
      <c r="Q53" s="442">
        <v>160.09</v>
      </c>
      <c r="R53" s="444">
        <f t="shared" si="30"/>
        <v>2.1069463820378512E-3</v>
      </c>
      <c r="S53" s="445">
        <f t="shared" si="31"/>
        <v>170</v>
      </c>
      <c r="T53" s="444">
        <f t="shared" si="32"/>
        <v>2.2373720091600643E-3</v>
      </c>
      <c r="U53" s="364">
        <f t="shared" si="33"/>
        <v>2626.5</v>
      </c>
      <c r="V53" s="145"/>
      <c r="W53" s="145"/>
      <c r="X53" s="145"/>
      <c r="Y53" s="366" t="s">
        <v>417</v>
      </c>
      <c r="Z53" s="366" t="s">
        <v>216</v>
      </c>
      <c r="AA53" s="367" t="s">
        <v>466</v>
      </c>
      <c r="AB53" s="367" t="s">
        <v>569</v>
      </c>
      <c r="AC53" s="367">
        <v>1</v>
      </c>
      <c r="AD53" s="446" t="s">
        <v>523</v>
      </c>
      <c r="AF53" s="374">
        <f>SUM(AC51:AC70)</f>
        <v>20</v>
      </c>
      <c r="AG53" s="369">
        <f t="shared" ref="AG53:AM53" si="34">SUMIF($Z$51:$Z$70,TRIM(AG52),$AC$51:$AC$70)</f>
        <v>7</v>
      </c>
      <c r="AH53" s="369">
        <f t="shared" si="34"/>
        <v>0</v>
      </c>
      <c r="AI53" s="369">
        <f t="shared" si="34"/>
        <v>5</v>
      </c>
      <c r="AJ53" s="369">
        <f t="shared" si="34"/>
        <v>0</v>
      </c>
      <c r="AK53" s="369">
        <f t="shared" si="34"/>
        <v>2</v>
      </c>
      <c r="AL53" s="369">
        <f t="shared" si="34"/>
        <v>6</v>
      </c>
      <c r="AM53" s="369">
        <f t="shared" si="34"/>
        <v>0</v>
      </c>
    </row>
    <row r="54" spans="2:39" s="147" customFormat="1" ht="27" hidden="1" customHeight="1">
      <c r="B54" s="894"/>
      <c r="C54" s="895"/>
      <c r="D54" s="361">
        <v>4</v>
      </c>
      <c r="E54" s="440" t="s">
        <v>651</v>
      </c>
      <c r="F54" s="441">
        <f t="shared" si="24"/>
        <v>2195.4894999999997</v>
      </c>
      <c r="G54" s="365">
        <v>655.37</v>
      </c>
      <c r="H54" s="442">
        <v>884.7600000000001</v>
      </c>
      <c r="I54" s="442">
        <v>884.7600000000001</v>
      </c>
      <c r="J54" s="444">
        <f t="shared" si="25"/>
        <v>1</v>
      </c>
      <c r="K54" s="443">
        <v>897.45999999999992</v>
      </c>
      <c r="L54" s="444">
        <f t="shared" si="26"/>
        <v>1.0143541751435416</v>
      </c>
      <c r="M54" s="443">
        <v>12.7</v>
      </c>
      <c r="N54" s="444">
        <f t="shared" si="27"/>
        <v>1.4354175143541748E-2</v>
      </c>
      <c r="O54" s="445">
        <f t="shared" si="28"/>
        <v>910.16</v>
      </c>
      <c r="P54" s="444">
        <f t="shared" si="29"/>
        <v>1.0287083502870833</v>
      </c>
      <c r="Q54" s="442">
        <v>3.3499999999999996</v>
      </c>
      <c r="R54" s="444">
        <f t="shared" si="30"/>
        <v>3.7863375378633744E-3</v>
      </c>
      <c r="S54" s="445">
        <f t="shared" si="31"/>
        <v>25.399999999999864</v>
      </c>
      <c r="T54" s="444">
        <f t="shared" si="32"/>
        <v>2.8708350287083344E-2</v>
      </c>
      <c r="U54" s="364">
        <f t="shared" si="33"/>
        <v>16646.39799999991</v>
      </c>
      <c r="V54" s="145"/>
      <c r="W54" s="145"/>
      <c r="X54" s="145"/>
      <c r="Y54" s="366" t="s">
        <v>417</v>
      </c>
      <c r="Z54" s="366" t="s">
        <v>445</v>
      </c>
      <c r="AA54" s="367" t="s">
        <v>655</v>
      </c>
      <c r="AB54" s="367" t="s">
        <v>571</v>
      </c>
      <c r="AC54" s="367">
        <v>1</v>
      </c>
      <c r="AD54" s="446" t="s">
        <v>650</v>
      </c>
      <c r="AF54" s="375" t="s">
        <v>11</v>
      </c>
      <c r="AG54" s="372">
        <f>SUMIF($Z$51:$Z70,TRIM(AG52),$F$51:$F$70)</f>
        <v>9269.1837428571434</v>
      </c>
      <c r="AH54" s="372">
        <f>SUMIF($Z$51:$Z70,TRIM(AH52),$F$51:$F$70)</f>
        <v>0</v>
      </c>
      <c r="AI54" s="372">
        <f>SUMIF($Z$51:$Z70,TRIM(AI52),$F$51:$F$70)</f>
        <v>9240.1687999999995</v>
      </c>
      <c r="AJ54" s="372">
        <f>SUMIF($Z$51:$Z70,TRIM(AJ52),$F$51:$F$70)</f>
        <v>0</v>
      </c>
      <c r="AK54" s="372">
        <f>SUMIF($Z$51:$Z70,TRIM(AK52),$F$51:$F$70)</f>
        <v>2906.7147000000004</v>
      </c>
      <c r="AL54" s="372">
        <f>SUMIF($Z$51:$Z70,TRIM(AL52),$F$51:$F$70)</f>
        <v>8766.3528999999999</v>
      </c>
      <c r="AM54" s="372">
        <f>SUMIF($Z$51:$Z70,TRIM(AM52),$F$51:$F$70)</f>
        <v>0</v>
      </c>
    </row>
    <row r="55" spans="2:39" s="147" customFormat="1" ht="27" hidden="1" customHeight="1">
      <c r="B55" s="894"/>
      <c r="C55" s="895"/>
      <c r="D55" s="361">
        <v>5</v>
      </c>
      <c r="E55" s="440" t="s">
        <v>336</v>
      </c>
      <c r="F55" s="441">
        <f t="shared" si="24"/>
        <v>1811.9147000000005</v>
      </c>
      <c r="G55" s="365">
        <v>147.43000000000004</v>
      </c>
      <c r="H55" s="442">
        <v>4946.46</v>
      </c>
      <c r="I55" s="442">
        <v>4946.46</v>
      </c>
      <c r="J55" s="444">
        <f t="shared" si="25"/>
        <v>1</v>
      </c>
      <c r="K55" s="443">
        <v>5017.13</v>
      </c>
      <c r="L55" s="444">
        <f t="shared" si="26"/>
        <v>1.014286985035763</v>
      </c>
      <c r="M55" s="443">
        <v>70.67</v>
      </c>
      <c r="N55" s="444">
        <f t="shared" si="27"/>
        <v>1.428698503576295E-2</v>
      </c>
      <c r="O55" s="445">
        <f t="shared" si="28"/>
        <v>5087.8</v>
      </c>
      <c r="P55" s="444">
        <f t="shared" si="29"/>
        <v>1.028573970071526</v>
      </c>
      <c r="Q55" s="442">
        <v>12.290000000000001</v>
      </c>
      <c r="R55" s="444">
        <f t="shared" si="30"/>
        <v>2.4846051519672656E-3</v>
      </c>
      <c r="S55" s="445">
        <f t="shared" si="31"/>
        <v>141.34000000000015</v>
      </c>
      <c r="T55" s="444">
        <f t="shared" si="32"/>
        <v>2.8573970071525928E-2</v>
      </c>
      <c r="U55" s="364">
        <f t="shared" si="33"/>
        <v>20837.756200000025</v>
      </c>
      <c r="V55" s="145"/>
      <c r="W55" s="145"/>
      <c r="X55" s="145"/>
      <c r="Y55" s="366" t="s">
        <v>417</v>
      </c>
      <c r="Z55" s="366" t="s">
        <v>215</v>
      </c>
      <c r="AA55" s="367" t="s">
        <v>602</v>
      </c>
      <c r="AB55" s="367" t="s">
        <v>569</v>
      </c>
      <c r="AC55" s="367">
        <v>1</v>
      </c>
      <c r="AD55" s="446" t="s">
        <v>340</v>
      </c>
      <c r="AF55" s="361" t="s">
        <v>563</v>
      </c>
      <c r="AG55" s="447">
        <f t="shared" ref="AG55:AM55" si="35">AG53/$AF53</f>
        <v>0.35</v>
      </c>
      <c r="AH55" s="447">
        <f t="shared" si="35"/>
        <v>0</v>
      </c>
      <c r="AI55" s="447">
        <f t="shared" si="35"/>
        <v>0.25</v>
      </c>
      <c r="AJ55" s="447">
        <f t="shared" si="35"/>
        <v>0</v>
      </c>
      <c r="AK55" s="447">
        <f t="shared" si="35"/>
        <v>0.1</v>
      </c>
      <c r="AL55" s="447">
        <f t="shared" si="35"/>
        <v>0.3</v>
      </c>
      <c r="AM55" s="447">
        <f t="shared" si="35"/>
        <v>0</v>
      </c>
    </row>
    <row r="56" spans="2:39" s="147" customFormat="1" ht="27" hidden="1" customHeight="1">
      <c r="B56" s="894"/>
      <c r="C56" s="895"/>
      <c r="D56" s="361">
        <v>6</v>
      </c>
      <c r="E56" s="440" t="s">
        <v>459</v>
      </c>
      <c r="F56" s="441">
        <f t="shared" si="24"/>
        <v>1599.2591999999995</v>
      </c>
      <c r="G56" s="365">
        <v>605.77999999999986</v>
      </c>
      <c r="H56" s="442">
        <v>1086.77</v>
      </c>
      <c r="I56" s="442">
        <v>1086.77</v>
      </c>
      <c r="J56" s="444">
        <f t="shared" si="25"/>
        <v>1</v>
      </c>
      <c r="K56" s="443">
        <v>1097.48</v>
      </c>
      <c r="L56" s="444">
        <f t="shared" si="26"/>
        <v>1.0098548910993126</v>
      </c>
      <c r="M56" s="443">
        <v>10.709999999999999</v>
      </c>
      <c r="N56" s="444">
        <f t="shared" si="27"/>
        <v>9.8548910993126407E-3</v>
      </c>
      <c r="O56" s="445">
        <f t="shared" si="28"/>
        <v>1108.19</v>
      </c>
      <c r="P56" s="444">
        <f t="shared" si="29"/>
        <v>1.0197097821986254</v>
      </c>
      <c r="Q56" s="442">
        <v>2.6399999999999997</v>
      </c>
      <c r="R56" s="444">
        <f t="shared" si="30"/>
        <v>2.4292168536120796E-3</v>
      </c>
      <c r="S56" s="445">
        <f t="shared" si="31"/>
        <v>21.420000000000073</v>
      </c>
      <c r="T56" s="444">
        <f t="shared" si="32"/>
        <v>1.9709782198625351E-2</v>
      </c>
      <c r="U56" s="364">
        <f t="shared" si="33"/>
        <v>12975.807600000042</v>
      </c>
      <c r="V56" s="145"/>
      <c r="W56" s="145"/>
      <c r="X56" s="145"/>
      <c r="Y56" s="366" t="s">
        <v>417</v>
      </c>
      <c r="Z56" s="366" t="s">
        <v>337</v>
      </c>
      <c r="AA56" s="367" t="s">
        <v>586</v>
      </c>
      <c r="AB56" s="380" t="s">
        <v>587</v>
      </c>
      <c r="AC56" s="367">
        <v>1</v>
      </c>
      <c r="AD56" s="446" t="s">
        <v>342</v>
      </c>
    </row>
    <row r="57" spans="2:39" s="147" customFormat="1" ht="27" hidden="1" customHeight="1">
      <c r="B57" s="894"/>
      <c r="C57" s="895"/>
      <c r="D57" s="361">
        <v>7</v>
      </c>
      <c r="E57" s="440" t="s">
        <v>581</v>
      </c>
      <c r="F57" s="441">
        <f t="shared" si="24"/>
        <v>1475.4</v>
      </c>
      <c r="G57" s="365">
        <v>24.59</v>
      </c>
      <c r="H57" s="442">
        <v>15861</v>
      </c>
      <c r="I57" s="442">
        <v>15861</v>
      </c>
      <c r="J57" s="444">
        <f t="shared" si="25"/>
        <v>1</v>
      </c>
      <c r="K57" s="443">
        <v>15939</v>
      </c>
      <c r="L57" s="444">
        <f t="shared" si="26"/>
        <v>1.0049177227160961</v>
      </c>
      <c r="M57" s="443">
        <v>0</v>
      </c>
      <c r="N57" s="444">
        <f t="shared" si="27"/>
        <v>0</v>
      </c>
      <c r="O57" s="445">
        <f t="shared" si="28"/>
        <v>15939</v>
      </c>
      <c r="P57" s="444">
        <f t="shared" si="29"/>
        <v>1.0049177227160961</v>
      </c>
      <c r="Q57" s="442">
        <v>60</v>
      </c>
      <c r="R57" s="444">
        <f t="shared" si="30"/>
        <v>3.7828636277662192E-3</v>
      </c>
      <c r="S57" s="445">
        <f t="shared" si="31"/>
        <v>78</v>
      </c>
      <c r="T57" s="444">
        <f t="shared" si="32"/>
        <v>4.9177227160960846E-3</v>
      </c>
      <c r="U57" s="364">
        <f t="shared" si="33"/>
        <v>1918.02</v>
      </c>
      <c r="V57" s="145"/>
      <c r="W57" s="145"/>
      <c r="X57" s="145"/>
      <c r="Y57" s="366" t="s">
        <v>417</v>
      </c>
      <c r="Z57" s="366" t="s">
        <v>337</v>
      </c>
      <c r="AA57" s="367" t="s">
        <v>585</v>
      </c>
      <c r="AB57" s="367" t="s">
        <v>656</v>
      </c>
      <c r="AC57" s="367">
        <v>1</v>
      </c>
      <c r="AD57" s="446" t="s">
        <v>566</v>
      </c>
    </row>
    <row r="58" spans="2:39" s="147" customFormat="1" ht="27" hidden="1" customHeight="1">
      <c r="B58" s="894"/>
      <c r="C58" s="895"/>
      <c r="D58" s="361">
        <v>8</v>
      </c>
      <c r="E58" s="440" t="s">
        <v>631</v>
      </c>
      <c r="F58" s="441">
        <f t="shared" si="24"/>
        <v>1454.0756999999999</v>
      </c>
      <c r="G58" s="365">
        <v>43.889999999999993</v>
      </c>
      <c r="H58" s="442">
        <v>3631.4</v>
      </c>
      <c r="I58" s="442">
        <v>3631.4</v>
      </c>
      <c r="J58" s="444">
        <f t="shared" si="25"/>
        <v>1</v>
      </c>
      <c r="K58" s="443">
        <v>3732.92</v>
      </c>
      <c r="L58" s="444">
        <f t="shared" si="26"/>
        <v>1.0279561601586165</v>
      </c>
      <c r="M58" s="443">
        <v>92.62</v>
      </c>
      <c r="N58" s="444">
        <f t="shared" si="27"/>
        <v>2.5505314754640084E-2</v>
      </c>
      <c r="O58" s="445">
        <f t="shared" si="28"/>
        <v>3825.54</v>
      </c>
      <c r="P58" s="444">
        <f t="shared" si="29"/>
        <v>1.0534614749132565</v>
      </c>
      <c r="Q58" s="442">
        <v>33.130000000000003</v>
      </c>
      <c r="R58" s="444">
        <f t="shared" si="30"/>
        <v>9.1232031723302316E-3</v>
      </c>
      <c r="S58" s="445">
        <f t="shared" si="31"/>
        <v>194.13999999999987</v>
      </c>
      <c r="T58" s="444">
        <f t="shared" si="32"/>
        <v>5.3461474913256556E-2</v>
      </c>
      <c r="U58" s="364">
        <f t="shared" si="33"/>
        <v>8520.804599999994</v>
      </c>
      <c r="V58" s="145"/>
      <c r="W58" s="145"/>
      <c r="X58" s="145"/>
      <c r="Y58" s="366" t="s">
        <v>417</v>
      </c>
      <c r="Z58" s="366" t="s">
        <v>216</v>
      </c>
      <c r="AA58" s="380" t="s">
        <v>662</v>
      </c>
      <c r="AB58" s="367" t="s">
        <v>569</v>
      </c>
      <c r="AC58" s="367">
        <v>1</v>
      </c>
      <c r="AD58" s="446" t="s">
        <v>630</v>
      </c>
    </row>
    <row r="59" spans="2:39" s="147" customFormat="1" ht="27" hidden="1" customHeight="1">
      <c r="B59" s="894"/>
      <c r="C59" s="895"/>
      <c r="D59" s="361">
        <v>9</v>
      </c>
      <c r="E59" s="440" t="s">
        <v>534</v>
      </c>
      <c r="F59" s="441">
        <f t="shared" si="24"/>
        <v>1418.0399999999997</v>
      </c>
      <c r="G59" s="365">
        <v>39.389999999999993</v>
      </c>
      <c r="H59" s="442">
        <v>25259.64</v>
      </c>
      <c r="I59" s="442">
        <v>25259.64</v>
      </c>
      <c r="J59" s="444">
        <f t="shared" si="25"/>
        <v>1</v>
      </c>
      <c r="K59" s="443">
        <v>25406.290000000005</v>
      </c>
      <c r="L59" s="444">
        <f t="shared" si="26"/>
        <v>1.0058057042776543</v>
      </c>
      <c r="M59" s="443">
        <v>136.21</v>
      </c>
      <c r="N59" s="444">
        <f t="shared" si="27"/>
        <v>5.3923967245772314E-3</v>
      </c>
      <c r="O59" s="445">
        <f t="shared" si="28"/>
        <v>25542.500000000004</v>
      </c>
      <c r="P59" s="444">
        <f t="shared" si="29"/>
        <v>1.0111981010022313</v>
      </c>
      <c r="Q59" s="442">
        <v>36</v>
      </c>
      <c r="R59" s="444">
        <f t="shared" si="30"/>
        <v>1.4251984588853999E-3</v>
      </c>
      <c r="S59" s="445">
        <f t="shared" si="31"/>
        <v>282.86000000000422</v>
      </c>
      <c r="T59" s="444">
        <f t="shared" si="32"/>
        <v>1.1198101002231394E-2</v>
      </c>
      <c r="U59" s="364">
        <f t="shared" si="33"/>
        <v>11141.855400000164</v>
      </c>
      <c r="V59" s="145"/>
      <c r="W59" s="145"/>
      <c r="X59" s="145"/>
      <c r="Y59" s="366" t="s">
        <v>417</v>
      </c>
      <c r="Z59" s="366" t="s">
        <v>216</v>
      </c>
      <c r="AA59" s="380" t="s">
        <v>662</v>
      </c>
      <c r="AB59" s="367" t="s">
        <v>569</v>
      </c>
      <c r="AC59" s="367">
        <v>1</v>
      </c>
      <c r="AD59" s="446" t="s">
        <v>340</v>
      </c>
    </row>
    <row r="60" spans="2:39" s="147" customFormat="1" ht="27" hidden="1" customHeight="1">
      <c r="B60" s="894"/>
      <c r="C60" s="895"/>
      <c r="D60" s="361">
        <v>10</v>
      </c>
      <c r="E60" s="440" t="s">
        <v>652</v>
      </c>
      <c r="F60" s="441">
        <f t="shared" si="24"/>
        <v>1378.5875999999998</v>
      </c>
      <c r="G60" s="365">
        <v>31.59</v>
      </c>
      <c r="H60" s="442">
        <v>9400.57</v>
      </c>
      <c r="I60" s="442">
        <v>9400.57</v>
      </c>
      <c r="J60" s="444">
        <f t="shared" si="25"/>
        <v>1</v>
      </c>
      <c r="K60" s="443">
        <v>9649.39</v>
      </c>
      <c r="L60" s="444">
        <f t="shared" si="26"/>
        <v>1.0264686077546361</v>
      </c>
      <c r="M60" s="443">
        <v>248.82</v>
      </c>
      <c r="N60" s="444">
        <f t="shared" si="27"/>
        <v>2.6468607754636154E-2</v>
      </c>
      <c r="O60" s="445">
        <f t="shared" si="28"/>
        <v>9898.2099999999991</v>
      </c>
      <c r="P60" s="444">
        <f t="shared" si="29"/>
        <v>1.0529372155092722</v>
      </c>
      <c r="Q60" s="442">
        <v>43.639999999999993</v>
      </c>
      <c r="R60" s="444">
        <f t="shared" si="30"/>
        <v>4.6422716920356951E-3</v>
      </c>
      <c r="S60" s="445">
        <f t="shared" si="31"/>
        <v>497.63999999999942</v>
      </c>
      <c r="T60" s="444">
        <f t="shared" si="32"/>
        <v>5.2937215509272252E-2</v>
      </c>
      <c r="U60" s="364">
        <f t="shared" si="33"/>
        <v>15720.447599999981</v>
      </c>
      <c r="V60" s="145"/>
      <c r="W60" s="145"/>
      <c r="X60" s="145"/>
      <c r="Y60" s="366" t="s">
        <v>417</v>
      </c>
      <c r="Z60" s="366" t="s">
        <v>445</v>
      </c>
      <c r="AA60" s="367" t="s">
        <v>479</v>
      </c>
      <c r="AB60" s="367" t="s">
        <v>590</v>
      </c>
      <c r="AC60" s="367">
        <v>1</v>
      </c>
      <c r="AD60" s="446" t="s">
        <v>650</v>
      </c>
    </row>
    <row r="61" spans="2:39" s="147" customFormat="1" ht="27" hidden="1" customHeight="1">
      <c r="B61" s="894"/>
      <c r="C61" s="895"/>
      <c r="D61" s="361">
        <v>11</v>
      </c>
      <c r="E61" s="440" t="s">
        <v>462</v>
      </c>
      <c r="F61" s="441">
        <f t="shared" si="24"/>
        <v>1317.6229000000003</v>
      </c>
      <c r="G61" s="365">
        <v>160.49</v>
      </c>
      <c r="H61" s="442">
        <v>737.83999999999992</v>
      </c>
      <c r="I61" s="442">
        <v>737.83999999999992</v>
      </c>
      <c r="J61" s="444">
        <f t="shared" si="25"/>
        <v>1</v>
      </c>
      <c r="K61" s="443">
        <v>759.7399999999999</v>
      </c>
      <c r="L61" s="444">
        <f t="shared" si="26"/>
        <v>1.0296812317033504</v>
      </c>
      <c r="M61" s="443">
        <v>21.9</v>
      </c>
      <c r="N61" s="444">
        <f t="shared" si="27"/>
        <v>2.9681231703350321E-2</v>
      </c>
      <c r="O61" s="445">
        <f t="shared" si="28"/>
        <v>781.63999999999987</v>
      </c>
      <c r="P61" s="444">
        <f t="shared" si="29"/>
        <v>1.0593624634067005</v>
      </c>
      <c r="Q61" s="442">
        <v>8.2100000000000009</v>
      </c>
      <c r="R61" s="444">
        <f t="shared" si="30"/>
        <v>1.1127073620297086E-2</v>
      </c>
      <c r="S61" s="445">
        <f t="shared" si="31"/>
        <v>43.799999999999955</v>
      </c>
      <c r="T61" s="444">
        <f t="shared" si="32"/>
        <v>5.9362463406700587E-2</v>
      </c>
      <c r="U61" s="364">
        <f t="shared" si="33"/>
        <v>7029.4619999999932</v>
      </c>
      <c r="V61" s="145"/>
      <c r="W61" s="145"/>
      <c r="X61" s="145"/>
      <c r="Y61" s="366" t="s">
        <v>417</v>
      </c>
      <c r="Z61" s="366" t="s">
        <v>445</v>
      </c>
      <c r="AA61" s="367" t="s">
        <v>644</v>
      </c>
      <c r="AB61" s="367" t="s">
        <v>571</v>
      </c>
      <c r="AC61" s="367">
        <v>1</v>
      </c>
      <c r="AD61" s="446" t="s">
        <v>433</v>
      </c>
      <c r="AH61" s="370"/>
    </row>
    <row r="62" spans="2:39" s="147" customFormat="1" ht="27" hidden="1" customHeight="1">
      <c r="B62" s="894"/>
      <c r="C62" s="895"/>
      <c r="D62" s="361">
        <v>12</v>
      </c>
      <c r="E62" s="440" t="s">
        <v>653</v>
      </c>
      <c r="F62" s="441">
        <f t="shared" si="24"/>
        <v>1209.7706000000003</v>
      </c>
      <c r="G62" s="365">
        <v>40.420000000000009</v>
      </c>
      <c r="H62" s="442">
        <v>5161.1000000000004</v>
      </c>
      <c r="I62" s="442">
        <v>5161.1000000000004</v>
      </c>
      <c r="J62" s="444">
        <f t="shared" si="25"/>
        <v>1</v>
      </c>
      <c r="K62" s="443">
        <v>5318.82</v>
      </c>
      <c r="L62" s="444">
        <f t="shared" si="26"/>
        <v>1.0305593768770223</v>
      </c>
      <c r="M62" s="443">
        <v>157.72</v>
      </c>
      <c r="N62" s="444">
        <f t="shared" si="27"/>
        <v>3.0559376877022339E-2</v>
      </c>
      <c r="O62" s="445">
        <f t="shared" si="28"/>
        <v>5476.54</v>
      </c>
      <c r="P62" s="444">
        <f t="shared" si="29"/>
        <v>1.0611187537540445</v>
      </c>
      <c r="Q62" s="442">
        <v>29.93</v>
      </c>
      <c r="R62" s="444">
        <f t="shared" si="30"/>
        <v>5.7991513437057989E-3</v>
      </c>
      <c r="S62" s="445">
        <f t="shared" si="31"/>
        <v>315.4399999999996</v>
      </c>
      <c r="T62" s="444">
        <f t="shared" si="32"/>
        <v>6.1118753754044595E-2</v>
      </c>
      <c r="U62" s="364">
        <f t="shared" si="33"/>
        <v>12750.084799999986</v>
      </c>
      <c r="V62" s="145"/>
      <c r="W62" s="145"/>
      <c r="X62" s="145"/>
      <c r="Y62" s="366" t="s">
        <v>417</v>
      </c>
      <c r="Z62" s="366" t="s">
        <v>216</v>
      </c>
      <c r="AA62" s="380" t="s">
        <v>657</v>
      </c>
      <c r="AB62" s="367" t="s">
        <v>569</v>
      </c>
      <c r="AC62" s="367">
        <v>1</v>
      </c>
      <c r="AD62" s="446" t="s">
        <v>650</v>
      </c>
    </row>
    <row r="63" spans="2:39" s="147" customFormat="1" ht="27" hidden="1" customHeight="1">
      <c r="B63" s="894"/>
      <c r="C63" s="895"/>
      <c r="D63" s="361">
        <v>13</v>
      </c>
      <c r="E63" s="440" t="s">
        <v>386</v>
      </c>
      <c r="F63" s="441">
        <f t="shared" si="24"/>
        <v>1178.6848000000002</v>
      </c>
      <c r="G63" s="365">
        <v>127.84000000000002</v>
      </c>
      <c r="H63" s="442">
        <v>4364.0199999999995</v>
      </c>
      <c r="I63" s="442">
        <v>4364.0199999999995</v>
      </c>
      <c r="J63" s="444">
        <f t="shared" si="25"/>
        <v>1</v>
      </c>
      <c r="K63" s="443">
        <v>4403.34</v>
      </c>
      <c r="L63" s="444">
        <f t="shared" si="26"/>
        <v>1.0090100412005445</v>
      </c>
      <c r="M63" s="443">
        <v>39.319999999999993</v>
      </c>
      <c r="N63" s="444">
        <f t="shared" si="27"/>
        <v>9.0100412005444507E-3</v>
      </c>
      <c r="O63" s="445">
        <f t="shared" si="28"/>
        <v>4442.66</v>
      </c>
      <c r="P63" s="444">
        <f t="shared" si="29"/>
        <v>1.018020082401089</v>
      </c>
      <c r="Q63" s="442">
        <v>9.2200000000000006</v>
      </c>
      <c r="R63" s="444">
        <f t="shared" si="30"/>
        <v>2.1127309224064053E-3</v>
      </c>
      <c r="S63" s="445">
        <f t="shared" si="31"/>
        <v>78.640000000000327</v>
      </c>
      <c r="T63" s="444">
        <f t="shared" si="32"/>
        <v>1.8020082401088981E-2</v>
      </c>
      <c r="U63" s="364">
        <f t="shared" si="33"/>
        <v>10053.337600000043</v>
      </c>
      <c r="V63" s="145"/>
      <c r="W63" s="145"/>
      <c r="X63" s="145"/>
      <c r="Y63" s="366" t="s">
        <v>417</v>
      </c>
      <c r="Z63" s="366" t="s">
        <v>445</v>
      </c>
      <c r="AA63" s="367" t="s">
        <v>644</v>
      </c>
      <c r="AB63" s="367" t="s">
        <v>571</v>
      </c>
      <c r="AC63" s="367">
        <v>1</v>
      </c>
      <c r="AD63" s="446" t="s">
        <v>340</v>
      </c>
    </row>
    <row r="64" spans="2:39" s="147" customFormat="1" ht="27" hidden="1" customHeight="1">
      <c r="B64" s="894"/>
      <c r="C64" s="895"/>
      <c r="D64" s="361">
        <v>14</v>
      </c>
      <c r="E64" s="440" t="s">
        <v>544</v>
      </c>
      <c r="F64" s="441">
        <f t="shared" si="24"/>
        <v>1135.6017000000002</v>
      </c>
      <c r="G64" s="365">
        <v>62.43</v>
      </c>
      <c r="H64" s="442">
        <v>2175.88</v>
      </c>
      <c r="I64" s="442">
        <v>2175.88</v>
      </c>
      <c r="J64" s="444">
        <f t="shared" si="25"/>
        <v>1</v>
      </c>
      <c r="K64" s="443">
        <v>2245.2799999999997</v>
      </c>
      <c r="L64" s="444">
        <f t="shared" si="26"/>
        <v>1.0318951412761732</v>
      </c>
      <c r="M64" s="443">
        <v>69.400000000000006</v>
      </c>
      <c r="N64" s="444">
        <f t="shared" si="27"/>
        <v>3.1895141276173322E-2</v>
      </c>
      <c r="O64" s="445">
        <f t="shared" si="28"/>
        <v>2314.6799999999998</v>
      </c>
      <c r="P64" s="444">
        <f t="shared" si="29"/>
        <v>1.0637902825523464</v>
      </c>
      <c r="Q64" s="442">
        <v>18.190000000000001</v>
      </c>
      <c r="R64" s="444">
        <f t="shared" si="30"/>
        <v>8.3598360203687699E-3</v>
      </c>
      <c r="S64" s="445">
        <f t="shared" si="31"/>
        <v>138.79999999999973</v>
      </c>
      <c r="T64" s="444">
        <f t="shared" si="32"/>
        <v>6.3790282552346506E-2</v>
      </c>
      <c r="U64" s="364">
        <f t="shared" si="33"/>
        <v>8665.2839999999833</v>
      </c>
      <c r="V64" s="145"/>
      <c r="W64" s="145"/>
      <c r="X64" s="145"/>
      <c r="Y64" s="366" t="s">
        <v>417</v>
      </c>
      <c r="Z64" s="366" t="s">
        <v>216</v>
      </c>
      <c r="AA64" s="380" t="s">
        <v>662</v>
      </c>
      <c r="AB64" s="367" t="s">
        <v>569</v>
      </c>
      <c r="AC64" s="367">
        <v>1</v>
      </c>
      <c r="AD64" s="446" t="s">
        <v>543</v>
      </c>
    </row>
    <row r="65" spans="2:39" s="147" customFormat="1" ht="27" hidden="1" customHeight="1">
      <c r="B65" s="894"/>
      <c r="C65" s="895"/>
      <c r="D65" s="361">
        <v>15</v>
      </c>
      <c r="E65" s="440" t="s">
        <v>634</v>
      </c>
      <c r="F65" s="441">
        <f t="shared" si="24"/>
        <v>1104.3281999999999</v>
      </c>
      <c r="G65" s="365">
        <v>212.78</v>
      </c>
      <c r="H65" s="442">
        <v>526.29</v>
      </c>
      <c r="I65" s="442">
        <v>526.29</v>
      </c>
      <c r="J65" s="444">
        <f t="shared" si="25"/>
        <v>1</v>
      </c>
      <c r="K65" s="443">
        <v>543.71</v>
      </c>
      <c r="L65" s="444">
        <f t="shared" si="26"/>
        <v>1.0330996218814723</v>
      </c>
      <c r="M65" s="443">
        <v>17.420000000000002</v>
      </c>
      <c r="N65" s="444">
        <f t="shared" si="27"/>
        <v>3.3099621881472197E-2</v>
      </c>
      <c r="O65" s="445">
        <f t="shared" si="28"/>
        <v>561.13</v>
      </c>
      <c r="P65" s="444">
        <f t="shared" si="29"/>
        <v>1.0661992437629444</v>
      </c>
      <c r="Q65" s="442">
        <v>5.1899999999999995</v>
      </c>
      <c r="R65" s="444">
        <f t="shared" si="30"/>
        <v>9.8614832126774216E-3</v>
      </c>
      <c r="S65" s="445">
        <f t="shared" si="31"/>
        <v>34.840000000000032</v>
      </c>
      <c r="T65" s="444">
        <f t="shared" si="32"/>
        <v>6.6199243762944449E-2</v>
      </c>
      <c r="U65" s="364">
        <f t="shared" si="33"/>
        <v>7413.2552000000069</v>
      </c>
      <c r="V65" s="145"/>
      <c r="W65" s="145"/>
      <c r="X65" s="145"/>
      <c r="Y65" s="366" t="s">
        <v>417</v>
      </c>
      <c r="Z65" s="366" t="s">
        <v>445</v>
      </c>
      <c r="AA65" s="367" t="s">
        <v>546</v>
      </c>
      <c r="AB65" s="367" t="s">
        <v>454</v>
      </c>
      <c r="AC65" s="367">
        <v>1</v>
      </c>
      <c r="AD65" s="446" t="s">
        <v>630</v>
      </c>
    </row>
    <row r="66" spans="2:39" s="147" customFormat="1" ht="27" hidden="1" customHeight="1">
      <c r="B66" s="894"/>
      <c r="C66" s="895"/>
      <c r="D66" s="361">
        <v>16</v>
      </c>
      <c r="E66" s="440" t="s">
        <v>483</v>
      </c>
      <c r="F66" s="441">
        <f t="shared" si="24"/>
        <v>1096.7095999999999</v>
      </c>
      <c r="G66" s="365">
        <v>370.50999999999993</v>
      </c>
      <c r="H66" s="442">
        <v>430.84000000000003</v>
      </c>
      <c r="I66" s="442">
        <v>430.84000000000003</v>
      </c>
      <c r="J66" s="444">
        <f t="shared" si="25"/>
        <v>1</v>
      </c>
      <c r="K66" s="443">
        <v>442.74</v>
      </c>
      <c r="L66" s="444">
        <f t="shared" si="26"/>
        <v>1.0276204623526135</v>
      </c>
      <c r="M66" s="443">
        <v>11.900000000000002</v>
      </c>
      <c r="N66" s="444">
        <f t="shared" si="27"/>
        <v>2.7620462352613503E-2</v>
      </c>
      <c r="O66" s="445">
        <f t="shared" si="28"/>
        <v>454.64</v>
      </c>
      <c r="P66" s="444">
        <f t="shared" si="29"/>
        <v>1.0552409247052268</v>
      </c>
      <c r="Q66" s="442">
        <v>2.9600000000000004</v>
      </c>
      <c r="R66" s="444">
        <f t="shared" si="30"/>
        <v>6.8702998793055432E-3</v>
      </c>
      <c r="S66" s="445">
        <f t="shared" si="31"/>
        <v>23.799999999999955</v>
      </c>
      <c r="T66" s="444">
        <f t="shared" si="32"/>
        <v>5.5240924705226888E-2</v>
      </c>
      <c r="U66" s="364">
        <f t="shared" si="33"/>
        <v>8818.1379999999808</v>
      </c>
      <c r="V66" s="145"/>
      <c r="W66" s="145"/>
      <c r="X66" s="145"/>
      <c r="Y66" s="366" t="s">
        <v>417</v>
      </c>
      <c r="Z66" s="366" t="s">
        <v>337</v>
      </c>
      <c r="AA66" s="367" t="s">
        <v>591</v>
      </c>
      <c r="AB66" s="367" t="s">
        <v>574</v>
      </c>
      <c r="AC66" s="367">
        <v>1</v>
      </c>
      <c r="AD66" s="446" t="s">
        <v>353</v>
      </c>
    </row>
    <row r="67" spans="2:39" s="147" customFormat="1" ht="27" hidden="1" customHeight="1">
      <c r="B67" s="894"/>
      <c r="C67" s="895"/>
      <c r="D67" s="361">
        <v>17</v>
      </c>
      <c r="E67" s="440" t="s">
        <v>638</v>
      </c>
      <c r="F67" s="441">
        <f t="shared" si="24"/>
        <v>1094.8000000000002</v>
      </c>
      <c r="G67" s="365">
        <v>1.1500000000000001</v>
      </c>
      <c r="H67" s="442">
        <v>48117</v>
      </c>
      <c r="I67" s="442">
        <v>48117</v>
      </c>
      <c r="J67" s="444">
        <f t="shared" si="25"/>
        <v>1</v>
      </c>
      <c r="K67" s="443">
        <v>49069</v>
      </c>
      <c r="L67" s="444">
        <f t="shared" si="26"/>
        <v>1.0197851071346926</v>
      </c>
      <c r="M67" s="443">
        <v>0</v>
      </c>
      <c r="N67" s="444">
        <f t="shared" si="27"/>
        <v>0</v>
      </c>
      <c r="O67" s="445">
        <f t="shared" si="28"/>
        <v>49069</v>
      </c>
      <c r="P67" s="444">
        <f t="shared" si="29"/>
        <v>1.0197851071346926</v>
      </c>
      <c r="Q67" s="442">
        <v>952</v>
      </c>
      <c r="R67" s="444">
        <f t="shared" si="30"/>
        <v>1.9785107134692521E-2</v>
      </c>
      <c r="S67" s="445">
        <f t="shared" si="31"/>
        <v>952</v>
      </c>
      <c r="T67" s="444">
        <f t="shared" si="32"/>
        <v>1.9785107134692521E-2</v>
      </c>
      <c r="U67" s="364">
        <f t="shared" si="33"/>
        <v>1094.8000000000002</v>
      </c>
      <c r="V67" s="145"/>
      <c r="W67" s="145"/>
      <c r="X67" s="145"/>
      <c r="Y67" s="366" t="s">
        <v>417</v>
      </c>
      <c r="Z67" s="366" t="s">
        <v>215</v>
      </c>
      <c r="AA67" s="366" t="s">
        <v>604</v>
      </c>
      <c r="AB67" s="367" t="s">
        <v>605</v>
      </c>
      <c r="AC67" s="367">
        <v>1</v>
      </c>
      <c r="AD67" s="446" t="s">
        <v>435</v>
      </c>
    </row>
    <row r="68" spans="2:39" s="147" customFormat="1" ht="27" hidden="1" customHeight="1">
      <c r="B68" s="894"/>
      <c r="C68" s="895"/>
      <c r="D68" s="361">
        <v>18</v>
      </c>
      <c r="E68" s="440" t="s">
        <v>568</v>
      </c>
      <c r="F68" s="441">
        <f t="shared" si="24"/>
        <v>1075.4744000000001</v>
      </c>
      <c r="G68" s="365">
        <v>40.04</v>
      </c>
      <c r="H68" s="442">
        <v>2890.69</v>
      </c>
      <c r="I68" s="442">
        <v>2890.69</v>
      </c>
      <c r="J68" s="444">
        <f t="shared" si="25"/>
        <v>1</v>
      </c>
      <c r="K68" s="443">
        <v>2987.64</v>
      </c>
      <c r="L68" s="444">
        <f t="shared" si="26"/>
        <v>1.0335387052918161</v>
      </c>
      <c r="M68" s="443">
        <v>96.95</v>
      </c>
      <c r="N68" s="444">
        <f t="shared" si="27"/>
        <v>3.3538705291816143E-2</v>
      </c>
      <c r="O68" s="445">
        <f t="shared" si="28"/>
        <v>3084.5899999999997</v>
      </c>
      <c r="P68" s="444">
        <f t="shared" si="29"/>
        <v>1.0670774105836323</v>
      </c>
      <c r="Q68" s="442">
        <v>26.86</v>
      </c>
      <c r="R68" s="444">
        <f t="shared" si="30"/>
        <v>9.2918991659430798E-3</v>
      </c>
      <c r="S68" s="445">
        <f t="shared" si="31"/>
        <v>193.89999999999964</v>
      </c>
      <c r="T68" s="444">
        <f t="shared" si="32"/>
        <v>6.707741058363216E-2</v>
      </c>
      <c r="U68" s="364">
        <f t="shared" si="33"/>
        <v>7763.7559999999849</v>
      </c>
      <c r="V68" s="145"/>
      <c r="W68" s="145"/>
      <c r="X68" s="145"/>
      <c r="Y68" s="366" t="s">
        <v>417</v>
      </c>
      <c r="Z68" s="366" t="s">
        <v>216</v>
      </c>
      <c r="AA68" s="380" t="s">
        <v>662</v>
      </c>
      <c r="AB68" s="367" t="s">
        <v>569</v>
      </c>
      <c r="AC68" s="367">
        <v>1</v>
      </c>
      <c r="AD68" s="446" t="s">
        <v>533</v>
      </c>
    </row>
    <row r="69" spans="2:39" s="147" customFormat="1" ht="27" hidden="1" customHeight="1">
      <c r="B69" s="894"/>
      <c r="C69" s="895"/>
      <c r="D69" s="361">
        <v>19</v>
      </c>
      <c r="E69" s="440" t="s">
        <v>654</v>
      </c>
      <c r="F69" s="441">
        <f t="shared" si="24"/>
        <v>1048.2307428571432</v>
      </c>
      <c r="G69" s="365">
        <v>51.434285714285728</v>
      </c>
      <c r="H69" s="442">
        <v>1137.33</v>
      </c>
      <c r="I69" s="442">
        <v>1137.33</v>
      </c>
      <c r="J69" s="444">
        <f t="shared" si="25"/>
        <v>1</v>
      </c>
      <c r="K69" s="443">
        <v>1186.52</v>
      </c>
      <c r="L69" s="444">
        <f t="shared" si="26"/>
        <v>1.0432504198429655</v>
      </c>
      <c r="M69" s="443">
        <v>49.189999999999991</v>
      </c>
      <c r="N69" s="444">
        <f t="shared" si="27"/>
        <v>4.3250419842965536E-2</v>
      </c>
      <c r="O69" s="445">
        <f t="shared" si="28"/>
        <v>1235.71</v>
      </c>
      <c r="P69" s="444">
        <f t="shared" si="29"/>
        <v>1.0865008396859313</v>
      </c>
      <c r="Q69" s="442">
        <v>20.380000000000003</v>
      </c>
      <c r="R69" s="444">
        <f t="shared" si="30"/>
        <v>1.7919161545022117E-2</v>
      </c>
      <c r="S69" s="445">
        <f t="shared" si="31"/>
        <v>98.380000000000109</v>
      </c>
      <c r="T69" s="444">
        <f t="shared" si="32"/>
        <v>8.6500839685931183E-2</v>
      </c>
      <c r="U69" s="364">
        <f t="shared" si="33"/>
        <v>5060.1050285714355</v>
      </c>
      <c r="V69" s="145"/>
      <c r="W69" s="145"/>
      <c r="X69" s="145"/>
      <c r="Y69" s="366" t="s">
        <v>417</v>
      </c>
      <c r="Z69" s="366" t="s">
        <v>445</v>
      </c>
      <c r="AA69" s="367" t="s">
        <v>479</v>
      </c>
      <c r="AB69" s="367" t="s">
        <v>590</v>
      </c>
      <c r="AC69" s="367">
        <v>1</v>
      </c>
      <c r="AD69" s="446" t="s">
        <v>342</v>
      </c>
    </row>
    <row r="70" spans="2:39" s="147" customFormat="1" ht="27" hidden="1" customHeight="1">
      <c r="B70" s="896"/>
      <c r="C70" s="897"/>
      <c r="D70" s="361">
        <v>20</v>
      </c>
      <c r="E70" s="440" t="s">
        <v>618</v>
      </c>
      <c r="F70" s="441">
        <f t="shared" si="24"/>
        <v>1046.24</v>
      </c>
      <c r="G70" s="365">
        <v>2.08</v>
      </c>
      <c r="H70" s="442">
        <v>39366</v>
      </c>
      <c r="I70" s="442">
        <v>39366</v>
      </c>
      <c r="J70" s="444">
        <f t="shared" si="25"/>
        <v>1</v>
      </c>
      <c r="K70" s="443">
        <v>39928</v>
      </c>
      <c r="L70" s="444">
        <f t="shared" si="26"/>
        <v>1.0142762790225068</v>
      </c>
      <c r="M70" s="443">
        <v>0</v>
      </c>
      <c r="N70" s="444">
        <f t="shared" si="27"/>
        <v>0</v>
      </c>
      <c r="O70" s="445">
        <f t="shared" si="28"/>
        <v>39928</v>
      </c>
      <c r="P70" s="444">
        <f t="shared" si="29"/>
        <v>1.0142762790225068</v>
      </c>
      <c r="Q70" s="442">
        <v>503</v>
      </c>
      <c r="R70" s="444">
        <f t="shared" si="30"/>
        <v>1.2777523751460651E-2</v>
      </c>
      <c r="S70" s="445">
        <f t="shared" si="31"/>
        <v>562</v>
      </c>
      <c r="T70" s="444">
        <f t="shared" si="32"/>
        <v>1.4276279022506732E-2</v>
      </c>
      <c r="U70" s="364">
        <f t="shared" si="33"/>
        <v>1168.96</v>
      </c>
      <c r="V70" s="145"/>
      <c r="W70" s="145"/>
      <c r="X70" s="145"/>
      <c r="Y70" s="366" t="s">
        <v>417</v>
      </c>
      <c r="Z70" s="366" t="s">
        <v>445</v>
      </c>
      <c r="AA70" s="366" t="s">
        <v>658</v>
      </c>
      <c r="AB70" s="367" t="s">
        <v>571</v>
      </c>
      <c r="AC70" s="367">
        <v>1</v>
      </c>
      <c r="AD70" s="446" t="s">
        <v>530</v>
      </c>
    </row>
    <row r="71" spans="2:39" ht="17.100000000000001" hidden="1" customHeight="1">
      <c r="B71" s="930" t="s">
        <v>442</v>
      </c>
      <c r="C71" s="931"/>
      <c r="D71" s="932" t="s">
        <v>549</v>
      </c>
      <c r="E71" s="934" t="s">
        <v>550</v>
      </c>
      <c r="F71" s="881" t="s">
        <v>551</v>
      </c>
      <c r="G71" s="881" t="s">
        <v>552</v>
      </c>
      <c r="H71" s="905" t="s">
        <v>553</v>
      </c>
      <c r="I71" s="906" t="s">
        <v>554</v>
      </c>
      <c r="J71" s="907"/>
      <c r="K71" s="906" t="s">
        <v>555</v>
      </c>
      <c r="L71" s="907"/>
      <c r="M71" s="906" t="s">
        <v>556</v>
      </c>
      <c r="N71" s="907"/>
      <c r="O71" s="906" t="s">
        <v>557</v>
      </c>
      <c r="P71" s="907"/>
      <c r="Q71" s="906" t="s">
        <v>418</v>
      </c>
      <c r="R71" s="907"/>
      <c r="S71" s="908" t="s">
        <v>419</v>
      </c>
      <c r="T71" s="909"/>
      <c r="U71" s="910"/>
      <c r="Y71" s="914" t="s">
        <v>171</v>
      </c>
      <c r="Z71" s="914" t="s">
        <v>245</v>
      </c>
      <c r="AA71" s="914" t="s">
        <v>558</v>
      </c>
      <c r="AB71" s="914" t="s">
        <v>444</v>
      </c>
      <c r="AC71" s="914" t="s">
        <v>246</v>
      </c>
      <c r="AD71" s="881" t="s">
        <v>172</v>
      </c>
      <c r="AF71" s="883" t="s">
        <v>247</v>
      </c>
      <c r="AG71" s="884"/>
      <c r="AH71" s="884"/>
      <c r="AI71" s="884"/>
      <c r="AJ71" s="884"/>
      <c r="AK71" s="884"/>
      <c r="AL71" s="884"/>
      <c r="AM71" s="885"/>
    </row>
    <row r="72" spans="2:39" hidden="1">
      <c r="B72" s="900"/>
      <c r="C72" s="901"/>
      <c r="D72" s="933"/>
      <c r="E72" s="935"/>
      <c r="F72" s="882"/>
      <c r="G72" s="882"/>
      <c r="H72" s="936"/>
      <c r="I72" s="439" t="s">
        <v>559</v>
      </c>
      <c r="J72" s="362" t="s">
        <v>560</v>
      </c>
      <c r="K72" s="439" t="s">
        <v>559</v>
      </c>
      <c r="L72" s="362" t="s">
        <v>560</v>
      </c>
      <c r="M72" s="439" t="s">
        <v>559</v>
      </c>
      <c r="N72" s="362" t="s">
        <v>560</v>
      </c>
      <c r="O72" s="439" t="s">
        <v>559</v>
      </c>
      <c r="P72" s="362" t="s">
        <v>560</v>
      </c>
      <c r="Q72" s="439" t="s">
        <v>559</v>
      </c>
      <c r="R72" s="362" t="s">
        <v>560</v>
      </c>
      <c r="S72" s="439" t="s">
        <v>559</v>
      </c>
      <c r="T72" s="362" t="s">
        <v>560</v>
      </c>
      <c r="U72" s="362" t="s">
        <v>561</v>
      </c>
      <c r="Y72" s="915"/>
      <c r="Z72" s="915"/>
      <c r="AA72" s="915"/>
      <c r="AB72" s="915"/>
      <c r="AC72" s="915"/>
      <c r="AD72" s="882"/>
      <c r="AF72" s="886"/>
      <c r="AG72" s="887"/>
      <c r="AH72" s="887"/>
      <c r="AI72" s="887"/>
      <c r="AJ72" s="887"/>
      <c r="AK72" s="887"/>
      <c r="AL72" s="887"/>
      <c r="AM72" s="888"/>
    </row>
    <row r="73" spans="2:39" s="147" customFormat="1" ht="27" hidden="1" customHeight="1">
      <c r="B73" s="927" t="s">
        <v>627</v>
      </c>
      <c r="C73" s="893"/>
      <c r="D73" s="361">
        <v>1</v>
      </c>
      <c r="E73" s="440" t="s">
        <v>335</v>
      </c>
      <c r="F73" s="441">
        <f>IFERROR(Q73*G73,"-")</f>
        <v>2085.75</v>
      </c>
      <c r="G73" s="365">
        <v>15.450000000000001</v>
      </c>
      <c r="H73" s="442">
        <v>66708</v>
      </c>
      <c r="I73" s="442">
        <v>66708</v>
      </c>
      <c r="J73" s="444">
        <f>IFERROR(I73/H73,"-")</f>
        <v>1</v>
      </c>
      <c r="K73" s="443">
        <v>66843</v>
      </c>
      <c r="L73" s="444">
        <f>IFERROR(K73/H73,"-")</f>
        <v>1.0020237452779277</v>
      </c>
      <c r="M73" s="443">
        <v>0</v>
      </c>
      <c r="N73" s="444">
        <f>IFERROR(M73/H73,"-")</f>
        <v>0</v>
      </c>
      <c r="O73" s="445">
        <f>IFERROR(K73+M73,"-")</f>
        <v>66843</v>
      </c>
      <c r="P73" s="444">
        <f>IFERROR(O73/H73,"-")</f>
        <v>1.0020237452779277</v>
      </c>
      <c r="Q73" s="442">
        <v>135</v>
      </c>
      <c r="R73" s="444">
        <f>IFERROR(Q73/H73,"-")</f>
        <v>2.0237452779276847E-3</v>
      </c>
      <c r="S73" s="445">
        <f>IFERROR(O73-H73,"-")</f>
        <v>135</v>
      </c>
      <c r="T73" s="444">
        <f>IFERROR(S73/H73,"-")</f>
        <v>2.0237452779276847E-3</v>
      </c>
      <c r="U73" s="364">
        <f>IFERROR(S73*G73,"-")</f>
        <v>2085.75</v>
      </c>
      <c r="V73" s="145"/>
      <c r="W73" s="145"/>
      <c r="X73" s="145"/>
      <c r="Y73" s="366" t="s">
        <v>417</v>
      </c>
      <c r="Z73" s="366" t="s">
        <v>216</v>
      </c>
      <c r="AA73" s="367" t="s">
        <v>671</v>
      </c>
      <c r="AB73" s="367" t="s">
        <v>569</v>
      </c>
      <c r="AC73" s="367">
        <v>1</v>
      </c>
      <c r="AD73" s="446" t="s">
        <v>523</v>
      </c>
      <c r="AF73" s="889"/>
      <c r="AG73" s="890"/>
      <c r="AH73" s="890"/>
      <c r="AI73" s="890"/>
      <c r="AJ73" s="890"/>
      <c r="AK73" s="890"/>
      <c r="AL73" s="890"/>
      <c r="AM73" s="891"/>
    </row>
    <row r="74" spans="2:39" s="147" customFormat="1" ht="27" hidden="1" customHeight="1">
      <c r="B74" s="894"/>
      <c r="C74" s="895"/>
      <c r="D74" s="361">
        <v>2</v>
      </c>
      <c r="E74" s="440" t="s">
        <v>447</v>
      </c>
      <c r="F74" s="441">
        <f t="shared" ref="F74:F92" si="36">IFERROR(Q74*G74,"-")</f>
        <v>1847.4299999999998</v>
      </c>
      <c r="G74" s="365">
        <v>1.17</v>
      </c>
      <c r="H74" s="442">
        <v>243737</v>
      </c>
      <c r="I74" s="442">
        <v>243737</v>
      </c>
      <c r="J74" s="444">
        <f t="shared" ref="J74:J92" si="37">IFERROR(I74/H74,"-")</f>
        <v>1</v>
      </c>
      <c r="K74" s="443">
        <v>245316</v>
      </c>
      <c r="L74" s="444">
        <f t="shared" ref="L74:L92" si="38">IFERROR(K74/H74,"-")</f>
        <v>1.0064782942269741</v>
      </c>
      <c r="M74" s="443">
        <v>0</v>
      </c>
      <c r="N74" s="444">
        <f t="shared" ref="N74:N92" si="39">IFERROR(M74/H74,"-")</f>
        <v>0</v>
      </c>
      <c r="O74" s="445">
        <f t="shared" ref="O74:O92" si="40">IFERROR(K74+M74,"-")</f>
        <v>245316</v>
      </c>
      <c r="P74" s="444">
        <f t="shared" ref="P74:P92" si="41">IFERROR(O74/H74,"-")</f>
        <v>1.0064782942269741</v>
      </c>
      <c r="Q74" s="442">
        <v>1579</v>
      </c>
      <c r="R74" s="444">
        <f t="shared" ref="R74:R92" si="42">IFERROR(Q74/H74,"-")</f>
        <v>6.4782942269741564E-3</v>
      </c>
      <c r="S74" s="445">
        <f t="shared" ref="S74:S92" si="43">IFERROR(O74-H74,"-")</f>
        <v>1579</v>
      </c>
      <c r="T74" s="444">
        <f t="shared" ref="T74:T92" si="44">IFERROR(S74/H74,"-")</f>
        <v>6.4782942269741564E-3</v>
      </c>
      <c r="U74" s="364">
        <f t="shared" ref="U74:U92" si="45">IFERROR(S74*G74,"-")</f>
        <v>1847.4299999999998</v>
      </c>
      <c r="V74" s="145"/>
      <c r="W74" s="145"/>
      <c r="X74" s="145"/>
      <c r="Y74" s="366" t="s">
        <v>417</v>
      </c>
      <c r="Z74" s="366" t="s">
        <v>337</v>
      </c>
      <c r="AA74" s="367" t="s">
        <v>672</v>
      </c>
      <c r="AB74" s="367" t="s">
        <v>526</v>
      </c>
      <c r="AC74" s="367">
        <v>1</v>
      </c>
      <c r="AD74" s="446" t="s">
        <v>340</v>
      </c>
      <c r="AF74" s="160" t="s">
        <v>244</v>
      </c>
      <c r="AG74" s="160" t="s">
        <v>445</v>
      </c>
      <c r="AH74" s="155" t="s">
        <v>562</v>
      </c>
      <c r="AI74" s="155" t="s">
        <v>337</v>
      </c>
      <c r="AJ74" s="155" t="s">
        <v>428</v>
      </c>
      <c r="AK74" s="155" t="s">
        <v>215</v>
      </c>
      <c r="AL74" s="155" t="s">
        <v>216</v>
      </c>
      <c r="AM74" s="155" t="s">
        <v>384</v>
      </c>
    </row>
    <row r="75" spans="2:39" s="147" customFormat="1" ht="27" hidden="1" customHeight="1">
      <c r="B75" s="894"/>
      <c r="C75" s="895"/>
      <c r="D75" s="361">
        <v>3</v>
      </c>
      <c r="E75" s="440" t="s">
        <v>448</v>
      </c>
      <c r="F75" s="441">
        <f t="shared" si="36"/>
        <v>1795.85</v>
      </c>
      <c r="G75" s="365">
        <v>2.4499999999999997</v>
      </c>
      <c r="H75" s="442">
        <v>122927</v>
      </c>
      <c r="I75" s="442">
        <v>122927</v>
      </c>
      <c r="J75" s="444">
        <f t="shared" si="37"/>
        <v>1</v>
      </c>
      <c r="K75" s="443">
        <v>123660</v>
      </c>
      <c r="L75" s="444">
        <f t="shared" si="38"/>
        <v>1.0059628885436072</v>
      </c>
      <c r="M75" s="443">
        <v>0</v>
      </c>
      <c r="N75" s="444">
        <f t="shared" si="39"/>
        <v>0</v>
      </c>
      <c r="O75" s="445">
        <f t="shared" si="40"/>
        <v>123660</v>
      </c>
      <c r="P75" s="444">
        <f t="shared" si="41"/>
        <v>1.0059628885436072</v>
      </c>
      <c r="Q75" s="442">
        <v>733</v>
      </c>
      <c r="R75" s="444">
        <f t="shared" si="42"/>
        <v>5.9628885436071814E-3</v>
      </c>
      <c r="S75" s="445">
        <f t="shared" si="43"/>
        <v>733</v>
      </c>
      <c r="T75" s="444">
        <f t="shared" si="44"/>
        <v>5.9628885436071814E-3</v>
      </c>
      <c r="U75" s="364">
        <f t="shared" si="45"/>
        <v>1795.85</v>
      </c>
      <c r="V75" s="145"/>
      <c r="W75" s="145"/>
      <c r="X75" s="145"/>
      <c r="Y75" s="366" t="s">
        <v>417</v>
      </c>
      <c r="Z75" s="366" t="s">
        <v>337</v>
      </c>
      <c r="AA75" s="367" t="s">
        <v>673</v>
      </c>
      <c r="AB75" s="367" t="s">
        <v>468</v>
      </c>
      <c r="AC75" s="367">
        <v>1</v>
      </c>
      <c r="AD75" s="446" t="s">
        <v>340</v>
      </c>
      <c r="AF75" s="374">
        <f>SUM(AC73:AC92)</f>
        <v>20</v>
      </c>
      <c r="AG75" s="369">
        <f t="shared" ref="AG75:AM75" si="46">SUMIF($Z$73:$Z$92,TRIM(AG74),$AC$73:$AC$92)</f>
        <v>8</v>
      </c>
      <c r="AH75" s="369">
        <f t="shared" si="46"/>
        <v>0</v>
      </c>
      <c r="AI75" s="369">
        <f t="shared" si="46"/>
        <v>6</v>
      </c>
      <c r="AJ75" s="369">
        <f t="shared" si="46"/>
        <v>0</v>
      </c>
      <c r="AK75" s="369">
        <f t="shared" si="46"/>
        <v>1</v>
      </c>
      <c r="AL75" s="369">
        <f t="shared" si="46"/>
        <v>5</v>
      </c>
      <c r="AM75" s="369">
        <f t="shared" si="46"/>
        <v>0</v>
      </c>
    </row>
    <row r="76" spans="2:39" s="147" customFormat="1" ht="27" hidden="1" customHeight="1">
      <c r="B76" s="894"/>
      <c r="C76" s="895"/>
      <c r="D76" s="361">
        <v>4</v>
      </c>
      <c r="E76" s="440" t="s">
        <v>534</v>
      </c>
      <c r="F76" s="441">
        <f t="shared" si="36"/>
        <v>1531.4831999999999</v>
      </c>
      <c r="G76" s="365">
        <v>39.389999999999993</v>
      </c>
      <c r="H76" s="442">
        <v>29156.94</v>
      </c>
      <c r="I76" s="442">
        <v>29156.94</v>
      </c>
      <c r="J76" s="444">
        <f t="shared" si="37"/>
        <v>1</v>
      </c>
      <c r="K76" s="443">
        <v>29314.080000000002</v>
      </c>
      <c r="L76" s="444">
        <f t="shared" si="38"/>
        <v>1.0053894544489237</v>
      </c>
      <c r="M76" s="443">
        <v>157.14000000000001</v>
      </c>
      <c r="N76" s="444">
        <f t="shared" si="39"/>
        <v>5.3894544489236536E-3</v>
      </c>
      <c r="O76" s="445">
        <f t="shared" si="40"/>
        <v>29471.22</v>
      </c>
      <c r="P76" s="444">
        <f t="shared" si="41"/>
        <v>1.0107789088978474</v>
      </c>
      <c r="Q76" s="442">
        <v>38.880000000000003</v>
      </c>
      <c r="R76" s="444">
        <f t="shared" si="42"/>
        <v>1.3334732657130689E-3</v>
      </c>
      <c r="S76" s="445">
        <f t="shared" si="43"/>
        <v>314.28000000000247</v>
      </c>
      <c r="T76" s="444">
        <f t="shared" si="44"/>
        <v>1.077890889784739E-2</v>
      </c>
      <c r="U76" s="364">
        <f t="shared" si="45"/>
        <v>12379.489200000095</v>
      </c>
      <c r="V76" s="145"/>
      <c r="W76" s="145"/>
      <c r="X76" s="145"/>
      <c r="Y76" s="366" t="s">
        <v>417</v>
      </c>
      <c r="Z76" s="366" t="s">
        <v>216</v>
      </c>
      <c r="AA76" s="367" t="s">
        <v>662</v>
      </c>
      <c r="AB76" s="367" t="s">
        <v>674</v>
      </c>
      <c r="AC76" s="367">
        <v>1</v>
      </c>
      <c r="AD76" s="446" t="s">
        <v>340</v>
      </c>
      <c r="AF76" s="375" t="s">
        <v>11</v>
      </c>
      <c r="AG76" s="372">
        <f>SUMIF($Z$73:$Z92,TRIM(AG74),$F$73:$F$92)</f>
        <v>7784.2734</v>
      </c>
      <c r="AH76" s="372">
        <f>SUMIF($Z$73:$Z92,TRIM(AH74),$F$73:$F$92)</f>
        <v>0</v>
      </c>
      <c r="AI76" s="372">
        <f>SUMIF($Z$73:$Z92,TRIM(AI74),$F$73:$F$92)</f>
        <v>7842.5915999999997</v>
      </c>
      <c r="AJ76" s="372">
        <f>SUMIF($Z$73:$Z92,TRIM(AJ74),$F$73:$F$92)</f>
        <v>0</v>
      </c>
      <c r="AK76" s="372">
        <f>SUMIF($Z$73:$Z92,TRIM(AK74),$F$73:$F$92)</f>
        <v>1413.8537000000003</v>
      </c>
      <c r="AL76" s="372">
        <f>SUMIF($Z$73:$Z92,TRIM(AL74),$F$73:$F$92)</f>
        <v>6889.3279999999995</v>
      </c>
      <c r="AM76" s="372">
        <f>SUMIF($Z$73:$Z92,TRIM(AM74),$F$73:$F$92)</f>
        <v>0</v>
      </c>
    </row>
    <row r="77" spans="2:39" s="147" customFormat="1" ht="27" hidden="1" customHeight="1">
      <c r="B77" s="894"/>
      <c r="C77" s="895"/>
      <c r="D77" s="361">
        <v>5</v>
      </c>
      <c r="E77" s="440" t="s">
        <v>336</v>
      </c>
      <c r="F77" s="441">
        <f t="shared" si="36"/>
        <v>1413.8537000000003</v>
      </c>
      <c r="G77" s="365">
        <v>147.43000000000004</v>
      </c>
      <c r="H77" s="442">
        <v>4104.16</v>
      </c>
      <c r="I77" s="442">
        <v>4104.16</v>
      </c>
      <c r="J77" s="444">
        <f t="shared" si="37"/>
        <v>1</v>
      </c>
      <c r="K77" s="443">
        <v>4169.46</v>
      </c>
      <c r="L77" s="444">
        <f t="shared" si="38"/>
        <v>1.0159106857432458</v>
      </c>
      <c r="M77" s="443">
        <v>65.3</v>
      </c>
      <c r="N77" s="444">
        <f t="shared" si="39"/>
        <v>1.5910685743245879E-2</v>
      </c>
      <c r="O77" s="445">
        <f t="shared" si="40"/>
        <v>4234.76</v>
      </c>
      <c r="P77" s="444">
        <f t="shared" si="41"/>
        <v>1.0318213714864919</v>
      </c>
      <c r="Q77" s="442">
        <v>9.59</v>
      </c>
      <c r="R77" s="444">
        <f t="shared" si="42"/>
        <v>2.3366535417722505E-3</v>
      </c>
      <c r="S77" s="445">
        <f t="shared" si="43"/>
        <v>130.60000000000036</v>
      </c>
      <c r="T77" s="444">
        <f t="shared" si="44"/>
        <v>3.1821371486491848E-2</v>
      </c>
      <c r="U77" s="364">
        <f t="shared" si="45"/>
        <v>19254.358000000058</v>
      </c>
      <c r="V77" s="145"/>
      <c r="W77" s="145"/>
      <c r="X77" s="145"/>
      <c r="Y77" s="366" t="s">
        <v>417</v>
      </c>
      <c r="Z77" s="366" t="s">
        <v>215</v>
      </c>
      <c r="AA77" s="367" t="s">
        <v>675</v>
      </c>
      <c r="AB77" s="367" t="s">
        <v>569</v>
      </c>
      <c r="AC77" s="367">
        <v>1</v>
      </c>
      <c r="AD77" s="446" t="s">
        <v>340</v>
      </c>
      <c r="AF77" s="361" t="s">
        <v>563</v>
      </c>
      <c r="AG77" s="447">
        <f t="shared" ref="AG77:AM77" si="47">AG75/$AF75</f>
        <v>0.4</v>
      </c>
      <c r="AH77" s="447">
        <f t="shared" si="47"/>
        <v>0</v>
      </c>
      <c r="AI77" s="447">
        <f t="shared" si="47"/>
        <v>0.3</v>
      </c>
      <c r="AJ77" s="447">
        <f t="shared" si="47"/>
        <v>0</v>
      </c>
      <c r="AK77" s="447">
        <f t="shared" si="47"/>
        <v>0.05</v>
      </c>
      <c r="AL77" s="447">
        <f t="shared" si="47"/>
        <v>0.25</v>
      </c>
      <c r="AM77" s="447">
        <f t="shared" si="47"/>
        <v>0</v>
      </c>
    </row>
    <row r="78" spans="2:39" s="147" customFormat="1" ht="27" hidden="1" customHeight="1">
      <c r="B78" s="894"/>
      <c r="C78" s="895"/>
      <c r="D78" s="361">
        <v>6</v>
      </c>
      <c r="E78" s="440" t="s">
        <v>386</v>
      </c>
      <c r="F78" s="441">
        <f t="shared" si="36"/>
        <v>1218.3152</v>
      </c>
      <c r="G78" s="365">
        <v>127.84000000000002</v>
      </c>
      <c r="H78" s="442">
        <v>3665.4800000000005</v>
      </c>
      <c r="I78" s="442">
        <v>3665.4800000000005</v>
      </c>
      <c r="J78" s="444">
        <f t="shared" si="37"/>
        <v>1</v>
      </c>
      <c r="K78" s="443">
        <v>3706.5800000000004</v>
      </c>
      <c r="L78" s="444">
        <f t="shared" si="38"/>
        <v>1.0112127197529381</v>
      </c>
      <c r="M78" s="443">
        <v>41.1</v>
      </c>
      <c r="N78" s="444">
        <f t="shared" si="39"/>
        <v>1.1212719752938223E-2</v>
      </c>
      <c r="O78" s="445">
        <f t="shared" si="40"/>
        <v>3747.6800000000003</v>
      </c>
      <c r="P78" s="444">
        <f t="shared" si="41"/>
        <v>1.0224254395058765</v>
      </c>
      <c r="Q78" s="442">
        <v>9.5299999999999994</v>
      </c>
      <c r="R78" s="444">
        <f t="shared" si="42"/>
        <v>2.5999323417396896E-3</v>
      </c>
      <c r="S78" s="445">
        <f t="shared" si="43"/>
        <v>82.199999999999818</v>
      </c>
      <c r="T78" s="444">
        <f t="shared" si="44"/>
        <v>2.2425439505876395E-2</v>
      </c>
      <c r="U78" s="364">
        <f t="shared" si="45"/>
        <v>10508.447999999978</v>
      </c>
      <c r="V78" s="145"/>
      <c r="W78" s="145"/>
      <c r="X78" s="145"/>
      <c r="Y78" s="366" t="s">
        <v>417</v>
      </c>
      <c r="Z78" s="366" t="s">
        <v>445</v>
      </c>
      <c r="AA78" s="367" t="s">
        <v>644</v>
      </c>
      <c r="AB78" s="367" t="s">
        <v>571</v>
      </c>
      <c r="AC78" s="367">
        <v>1</v>
      </c>
      <c r="AD78" s="446" t="s">
        <v>340</v>
      </c>
    </row>
    <row r="79" spans="2:39" s="147" customFormat="1" ht="27" hidden="1" customHeight="1">
      <c r="B79" s="894"/>
      <c r="C79" s="895"/>
      <c r="D79" s="361">
        <v>7</v>
      </c>
      <c r="E79" s="440" t="s">
        <v>619</v>
      </c>
      <c r="F79" s="441">
        <f t="shared" si="36"/>
        <v>1174.2158999999997</v>
      </c>
      <c r="G79" s="365">
        <v>39.389999999999993</v>
      </c>
      <c r="H79" s="442">
        <v>5900.0300000000007</v>
      </c>
      <c r="I79" s="442">
        <v>5900.0300000000007</v>
      </c>
      <c r="J79" s="444">
        <f t="shared" si="37"/>
        <v>1</v>
      </c>
      <c r="K79" s="443">
        <v>6016.2199999999993</v>
      </c>
      <c r="L79" s="444">
        <f t="shared" si="38"/>
        <v>1.0196931202044732</v>
      </c>
      <c r="M79" s="443">
        <v>116.19</v>
      </c>
      <c r="N79" s="444">
        <f t="shared" si="39"/>
        <v>1.9693120204473533E-2</v>
      </c>
      <c r="O79" s="445">
        <f t="shared" si="40"/>
        <v>6132.4099999999989</v>
      </c>
      <c r="P79" s="444">
        <f t="shared" si="41"/>
        <v>1.0393862404089467</v>
      </c>
      <c r="Q79" s="442">
        <v>29.81</v>
      </c>
      <c r="R79" s="444">
        <f t="shared" si="42"/>
        <v>5.0525166821185647E-3</v>
      </c>
      <c r="S79" s="445">
        <f t="shared" si="43"/>
        <v>232.37999999999829</v>
      </c>
      <c r="T79" s="444">
        <f t="shared" si="44"/>
        <v>3.9386240408946782E-2</v>
      </c>
      <c r="U79" s="364">
        <f t="shared" si="45"/>
        <v>9153.4481999999316</v>
      </c>
      <c r="V79" s="145"/>
      <c r="W79" s="145"/>
      <c r="X79" s="145"/>
      <c r="Y79" s="366" t="s">
        <v>417</v>
      </c>
      <c r="Z79" s="366" t="s">
        <v>216</v>
      </c>
      <c r="AA79" s="367" t="s">
        <v>662</v>
      </c>
      <c r="AB79" s="367" t="s">
        <v>674</v>
      </c>
      <c r="AC79" s="367">
        <v>1</v>
      </c>
      <c r="AD79" s="446" t="s">
        <v>614</v>
      </c>
    </row>
    <row r="80" spans="2:39" s="147" customFormat="1" ht="27" hidden="1" customHeight="1">
      <c r="B80" s="894"/>
      <c r="C80" s="895"/>
      <c r="D80" s="361">
        <v>8</v>
      </c>
      <c r="E80" s="440" t="s">
        <v>461</v>
      </c>
      <c r="F80" s="441">
        <f t="shared" si="36"/>
        <v>1157.9816000000001</v>
      </c>
      <c r="G80" s="365">
        <v>407.74000000000007</v>
      </c>
      <c r="H80" s="442">
        <v>965.51</v>
      </c>
      <c r="I80" s="442">
        <v>965.51</v>
      </c>
      <c r="J80" s="444">
        <f t="shared" si="37"/>
        <v>1</v>
      </c>
      <c r="K80" s="443">
        <v>977.11</v>
      </c>
      <c r="L80" s="444">
        <f t="shared" si="38"/>
        <v>1.0120143758221043</v>
      </c>
      <c r="M80" s="443">
        <v>11.6</v>
      </c>
      <c r="N80" s="444">
        <f t="shared" si="39"/>
        <v>1.201437582210438E-2</v>
      </c>
      <c r="O80" s="445">
        <f t="shared" si="40"/>
        <v>988.71</v>
      </c>
      <c r="P80" s="444">
        <f t="shared" si="41"/>
        <v>1.0240287516442088</v>
      </c>
      <c r="Q80" s="442">
        <v>2.84</v>
      </c>
      <c r="R80" s="444">
        <f t="shared" si="42"/>
        <v>2.9414506323083137E-3</v>
      </c>
      <c r="S80" s="445">
        <f t="shared" si="43"/>
        <v>23.200000000000045</v>
      </c>
      <c r="T80" s="444">
        <f t="shared" si="44"/>
        <v>2.4028751644208809E-2</v>
      </c>
      <c r="U80" s="364">
        <f t="shared" si="45"/>
        <v>9459.5680000000193</v>
      </c>
      <c r="V80" s="145"/>
      <c r="W80" s="145"/>
      <c r="X80" s="145"/>
      <c r="Y80" s="366" t="s">
        <v>417</v>
      </c>
      <c r="Z80" s="366" t="s">
        <v>337</v>
      </c>
      <c r="AA80" s="367" t="s">
        <v>586</v>
      </c>
      <c r="AB80" s="380" t="s">
        <v>587</v>
      </c>
      <c r="AC80" s="367">
        <v>1</v>
      </c>
      <c r="AD80" s="446" t="s">
        <v>463</v>
      </c>
    </row>
    <row r="81" spans="2:39" s="147" customFormat="1" ht="27" hidden="1" customHeight="1">
      <c r="B81" s="894"/>
      <c r="C81" s="895"/>
      <c r="D81" s="361">
        <v>9</v>
      </c>
      <c r="E81" s="440" t="s">
        <v>640</v>
      </c>
      <c r="F81" s="441">
        <f t="shared" si="36"/>
        <v>1146.32</v>
      </c>
      <c r="G81" s="365">
        <v>3.2199999999999998</v>
      </c>
      <c r="H81" s="442">
        <v>193286</v>
      </c>
      <c r="I81" s="442">
        <v>193286</v>
      </c>
      <c r="J81" s="444">
        <f t="shared" si="37"/>
        <v>1</v>
      </c>
      <c r="K81" s="443">
        <v>193642</v>
      </c>
      <c r="L81" s="444">
        <f t="shared" si="38"/>
        <v>1.0018418302411969</v>
      </c>
      <c r="M81" s="443">
        <v>0</v>
      </c>
      <c r="N81" s="444">
        <f t="shared" si="39"/>
        <v>0</v>
      </c>
      <c r="O81" s="445">
        <f t="shared" si="40"/>
        <v>193642</v>
      </c>
      <c r="P81" s="444">
        <f t="shared" si="41"/>
        <v>1.0018418302411969</v>
      </c>
      <c r="Q81" s="442">
        <v>356</v>
      </c>
      <c r="R81" s="444">
        <f t="shared" si="42"/>
        <v>1.8418302411969828E-3</v>
      </c>
      <c r="S81" s="445">
        <f t="shared" si="43"/>
        <v>356</v>
      </c>
      <c r="T81" s="444">
        <f t="shared" si="44"/>
        <v>1.8418302411969828E-3</v>
      </c>
      <c r="U81" s="364">
        <f t="shared" si="45"/>
        <v>1146.32</v>
      </c>
      <c r="V81" s="145"/>
      <c r="W81" s="145"/>
      <c r="X81" s="145"/>
      <c r="Y81" s="366" t="s">
        <v>417</v>
      </c>
      <c r="Z81" s="366" t="s">
        <v>337</v>
      </c>
      <c r="AA81" s="367" t="s">
        <v>647</v>
      </c>
      <c r="AB81" s="380" t="s">
        <v>605</v>
      </c>
      <c r="AC81" s="367">
        <v>1</v>
      </c>
      <c r="AD81" s="446" t="s">
        <v>340</v>
      </c>
    </row>
    <row r="82" spans="2:39" s="147" customFormat="1" ht="27" hidden="1" customHeight="1">
      <c r="B82" s="894"/>
      <c r="C82" s="895"/>
      <c r="D82" s="361">
        <v>10</v>
      </c>
      <c r="E82" s="440" t="s">
        <v>601</v>
      </c>
      <c r="F82" s="441">
        <f t="shared" si="36"/>
        <v>1138.5204999999996</v>
      </c>
      <c r="G82" s="365">
        <v>46.149999999999991</v>
      </c>
      <c r="H82" s="442">
        <v>2326.14</v>
      </c>
      <c r="I82" s="442">
        <v>2326.14</v>
      </c>
      <c r="J82" s="444">
        <f t="shared" si="37"/>
        <v>1</v>
      </c>
      <c r="K82" s="443">
        <v>2402.21</v>
      </c>
      <c r="L82" s="444">
        <f t="shared" si="38"/>
        <v>1.0327022449207701</v>
      </c>
      <c r="M82" s="443">
        <v>76.069999999999993</v>
      </c>
      <c r="N82" s="444">
        <f t="shared" si="39"/>
        <v>3.2702244920770028E-2</v>
      </c>
      <c r="O82" s="445">
        <f t="shared" si="40"/>
        <v>2478.2800000000002</v>
      </c>
      <c r="P82" s="444">
        <f t="shared" si="41"/>
        <v>1.0654044898415402</v>
      </c>
      <c r="Q82" s="442">
        <v>24.669999999999998</v>
      </c>
      <c r="R82" s="444">
        <f t="shared" si="42"/>
        <v>1.0605552546278384E-2</v>
      </c>
      <c r="S82" s="445">
        <f t="shared" si="43"/>
        <v>152.14000000000033</v>
      </c>
      <c r="T82" s="444">
        <f t="shared" si="44"/>
        <v>6.5404489841540209E-2</v>
      </c>
      <c r="U82" s="364">
        <f t="shared" si="45"/>
        <v>7021.2610000000141</v>
      </c>
      <c r="V82" s="145"/>
      <c r="W82" s="145"/>
      <c r="X82" s="145"/>
      <c r="Y82" s="366" t="s">
        <v>417</v>
      </c>
      <c r="Z82" s="366" t="s">
        <v>216</v>
      </c>
      <c r="AA82" s="367" t="s">
        <v>662</v>
      </c>
      <c r="AB82" s="367" t="s">
        <v>674</v>
      </c>
      <c r="AC82" s="367">
        <v>1</v>
      </c>
      <c r="AD82" s="446" t="s">
        <v>597</v>
      </c>
    </row>
    <row r="83" spans="2:39" s="147" customFormat="1" ht="27" hidden="1" customHeight="1">
      <c r="B83" s="894"/>
      <c r="C83" s="895"/>
      <c r="D83" s="361">
        <v>11</v>
      </c>
      <c r="E83" s="440" t="s">
        <v>568</v>
      </c>
      <c r="F83" s="441">
        <f t="shared" si="36"/>
        <v>959.35839999999996</v>
      </c>
      <c r="G83" s="365">
        <v>40.04</v>
      </c>
      <c r="H83" s="442">
        <v>2859.09</v>
      </c>
      <c r="I83" s="442">
        <v>2859.09</v>
      </c>
      <c r="J83" s="444">
        <f t="shared" si="37"/>
        <v>1</v>
      </c>
      <c r="K83" s="443">
        <v>2955.03</v>
      </c>
      <c r="L83" s="444">
        <f t="shared" si="38"/>
        <v>1.0335561314963853</v>
      </c>
      <c r="M83" s="443">
        <v>95.940000000000012</v>
      </c>
      <c r="N83" s="444">
        <f t="shared" si="39"/>
        <v>3.3556131496385214E-2</v>
      </c>
      <c r="O83" s="445">
        <f t="shared" si="40"/>
        <v>3050.9700000000003</v>
      </c>
      <c r="P83" s="444">
        <f t="shared" si="41"/>
        <v>1.0671122629927705</v>
      </c>
      <c r="Q83" s="442">
        <v>23.96</v>
      </c>
      <c r="R83" s="444">
        <f t="shared" si="42"/>
        <v>8.3802888331602019E-3</v>
      </c>
      <c r="S83" s="445">
        <f t="shared" si="43"/>
        <v>191.88000000000011</v>
      </c>
      <c r="T83" s="444">
        <f t="shared" si="44"/>
        <v>6.7112262992770455E-2</v>
      </c>
      <c r="U83" s="364">
        <f t="shared" si="45"/>
        <v>7682.875200000004</v>
      </c>
      <c r="V83" s="145"/>
      <c r="W83" s="145"/>
      <c r="X83" s="145"/>
      <c r="Y83" s="366" t="s">
        <v>417</v>
      </c>
      <c r="Z83" s="366" t="s">
        <v>216</v>
      </c>
      <c r="AA83" s="367" t="s">
        <v>662</v>
      </c>
      <c r="AB83" s="367" t="s">
        <v>674</v>
      </c>
      <c r="AC83" s="367">
        <v>1</v>
      </c>
      <c r="AD83" s="446" t="s">
        <v>533</v>
      </c>
      <c r="AH83" s="370"/>
    </row>
    <row r="84" spans="2:39" s="147" customFormat="1" ht="27" hidden="1" customHeight="1">
      <c r="B84" s="894"/>
      <c r="C84" s="895"/>
      <c r="D84" s="361">
        <v>12</v>
      </c>
      <c r="E84" s="440" t="s">
        <v>665</v>
      </c>
      <c r="F84" s="441">
        <f t="shared" si="36"/>
        <v>953.78</v>
      </c>
      <c r="G84" s="365">
        <v>4.63</v>
      </c>
      <c r="H84" s="442">
        <v>102080</v>
      </c>
      <c r="I84" s="442">
        <v>102080</v>
      </c>
      <c r="J84" s="444">
        <f t="shared" si="37"/>
        <v>1</v>
      </c>
      <c r="K84" s="443">
        <v>102286</v>
      </c>
      <c r="L84" s="444">
        <f t="shared" si="38"/>
        <v>1.0020180250783699</v>
      </c>
      <c r="M84" s="443">
        <v>0</v>
      </c>
      <c r="N84" s="444">
        <f t="shared" si="39"/>
        <v>0</v>
      </c>
      <c r="O84" s="445">
        <f t="shared" si="40"/>
        <v>102286</v>
      </c>
      <c r="P84" s="444">
        <f t="shared" si="41"/>
        <v>1.0020180250783699</v>
      </c>
      <c r="Q84" s="442">
        <v>206</v>
      </c>
      <c r="R84" s="444">
        <f t="shared" si="42"/>
        <v>2.0180250783699062E-3</v>
      </c>
      <c r="S84" s="445">
        <f t="shared" si="43"/>
        <v>206</v>
      </c>
      <c r="T84" s="444">
        <f t="shared" si="44"/>
        <v>2.0180250783699062E-3</v>
      </c>
      <c r="U84" s="364">
        <f t="shared" si="45"/>
        <v>953.78</v>
      </c>
      <c r="V84" s="145"/>
      <c r="W84" s="145"/>
      <c r="X84" s="145"/>
      <c r="Y84" s="366" t="s">
        <v>417</v>
      </c>
      <c r="Z84" s="366" t="s">
        <v>337</v>
      </c>
      <c r="AA84" s="367" t="s">
        <v>647</v>
      </c>
      <c r="AB84" s="380" t="s">
        <v>605</v>
      </c>
      <c r="AC84" s="367">
        <v>1</v>
      </c>
      <c r="AD84" s="446" t="s">
        <v>649</v>
      </c>
    </row>
    <row r="85" spans="2:39" s="147" customFormat="1" ht="27" hidden="1" customHeight="1">
      <c r="B85" s="894"/>
      <c r="C85" s="895"/>
      <c r="D85" s="361">
        <v>13</v>
      </c>
      <c r="E85" s="440" t="s">
        <v>666</v>
      </c>
      <c r="F85" s="441">
        <f t="shared" si="36"/>
        <v>946.40520000000004</v>
      </c>
      <c r="G85" s="365">
        <v>127.72000000000001</v>
      </c>
      <c r="H85" s="442">
        <v>729.92000000000007</v>
      </c>
      <c r="I85" s="442">
        <v>729.92000000000007</v>
      </c>
      <c r="J85" s="444">
        <f t="shared" si="37"/>
        <v>1</v>
      </c>
      <c r="K85" s="443">
        <v>752.34</v>
      </c>
      <c r="L85" s="444">
        <f t="shared" si="38"/>
        <v>1.0307156948706706</v>
      </c>
      <c r="M85" s="443">
        <v>20.22</v>
      </c>
      <c r="N85" s="444">
        <f t="shared" si="39"/>
        <v>2.7701665935992981E-2</v>
      </c>
      <c r="O85" s="445">
        <f t="shared" si="40"/>
        <v>772.56000000000006</v>
      </c>
      <c r="P85" s="444">
        <f t="shared" si="41"/>
        <v>1.0584173608066638</v>
      </c>
      <c r="Q85" s="442">
        <v>7.4099999999999993</v>
      </c>
      <c r="R85" s="444">
        <f t="shared" si="42"/>
        <v>1.0151797457255588E-2</v>
      </c>
      <c r="S85" s="445">
        <f t="shared" si="43"/>
        <v>42.639999999999986</v>
      </c>
      <c r="T85" s="444">
        <f t="shared" si="44"/>
        <v>5.8417360806663716E-2</v>
      </c>
      <c r="U85" s="364">
        <f t="shared" si="45"/>
        <v>5445.9807999999985</v>
      </c>
      <c r="V85" s="145"/>
      <c r="W85" s="145"/>
      <c r="X85" s="145"/>
      <c r="Y85" s="366" t="s">
        <v>417</v>
      </c>
      <c r="Z85" s="366" t="s">
        <v>445</v>
      </c>
      <c r="AA85" s="367" t="s">
        <v>676</v>
      </c>
      <c r="AB85" s="367" t="s">
        <v>455</v>
      </c>
      <c r="AC85" s="367">
        <v>1</v>
      </c>
      <c r="AD85" s="446" t="s">
        <v>580</v>
      </c>
    </row>
    <row r="86" spans="2:39" s="147" customFormat="1" ht="27" hidden="1" customHeight="1">
      <c r="B86" s="894"/>
      <c r="C86" s="895"/>
      <c r="D86" s="361">
        <v>14</v>
      </c>
      <c r="E86" s="440" t="s">
        <v>634</v>
      </c>
      <c r="F86" s="441">
        <f t="shared" si="36"/>
        <v>942.61539999999991</v>
      </c>
      <c r="G86" s="365">
        <v>212.78</v>
      </c>
      <c r="H86" s="442">
        <v>455.54999999999995</v>
      </c>
      <c r="I86" s="442">
        <v>455.54999999999995</v>
      </c>
      <c r="J86" s="444">
        <f t="shared" si="37"/>
        <v>1</v>
      </c>
      <c r="K86" s="443">
        <v>469.03</v>
      </c>
      <c r="L86" s="444">
        <f t="shared" si="38"/>
        <v>1.0295906047634729</v>
      </c>
      <c r="M86" s="443">
        <v>13.479999999999999</v>
      </c>
      <c r="N86" s="444">
        <f t="shared" si="39"/>
        <v>2.9590604763472726E-2</v>
      </c>
      <c r="O86" s="445">
        <f t="shared" si="40"/>
        <v>482.51</v>
      </c>
      <c r="P86" s="444">
        <f t="shared" si="41"/>
        <v>1.0591812095269455</v>
      </c>
      <c r="Q86" s="442">
        <v>4.43</v>
      </c>
      <c r="R86" s="444">
        <f t="shared" si="42"/>
        <v>9.7245088354736033E-3</v>
      </c>
      <c r="S86" s="445">
        <f t="shared" si="43"/>
        <v>26.960000000000036</v>
      </c>
      <c r="T86" s="444">
        <f t="shared" si="44"/>
        <v>5.9181209526945534E-2</v>
      </c>
      <c r="U86" s="364">
        <f t="shared" si="45"/>
        <v>5736.5488000000078</v>
      </c>
      <c r="V86" s="145"/>
      <c r="W86" s="145"/>
      <c r="X86" s="145"/>
      <c r="Y86" s="366" t="s">
        <v>417</v>
      </c>
      <c r="Z86" s="366" t="s">
        <v>445</v>
      </c>
      <c r="AA86" s="367" t="s">
        <v>677</v>
      </c>
      <c r="AB86" s="367" t="s">
        <v>454</v>
      </c>
      <c r="AC86" s="367">
        <v>1</v>
      </c>
      <c r="AD86" s="446" t="s">
        <v>630</v>
      </c>
    </row>
    <row r="87" spans="2:39" s="147" customFormat="1" ht="27" hidden="1" customHeight="1">
      <c r="B87" s="894"/>
      <c r="C87" s="895"/>
      <c r="D87" s="361">
        <v>15</v>
      </c>
      <c r="E87" s="440" t="s">
        <v>667</v>
      </c>
      <c r="F87" s="441">
        <f t="shared" si="36"/>
        <v>941.23000000000025</v>
      </c>
      <c r="G87" s="365">
        <v>15.430000000000003</v>
      </c>
      <c r="H87" s="442">
        <v>13809</v>
      </c>
      <c r="I87" s="442">
        <v>13809</v>
      </c>
      <c r="J87" s="444">
        <f t="shared" si="37"/>
        <v>1</v>
      </c>
      <c r="K87" s="443">
        <v>13870</v>
      </c>
      <c r="L87" s="444">
        <f t="shared" si="38"/>
        <v>1.004417408936201</v>
      </c>
      <c r="M87" s="443">
        <v>0</v>
      </c>
      <c r="N87" s="444">
        <f t="shared" si="39"/>
        <v>0</v>
      </c>
      <c r="O87" s="445">
        <f t="shared" si="40"/>
        <v>13870</v>
      </c>
      <c r="P87" s="444">
        <f t="shared" si="41"/>
        <v>1.004417408936201</v>
      </c>
      <c r="Q87" s="442">
        <v>61</v>
      </c>
      <c r="R87" s="444">
        <f t="shared" si="42"/>
        <v>4.4174089362010284E-3</v>
      </c>
      <c r="S87" s="445">
        <f t="shared" si="43"/>
        <v>61</v>
      </c>
      <c r="T87" s="444">
        <f t="shared" si="44"/>
        <v>4.4174089362010284E-3</v>
      </c>
      <c r="U87" s="364">
        <f t="shared" si="45"/>
        <v>941.23000000000025</v>
      </c>
      <c r="V87" s="145"/>
      <c r="W87" s="145"/>
      <c r="X87" s="145"/>
      <c r="Y87" s="366" t="s">
        <v>417</v>
      </c>
      <c r="Z87" s="366" t="s">
        <v>337</v>
      </c>
      <c r="AA87" s="367" t="s">
        <v>647</v>
      </c>
      <c r="AB87" s="380" t="s">
        <v>605</v>
      </c>
      <c r="AC87" s="367">
        <v>1</v>
      </c>
      <c r="AD87" s="446" t="s">
        <v>350</v>
      </c>
    </row>
    <row r="88" spans="2:39" s="147" customFormat="1" ht="27" hidden="1" customHeight="1">
      <c r="B88" s="894"/>
      <c r="C88" s="895"/>
      <c r="D88" s="361">
        <v>16</v>
      </c>
      <c r="E88" s="440" t="s">
        <v>668</v>
      </c>
      <c r="F88" s="441">
        <f t="shared" si="36"/>
        <v>939.23520000000019</v>
      </c>
      <c r="G88" s="365">
        <v>108.96000000000001</v>
      </c>
      <c r="H88" s="442">
        <v>610.26</v>
      </c>
      <c r="I88" s="442">
        <v>610.26</v>
      </c>
      <c r="J88" s="444">
        <f t="shared" si="37"/>
        <v>1</v>
      </c>
      <c r="K88" s="443">
        <v>631.20000000000005</v>
      </c>
      <c r="L88" s="444">
        <f t="shared" si="38"/>
        <v>1.0343132435355422</v>
      </c>
      <c r="M88" s="443">
        <v>20.94</v>
      </c>
      <c r="N88" s="444">
        <f t="shared" si="39"/>
        <v>3.4313243535542229E-2</v>
      </c>
      <c r="O88" s="445">
        <f t="shared" si="40"/>
        <v>652.1400000000001</v>
      </c>
      <c r="P88" s="444">
        <f t="shared" si="41"/>
        <v>1.0686264870710847</v>
      </c>
      <c r="Q88" s="442">
        <v>8.620000000000001</v>
      </c>
      <c r="R88" s="444">
        <f t="shared" si="42"/>
        <v>1.4125126995051291E-2</v>
      </c>
      <c r="S88" s="445">
        <f t="shared" si="43"/>
        <v>41.880000000000109</v>
      </c>
      <c r="T88" s="444">
        <f t="shared" si="44"/>
        <v>6.8626487071084638E-2</v>
      </c>
      <c r="U88" s="364">
        <f t="shared" si="45"/>
        <v>4563.2448000000122</v>
      </c>
      <c r="V88" s="145"/>
      <c r="W88" s="145"/>
      <c r="X88" s="145"/>
      <c r="Y88" s="366" t="s">
        <v>417</v>
      </c>
      <c r="Z88" s="366" t="s">
        <v>445</v>
      </c>
      <c r="AA88" s="367" t="s">
        <v>678</v>
      </c>
      <c r="AB88" s="367" t="s">
        <v>571</v>
      </c>
      <c r="AC88" s="367">
        <v>1</v>
      </c>
      <c r="AD88" s="446" t="s">
        <v>650</v>
      </c>
    </row>
    <row r="89" spans="2:39" s="147" customFormat="1" ht="27" hidden="1" customHeight="1">
      <c r="B89" s="894"/>
      <c r="C89" s="895"/>
      <c r="D89" s="361">
        <v>17</v>
      </c>
      <c r="E89" s="440" t="s">
        <v>483</v>
      </c>
      <c r="F89" s="441">
        <f t="shared" si="36"/>
        <v>937.39029999999991</v>
      </c>
      <c r="G89" s="365">
        <v>370.50999999999993</v>
      </c>
      <c r="H89" s="442">
        <v>381.52</v>
      </c>
      <c r="I89" s="442">
        <v>381.52</v>
      </c>
      <c r="J89" s="444">
        <f t="shared" si="37"/>
        <v>1</v>
      </c>
      <c r="K89" s="443">
        <v>390.73</v>
      </c>
      <c r="L89" s="444">
        <f t="shared" si="38"/>
        <v>1.0241402809813378</v>
      </c>
      <c r="M89" s="443">
        <v>9.2100000000000009</v>
      </c>
      <c r="N89" s="444">
        <f t="shared" si="39"/>
        <v>2.414028098133781E-2</v>
      </c>
      <c r="O89" s="445">
        <f t="shared" si="40"/>
        <v>399.94</v>
      </c>
      <c r="P89" s="444">
        <f t="shared" si="41"/>
        <v>1.0482805619626756</v>
      </c>
      <c r="Q89" s="442">
        <v>2.5300000000000002</v>
      </c>
      <c r="R89" s="444">
        <f t="shared" si="42"/>
        <v>6.6313692598028943E-3</v>
      </c>
      <c r="S89" s="445">
        <f t="shared" si="43"/>
        <v>18.420000000000016</v>
      </c>
      <c r="T89" s="444">
        <f t="shared" si="44"/>
        <v>4.8280561962675654E-2</v>
      </c>
      <c r="U89" s="364">
        <f t="shared" si="45"/>
        <v>6824.7942000000048</v>
      </c>
      <c r="V89" s="145"/>
      <c r="W89" s="145"/>
      <c r="X89" s="145"/>
      <c r="Y89" s="366" t="s">
        <v>417</v>
      </c>
      <c r="Z89" s="366" t="s">
        <v>445</v>
      </c>
      <c r="AA89" s="367" t="s">
        <v>591</v>
      </c>
      <c r="AB89" s="367" t="s">
        <v>574</v>
      </c>
      <c r="AC89" s="367">
        <v>1</v>
      </c>
      <c r="AD89" s="446" t="s">
        <v>353</v>
      </c>
    </row>
    <row r="90" spans="2:39" s="147" customFormat="1" ht="27" hidden="1" customHeight="1">
      <c r="B90" s="894"/>
      <c r="C90" s="895"/>
      <c r="D90" s="361">
        <v>18</v>
      </c>
      <c r="E90" s="440" t="s">
        <v>638</v>
      </c>
      <c r="F90" s="441">
        <f t="shared" si="36"/>
        <v>934.95000000000016</v>
      </c>
      <c r="G90" s="365">
        <v>1.1500000000000001</v>
      </c>
      <c r="H90" s="442">
        <v>41448</v>
      </c>
      <c r="I90" s="442">
        <v>41448</v>
      </c>
      <c r="J90" s="444">
        <f t="shared" si="37"/>
        <v>1</v>
      </c>
      <c r="K90" s="443">
        <v>42261</v>
      </c>
      <c r="L90" s="444">
        <f t="shared" si="38"/>
        <v>1.0196149392009264</v>
      </c>
      <c r="M90" s="443">
        <v>0</v>
      </c>
      <c r="N90" s="444">
        <f t="shared" si="39"/>
        <v>0</v>
      </c>
      <c r="O90" s="445">
        <f t="shared" si="40"/>
        <v>42261</v>
      </c>
      <c r="P90" s="444">
        <f t="shared" si="41"/>
        <v>1.0196149392009264</v>
      </c>
      <c r="Q90" s="442">
        <v>813</v>
      </c>
      <c r="R90" s="444">
        <f t="shared" si="42"/>
        <v>1.9614939200926461E-2</v>
      </c>
      <c r="S90" s="445">
        <f t="shared" si="43"/>
        <v>813</v>
      </c>
      <c r="T90" s="444">
        <f t="shared" si="44"/>
        <v>1.9614939200926461E-2</v>
      </c>
      <c r="U90" s="364">
        <f t="shared" si="45"/>
        <v>934.95000000000016</v>
      </c>
      <c r="V90" s="145"/>
      <c r="W90" s="145"/>
      <c r="X90" s="145"/>
      <c r="Y90" s="366" t="s">
        <v>417</v>
      </c>
      <c r="Z90" s="366" t="s">
        <v>445</v>
      </c>
      <c r="AA90" s="367" t="s">
        <v>679</v>
      </c>
      <c r="AB90" s="367" t="s">
        <v>605</v>
      </c>
      <c r="AC90" s="367">
        <v>1</v>
      </c>
      <c r="AD90" s="446" t="s">
        <v>435</v>
      </c>
    </row>
    <row r="91" spans="2:39" s="147" customFormat="1" ht="27" hidden="1" customHeight="1">
      <c r="B91" s="894"/>
      <c r="C91" s="895"/>
      <c r="D91" s="361">
        <v>19</v>
      </c>
      <c r="E91" s="440" t="s">
        <v>599</v>
      </c>
      <c r="F91" s="441">
        <f t="shared" si="36"/>
        <v>932.91520000000014</v>
      </c>
      <c r="G91" s="365">
        <v>153.44000000000003</v>
      </c>
      <c r="H91" s="442">
        <v>1392.6200000000001</v>
      </c>
      <c r="I91" s="442">
        <v>1392.6200000000001</v>
      </c>
      <c r="J91" s="444">
        <f t="shared" si="37"/>
        <v>1</v>
      </c>
      <c r="K91" s="443">
        <v>1415.7600000000002</v>
      </c>
      <c r="L91" s="444">
        <f t="shared" si="38"/>
        <v>1.016616162341486</v>
      </c>
      <c r="M91" s="443">
        <v>20.64</v>
      </c>
      <c r="N91" s="444">
        <f t="shared" si="39"/>
        <v>1.4820984906148122E-2</v>
      </c>
      <c r="O91" s="445">
        <f t="shared" si="40"/>
        <v>1436.4000000000003</v>
      </c>
      <c r="P91" s="444">
        <f t="shared" si="41"/>
        <v>1.031437147247634</v>
      </c>
      <c r="Q91" s="442">
        <v>6.08</v>
      </c>
      <c r="R91" s="444">
        <f t="shared" si="42"/>
        <v>4.3658715227413072E-3</v>
      </c>
      <c r="S91" s="445">
        <f t="shared" si="43"/>
        <v>43.7800000000002</v>
      </c>
      <c r="T91" s="444">
        <f t="shared" si="44"/>
        <v>3.1437147247634099E-2</v>
      </c>
      <c r="U91" s="364">
        <f t="shared" si="45"/>
        <v>6717.6032000000314</v>
      </c>
      <c r="V91" s="145"/>
      <c r="W91" s="145"/>
      <c r="X91" s="145"/>
      <c r="Y91" s="366" t="s">
        <v>417</v>
      </c>
      <c r="Z91" s="366" t="s">
        <v>445</v>
      </c>
      <c r="AA91" s="380" t="s">
        <v>680</v>
      </c>
      <c r="AB91" s="380" t="s">
        <v>681</v>
      </c>
      <c r="AC91" s="367">
        <v>1</v>
      </c>
      <c r="AD91" s="446" t="s">
        <v>465</v>
      </c>
    </row>
    <row r="92" spans="2:39" s="147" customFormat="1" ht="27" hidden="1" customHeight="1">
      <c r="B92" s="896"/>
      <c r="C92" s="897"/>
      <c r="D92" s="361">
        <v>20</v>
      </c>
      <c r="E92" s="440" t="s">
        <v>462</v>
      </c>
      <c r="F92" s="441">
        <f t="shared" si="36"/>
        <v>932.44690000000003</v>
      </c>
      <c r="G92" s="365">
        <v>160.49</v>
      </c>
      <c r="H92" s="442">
        <v>600.58000000000004</v>
      </c>
      <c r="I92" s="442">
        <v>600.58000000000004</v>
      </c>
      <c r="J92" s="444">
        <f t="shared" si="37"/>
        <v>1</v>
      </c>
      <c r="K92" s="443">
        <v>616.05999999999995</v>
      </c>
      <c r="L92" s="444">
        <f t="shared" si="38"/>
        <v>1.0257750840853839</v>
      </c>
      <c r="M92" s="443">
        <v>15.48</v>
      </c>
      <c r="N92" s="444">
        <f t="shared" si="39"/>
        <v>2.5775084085384127E-2</v>
      </c>
      <c r="O92" s="445">
        <f t="shared" si="40"/>
        <v>631.54</v>
      </c>
      <c r="P92" s="444">
        <f t="shared" si="41"/>
        <v>1.0515501681707682</v>
      </c>
      <c r="Q92" s="442">
        <v>5.81</v>
      </c>
      <c r="R92" s="444">
        <f t="shared" si="42"/>
        <v>9.6739818175763416E-3</v>
      </c>
      <c r="S92" s="445">
        <f t="shared" si="43"/>
        <v>30.959999999999923</v>
      </c>
      <c r="T92" s="444">
        <f t="shared" si="44"/>
        <v>5.1550168170768122E-2</v>
      </c>
      <c r="U92" s="364">
        <f t="shared" si="45"/>
        <v>4968.7703999999876</v>
      </c>
      <c r="V92" s="145"/>
      <c r="W92" s="145"/>
      <c r="X92" s="145"/>
      <c r="Y92" s="366" t="s">
        <v>417</v>
      </c>
      <c r="Z92" s="366" t="s">
        <v>445</v>
      </c>
      <c r="AA92" s="367" t="s">
        <v>644</v>
      </c>
      <c r="AB92" s="367" t="s">
        <v>571</v>
      </c>
      <c r="AC92" s="367">
        <v>1</v>
      </c>
      <c r="AD92" s="446" t="s">
        <v>433</v>
      </c>
    </row>
    <row r="93" spans="2:39" ht="17.100000000000001" hidden="1" customHeight="1">
      <c r="B93" s="930" t="s">
        <v>442</v>
      </c>
      <c r="C93" s="931"/>
      <c r="D93" s="932" t="s">
        <v>549</v>
      </c>
      <c r="E93" s="934" t="s">
        <v>550</v>
      </c>
      <c r="F93" s="881" t="s">
        <v>551</v>
      </c>
      <c r="G93" s="881" t="s">
        <v>552</v>
      </c>
      <c r="H93" s="905" t="s">
        <v>553</v>
      </c>
      <c r="I93" s="906" t="s">
        <v>554</v>
      </c>
      <c r="J93" s="907"/>
      <c r="K93" s="906" t="s">
        <v>555</v>
      </c>
      <c r="L93" s="907"/>
      <c r="M93" s="906" t="s">
        <v>556</v>
      </c>
      <c r="N93" s="907"/>
      <c r="O93" s="906" t="s">
        <v>557</v>
      </c>
      <c r="P93" s="907"/>
      <c r="Q93" s="906" t="s">
        <v>418</v>
      </c>
      <c r="R93" s="907"/>
      <c r="S93" s="908" t="s">
        <v>741</v>
      </c>
      <c r="T93" s="909"/>
      <c r="U93" s="910"/>
      <c r="Y93" s="914" t="s">
        <v>171</v>
      </c>
      <c r="Z93" s="914" t="s">
        <v>245</v>
      </c>
      <c r="AA93" s="914" t="s">
        <v>558</v>
      </c>
      <c r="AB93" s="914" t="s">
        <v>444</v>
      </c>
      <c r="AC93" s="914" t="s">
        <v>246</v>
      </c>
      <c r="AD93" s="881" t="s">
        <v>172</v>
      </c>
      <c r="AF93" s="883" t="s">
        <v>247</v>
      </c>
      <c r="AG93" s="884"/>
      <c r="AH93" s="884"/>
      <c r="AI93" s="884"/>
      <c r="AJ93" s="884"/>
      <c r="AK93" s="884"/>
      <c r="AL93" s="884"/>
      <c r="AM93" s="885"/>
    </row>
    <row r="94" spans="2:39" hidden="1">
      <c r="B94" s="900"/>
      <c r="C94" s="901"/>
      <c r="D94" s="933"/>
      <c r="E94" s="935"/>
      <c r="F94" s="882"/>
      <c r="G94" s="882"/>
      <c r="H94" s="936"/>
      <c r="I94" s="439" t="s">
        <v>559</v>
      </c>
      <c r="J94" s="362" t="s">
        <v>560</v>
      </c>
      <c r="K94" s="439" t="s">
        <v>559</v>
      </c>
      <c r="L94" s="362" t="s">
        <v>560</v>
      </c>
      <c r="M94" s="439" t="s">
        <v>559</v>
      </c>
      <c r="N94" s="362" t="s">
        <v>560</v>
      </c>
      <c r="O94" s="439" t="s">
        <v>559</v>
      </c>
      <c r="P94" s="362" t="s">
        <v>560</v>
      </c>
      <c r="Q94" s="439" t="s">
        <v>559</v>
      </c>
      <c r="R94" s="362" t="s">
        <v>560</v>
      </c>
      <c r="S94" s="439" t="s">
        <v>559</v>
      </c>
      <c r="T94" s="362" t="s">
        <v>560</v>
      </c>
      <c r="U94" s="362" t="s">
        <v>561</v>
      </c>
      <c r="Y94" s="915"/>
      <c r="Z94" s="915"/>
      <c r="AA94" s="915"/>
      <c r="AB94" s="915"/>
      <c r="AC94" s="915"/>
      <c r="AD94" s="882"/>
      <c r="AF94" s="886"/>
      <c r="AG94" s="887"/>
      <c r="AH94" s="887"/>
      <c r="AI94" s="887"/>
      <c r="AJ94" s="887"/>
      <c r="AK94" s="887"/>
      <c r="AL94" s="887"/>
      <c r="AM94" s="888"/>
    </row>
    <row r="95" spans="2:39" s="147" customFormat="1" ht="27" hidden="1" customHeight="1">
      <c r="B95" s="927" t="s">
        <v>628</v>
      </c>
      <c r="C95" s="893"/>
      <c r="D95" s="361">
        <v>1</v>
      </c>
      <c r="E95" s="440" t="s">
        <v>335</v>
      </c>
      <c r="F95" s="441">
        <f>IFERROR(Q95*G95,"-")</f>
        <v>2406.4920000000002</v>
      </c>
      <c r="G95" s="365">
        <v>15.450000000000001</v>
      </c>
      <c r="H95" s="442">
        <v>69870</v>
      </c>
      <c r="I95" s="442">
        <v>69870</v>
      </c>
      <c r="J95" s="444">
        <f>IFERROR(I95/H95,"-")</f>
        <v>1</v>
      </c>
      <c r="K95" s="443">
        <v>70036</v>
      </c>
      <c r="L95" s="444">
        <f>IFERROR(K95/H95,"-")</f>
        <v>1.0023758408472878</v>
      </c>
      <c r="M95" s="443">
        <v>0</v>
      </c>
      <c r="N95" s="444">
        <f>IFERROR(M95/H95,"-")</f>
        <v>0</v>
      </c>
      <c r="O95" s="445">
        <f>IFERROR(K95+M95,"-")</f>
        <v>70036</v>
      </c>
      <c r="P95" s="444">
        <f>IFERROR(O95/H95,"-")</f>
        <v>1.0023758408472878</v>
      </c>
      <c r="Q95" s="442">
        <v>155.76</v>
      </c>
      <c r="R95" s="444">
        <f>IFERROR(Q95/H95,"-")</f>
        <v>2.2292829540575352E-3</v>
      </c>
      <c r="S95" s="445">
        <f>IFERROR(O95-H95,"-")</f>
        <v>166</v>
      </c>
      <c r="T95" s="444">
        <f>IFERROR(S95/H95,"-")</f>
        <v>2.3758408472878204E-3</v>
      </c>
      <c r="U95" s="364">
        <f>IFERROR(S95*G95,"-")</f>
        <v>2564.7000000000003</v>
      </c>
      <c r="V95" s="145"/>
      <c r="W95" s="145"/>
      <c r="X95" s="145"/>
      <c r="Y95" s="366" t="s">
        <v>417</v>
      </c>
      <c r="Z95" s="366" t="s">
        <v>216</v>
      </c>
      <c r="AA95" s="367" t="s">
        <v>671</v>
      </c>
      <c r="AB95" s="367" t="s">
        <v>569</v>
      </c>
      <c r="AC95" s="367">
        <v>1</v>
      </c>
      <c r="AD95" s="446" t="s">
        <v>523</v>
      </c>
      <c r="AF95" s="889"/>
      <c r="AG95" s="890"/>
      <c r="AH95" s="890"/>
      <c r="AI95" s="890"/>
      <c r="AJ95" s="890"/>
      <c r="AK95" s="890"/>
      <c r="AL95" s="890"/>
      <c r="AM95" s="891"/>
    </row>
    <row r="96" spans="2:39" s="147" customFormat="1" ht="27" hidden="1" customHeight="1">
      <c r="B96" s="894"/>
      <c r="C96" s="895"/>
      <c r="D96" s="361">
        <v>2</v>
      </c>
      <c r="E96" s="440" t="s">
        <v>447</v>
      </c>
      <c r="F96" s="441">
        <f t="shared" ref="F96:F114" si="48">IFERROR(Q96*G96,"-")</f>
        <v>2252.25</v>
      </c>
      <c r="G96" s="365">
        <v>1.17</v>
      </c>
      <c r="H96" s="442">
        <v>273751</v>
      </c>
      <c r="I96" s="442">
        <v>273751</v>
      </c>
      <c r="J96" s="444">
        <f t="shared" ref="J96:J114" si="49">IFERROR(I96/H96,"-")</f>
        <v>1</v>
      </c>
      <c r="K96" s="443">
        <v>275676</v>
      </c>
      <c r="L96" s="444">
        <f t="shared" ref="L96:L114" si="50">IFERROR(K96/H96,"-")</f>
        <v>1.0070319377828756</v>
      </c>
      <c r="M96" s="443">
        <v>0</v>
      </c>
      <c r="N96" s="444">
        <f t="shared" ref="N96:N114" si="51">IFERROR(M96/H96,"-")</f>
        <v>0</v>
      </c>
      <c r="O96" s="445">
        <f t="shared" ref="O96:O114" si="52">IFERROR(K96+M96,"-")</f>
        <v>275676</v>
      </c>
      <c r="P96" s="444">
        <f t="shared" ref="P96:P114" si="53">IFERROR(O96/H96,"-")</f>
        <v>1.0070319377828756</v>
      </c>
      <c r="Q96" s="442">
        <v>1925</v>
      </c>
      <c r="R96" s="444">
        <f t="shared" ref="R96:R114" si="54">IFERROR(Q96/H96,"-")</f>
        <v>7.0319377828756786E-3</v>
      </c>
      <c r="S96" s="445">
        <f t="shared" ref="S96:S114" si="55">IFERROR(O96-H96,"-")</f>
        <v>1925</v>
      </c>
      <c r="T96" s="444">
        <f t="shared" ref="T96:T114" si="56">IFERROR(S96/H96,"-")</f>
        <v>7.0319377828756786E-3</v>
      </c>
      <c r="U96" s="364">
        <f t="shared" ref="U96:U114" si="57">IFERROR(S96*G96,"-")</f>
        <v>2252.25</v>
      </c>
      <c r="V96" s="145"/>
      <c r="W96" s="145"/>
      <c r="X96" s="145"/>
      <c r="Y96" s="366" t="s">
        <v>417</v>
      </c>
      <c r="Z96" s="366" t="s">
        <v>337</v>
      </c>
      <c r="AA96" s="367" t="s">
        <v>672</v>
      </c>
      <c r="AB96" s="367" t="s">
        <v>526</v>
      </c>
      <c r="AC96" s="367">
        <v>1</v>
      </c>
      <c r="AD96" s="446" t="s">
        <v>340</v>
      </c>
      <c r="AF96" s="160" t="s">
        <v>244</v>
      </c>
      <c r="AG96" s="160" t="s">
        <v>445</v>
      </c>
      <c r="AH96" s="155" t="s">
        <v>562</v>
      </c>
      <c r="AI96" s="155" t="s">
        <v>337</v>
      </c>
      <c r="AJ96" s="155" t="s">
        <v>428</v>
      </c>
      <c r="AK96" s="155" t="s">
        <v>215</v>
      </c>
      <c r="AL96" s="155" t="s">
        <v>216</v>
      </c>
      <c r="AM96" s="155" t="s">
        <v>384</v>
      </c>
    </row>
    <row r="97" spans="2:39" s="147" customFormat="1" ht="27" hidden="1" customHeight="1">
      <c r="B97" s="894"/>
      <c r="C97" s="895"/>
      <c r="D97" s="361">
        <v>3</v>
      </c>
      <c r="E97" s="440" t="s">
        <v>448</v>
      </c>
      <c r="F97" s="441">
        <f t="shared" si="48"/>
        <v>2084.9499999999998</v>
      </c>
      <c r="G97" s="365">
        <v>2.4499999999999997</v>
      </c>
      <c r="H97" s="442">
        <v>143209</v>
      </c>
      <c r="I97" s="442">
        <v>143209</v>
      </c>
      <c r="J97" s="444">
        <f t="shared" si="49"/>
        <v>1</v>
      </c>
      <c r="K97" s="443">
        <v>144060</v>
      </c>
      <c r="L97" s="444">
        <f t="shared" si="50"/>
        <v>1.0059423639575724</v>
      </c>
      <c r="M97" s="443">
        <v>0</v>
      </c>
      <c r="N97" s="444">
        <f t="shared" si="51"/>
        <v>0</v>
      </c>
      <c r="O97" s="445">
        <f t="shared" si="52"/>
        <v>144060</v>
      </c>
      <c r="P97" s="444">
        <f t="shared" si="53"/>
        <v>1.0059423639575724</v>
      </c>
      <c r="Q97" s="442">
        <v>851</v>
      </c>
      <c r="R97" s="444">
        <f t="shared" si="54"/>
        <v>5.9423639575724987E-3</v>
      </c>
      <c r="S97" s="445">
        <f t="shared" si="55"/>
        <v>851</v>
      </c>
      <c r="T97" s="444">
        <f t="shared" si="56"/>
        <v>5.9423639575724987E-3</v>
      </c>
      <c r="U97" s="364">
        <f t="shared" si="57"/>
        <v>2084.9499999999998</v>
      </c>
      <c r="V97" s="145"/>
      <c r="W97" s="145"/>
      <c r="X97" s="145"/>
      <c r="Y97" s="366" t="s">
        <v>417</v>
      </c>
      <c r="Z97" s="366" t="s">
        <v>337</v>
      </c>
      <c r="AA97" s="367" t="s">
        <v>673</v>
      </c>
      <c r="AB97" s="367" t="s">
        <v>468</v>
      </c>
      <c r="AC97" s="367">
        <v>1</v>
      </c>
      <c r="AD97" s="446" t="s">
        <v>340</v>
      </c>
      <c r="AF97" s="374">
        <f>SUM(AC95:AC114)</f>
        <v>20</v>
      </c>
      <c r="AG97" s="369">
        <f t="shared" ref="AG97:AM97" si="58">SUMIF($Z$95:$Z$114,TRIM(AG96),$AC$95:$AC$114)</f>
        <v>8</v>
      </c>
      <c r="AH97" s="369">
        <f t="shared" si="58"/>
        <v>0</v>
      </c>
      <c r="AI97" s="369">
        <f t="shared" si="58"/>
        <v>6</v>
      </c>
      <c r="AJ97" s="369">
        <f t="shared" si="58"/>
        <v>0</v>
      </c>
      <c r="AK97" s="369">
        <f t="shared" si="58"/>
        <v>1</v>
      </c>
      <c r="AL97" s="369">
        <f t="shared" si="58"/>
        <v>5</v>
      </c>
      <c r="AM97" s="369">
        <f t="shared" si="58"/>
        <v>0</v>
      </c>
    </row>
    <row r="98" spans="2:39" s="147" customFormat="1" ht="27" hidden="1" customHeight="1">
      <c r="B98" s="894"/>
      <c r="C98" s="895"/>
      <c r="D98" s="361">
        <v>4</v>
      </c>
      <c r="E98" s="440" t="s">
        <v>544</v>
      </c>
      <c r="F98" s="441">
        <f t="shared" si="48"/>
        <v>1621.9314000000002</v>
      </c>
      <c r="G98" s="365">
        <v>62.43</v>
      </c>
      <c r="H98" s="442">
        <v>2296.34</v>
      </c>
      <c r="I98" s="442">
        <v>2296.34</v>
      </c>
      <c r="J98" s="444">
        <f t="shared" si="49"/>
        <v>1</v>
      </c>
      <c r="K98" s="443">
        <v>2357.7199999999998</v>
      </c>
      <c r="L98" s="444">
        <f t="shared" si="50"/>
        <v>1.0267294912774239</v>
      </c>
      <c r="M98" s="443">
        <v>61.379999999999995</v>
      </c>
      <c r="N98" s="444">
        <f t="shared" si="51"/>
        <v>2.6729491277424071E-2</v>
      </c>
      <c r="O98" s="445">
        <f t="shared" si="52"/>
        <v>2419.1</v>
      </c>
      <c r="P98" s="444">
        <f t="shared" si="53"/>
        <v>1.0534589825548479</v>
      </c>
      <c r="Q98" s="442">
        <v>25.980000000000004</v>
      </c>
      <c r="R98" s="444">
        <f t="shared" si="54"/>
        <v>1.1313655643328079E-2</v>
      </c>
      <c r="S98" s="445">
        <f t="shared" si="55"/>
        <v>122.75999999999976</v>
      </c>
      <c r="T98" s="444">
        <f t="shared" si="56"/>
        <v>5.3458982554848045E-2</v>
      </c>
      <c r="U98" s="364">
        <f t="shared" si="57"/>
        <v>7663.9067999999852</v>
      </c>
      <c r="V98" s="145"/>
      <c r="W98" s="145"/>
      <c r="X98" s="145"/>
      <c r="Y98" s="366" t="s">
        <v>417</v>
      </c>
      <c r="Z98" s="366" t="s">
        <v>216</v>
      </c>
      <c r="AA98" s="367" t="s">
        <v>662</v>
      </c>
      <c r="AB98" s="367" t="s">
        <v>674</v>
      </c>
      <c r="AC98" s="367">
        <v>1</v>
      </c>
      <c r="AD98" s="446" t="s">
        <v>340</v>
      </c>
      <c r="AF98" s="375" t="s">
        <v>11</v>
      </c>
      <c r="AG98" s="372">
        <f>SUMIF($Z$95:$Z114,TRIM(AG96),$F$95:$F$114)</f>
        <v>8673.9858000000004</v>
      </c>
      <c r="AH98" s="372">
        <f>SUMIF($Z$95:$Z114,TRIM(AH96),$F$95:$F$114)</f>
        <v>0</v>
      </c>
      <c r="AI98" s="372">
        <f>SUMIF($Z$95:$Z114,TRIM(AI96),$F$95:$F$114)</f>
        <v>8588.4707999999991</v>
      </c>
      <c r="AJ98" s="372">
        <f>SUMIF($Z$95:$Z114,TRIM(AJ96),$F$95:$F$114)</f>
        <v>0</v>
      </c>
      <c r="AK98" s="372">
        <f>SUMIF($Z$95:$Z114,TRIM(AK96),$F$95:$F$114)</f>
        <v>1371.0990000000004</v>
      </c>
      <c r="AL98" s="372">
        <f>SUMIF($Z$95:$Z114,TRIM(AL96),$F$95:$F$114)</f>
        <v>7748.348</v>
      </c>
      <c r="AM98" s="372">
        <f>SUMIF($Z$95:$Z114,TRIM(AM96),$F$95:$F$114)</f>
        <v>0</v>
      </c>
    </row>
    <row r="99" spans="2:39" s="147" customFormat="1" ht="27" hidden="1" customHeight="1">
      <c r="B99" s="894"/>
      <c r="C99" s="895"/>
      <c r="D99" s="361">
        <v>5</v>
      </c>
      <c r="E99" s="440" t="s">
        <v>534</v>
      </c>
      <c r="F99" s="441">
        <f t="shared" si="48"/>
        <v>1412.1314999999995</v>
      </c>
      <c r="G99" s="365">
        <v>39.389999999999993</v>
      </c>
      <c r="H99" s="442">
        <v>34928.070000000007</v>
      </c>
      <c r="I99" s="442">
        <v>34928.070000000007</v>
      </c>
      <c r="J99" s="444">
        <f t="shared" si="49"/>
        <v>1</v>
      </c>
      <c r="K99" s="443">
        <v>35121.479999999996</v>
      </c>
      <c r="L99" s="444">
        <f t="shared" si="50"/>
        <v>1.0055373801071743</v>
      </c>
      <c r="M99" s="443">
        <v>193.41000000000003</v>
      </c>
      <c r="N99" s="444">
        <f t="shared" si="51"/>
        <v>5.5373801071745441E-3</v>
      </c>
      <c r="O99" s="445">
        <f t="shared" si="52"/>
        <v>35314.89</v>
      </c>
      <c r="P99" s="444">
        <f t="shared" si="53"/>
        <v>1.0110747602143488</v>
      </c>
      <c r="Q99" s="442">
        <v>35.849999999999994</v>
      </c>
      <c r="R99" s="444">
        <f t="shared" si="54"/>
        <v>1.0263951028499424E-3</v>
      </c>
      <c r="S99" s="445">
        <f t="shared" si="55"/>
        <v>386.81999999999243</v>
      </c>
      <c r="T99" s="444">
        <f t="shared" si="56"/>
        <v>1.107476021434887E-2</v>
      </c>
      <c r="U99" s="364">
        <f t="shared" si="57"/>
        <v>15236.8397999997</v>
      </c>
      <c r="V99" s="145"/>
      <c r="W99" s="145"/>
      <c r="X99" s="145"/>
      <c r="Y99" s="366" t="s">
        <v>417</v>
      </c>
      <c r="Z99" s="366" t="s">
        <v>216</v>
      </c>
      <c r="AA99" s="367" t="s">
        <v>662</v>
      </c>
      <c r="AB99" s="367" t="s">
        <v>674</v>
      </c>
      <c r="AC99" s="367">
        <v>1</v>
      </c>
      <c r="AD99" s="446" t="s">
        <v>340</v>
      </c>
      <c r="AF99" s="361" t="s">
        <v>563</v>
      </c>
      <c r="AG99" s="447">
        <f t="shared" ref="AG99:AM99" si="59">AG97/$AF97</f>
        <v>0.4</v>
      </c>
      <c r="AH99" s="447">
        <f t="shared" si="59"/>
        <v>0</v>
      </c>
      <c r="AI99" s="447">
        <f t="shared" si="59"/>
        <v>0.3</v>
      </c>
      <c r="AJ99" s="447">
        <f t="shared" si="59"/>
        <v>0</v>
      </c>
      <c r="AK99" s="447">
        <f t="shared" si="59"/>
        <v>0.05</v>
      </c>
      <c r="AL99" s="447">
        <f t="shared" si="59"/>
        <v>0.25</v>
      </c>
      <c r="AM99" s="447">
        <f t="shared" si="59"/>
        <v>0</v>
      </c>
    </row>
    <row r="100" spans="2:39" s="147" customFormat="1" ht="27" hidden="1" customHeight="1">
      <c r="B100" s="894"/>
      <c r="C100" s="895"/>
      <c r="D100" s="361">
        <v>6</v>
      </c>
      <c r="E100" s="440" t="s">
        <v>336</v>
      </c>
      <c r="F100" s="441">
        <f t="shared" si="48"/>
        <v>1371.0990000000004</v>
      </c>
      <c r="G100" s="365">
        <v>147.43000000000004</v>
      </c>
      <c r="H100" s="442">
        <v>4611.7699999999995</v>
      </c>
      <c r="I100" s="442">
        <v>4611.7699999999995</v>
      </c>
      <c r="J100" s="444">
        <f t="shared" si="49"/>
        <v>1</v>
      </c>
      <c r="K100" s="443">
        <v>4696.42</v>
      </c>
      <c r="L100" s="444">
        <f t="shared" si="50"/>
        <v>1.0183552085208067</v>
      </c>
      <c r="M100" s="443">
        <v>84.65</v>
      </c>
      <c r="N100" s="444">
        <f t="shared" si="51"/>
        <v>1.8355208520806549E-2</v>
      </c>
      <c r="O100" s="445">
        <f t="shared" si="52"/>
        <v>4781.07</v>
      </c>
      <c r="P100" s="444">
        <f t="shared" si="53"/>
        <v>1.036710417041613</v>
      </c>
      <c r="Q100" s="442">
        <v>9.3000000000000007</v>
      </c>
      <c r="R100" s="444">
        <f t="shared" si="54"/>
        <v>2.0165793177023142E-3</v>
      </c>
      <c r="S100" s="445">
        <f t="shared" si="55"/>
        <v>169.30000000000018</v>
      </c>
      <c r="T100" s="444">
        <f t="shared" si="56"/>
        <v>3.6710417041613132E-2</v>
      </c>
      <c r="U100" s="364">
        <f t="shared" si="57"/>
        <v>24959.899000000034</v>
      </c>
      <c r="V100" s="145"/>
      <c r="W100" s="145"/>
      <c r="X100" s="145"/>
      <c r="Y100" s="366" t="s">
        <v>417</v>
      </c>
      <c r="Z100" s="366" t="s">
        <v>215</v>
      </c>
      <c r="AA100" s="367" t="s">
        <v>675</v>
      </c>
      <c r="AB100" s="367" t="s">
        <v>569</v>
      </c>
      <c r="AC100" s="367">
        <v>1</v>
      </c>
      <c r="AD100" s="446" t="s">
        <v>340</v>
      </c>
    </row>
    <row r="101" spans="2:39" s="147" customFormat="1" ht="27" hidden="1" customHeight="1">
      <c r="B101" s="894"/>
      <c r="C101" s="895"/>
      <c r="D101" s="361">
        <v>7</v>
      </c>
      <c r="E101" s="440" t="s">
        <v>633</v>
      </c>
      <c r="F101" s="441">
        <f t="shared" si="48"/>
        <v>1300.3039999999999</v>
      </c>
      <c r="G101" s="365">
        <v>144.79999999999998</v>
      </c>
      <c r="H101" s="442">
        <v>2814.75</v>
      </c>
      <c r="I101" s="442">
        <v>2814.75</v>
      </c>
      <c r="J101" s="444">
        <f t="shared" si="49"/>
        <v>1</v>
      </c>
      <c r="K101" s="443">
        <v>2871.42</v>
      </c>
      <c r="L101" s="444">
        <f t="shared" si="50"/>
        <v>1.0201332267519319</v>
      </c>
      <c r="M101" s="443">
        <v>45.67</v>
      </c>
      <c r="N101" s="444">
        <f t="shared" si="51"/>
        <v>1.6225242028599342E-2</v>
      </c>
      <c r="O101" s="445">
        <f t="shared" si="52"/>
        <v>2917.09</v>
      </c>
      <c r="P101" s="444">
        <f t="shared" si="53"/>
        <v>1.0363584687805312</v>
      </c>
      <c r="Q101" s="442">
        <v>8.98</v>
      </c>
      <c r="R101" s="444">
        <f t="shared" si="54"/>
        <v>3.1903366195932146E-3</v>
      </c>
      <c r="S101" s="445">
        <f t="shared" si="55"/>
        <v>102.34000000000015</v>
      </c>
      <c r="T101" s="444">
        <f t="shared" si="56"/>
        <v>3.6358468780531179E-2</v>
      </c>
      <c r="U101" s="364">
        <f t="shared" si="57"/>
        <v>14818.832000000019</v>
      </c>
      <c r="V101" s="145"/>
      <c r="W101" s="145"/>
      <c r="X101" s="145"/>
      <c r="Y101" s="366" t="s">
        <v>417</v>
      </c>
      <c r="Z101" s="366" t="s">
        <v>445</v>
      </c>
      <c r="AA101" s="367" t="s">
        <v>678</v>
      </c>
      <c r="AB101" s="367" t="s">
        <v>571</v>
      </c>
      <c r="AC101" s="367">
        <v>1</v>
      </c>
      <c r="AD101" s="446" t="s">
        <v>614</v>
      </c>
    </row>
    <row r="102" spans="2:39" s="147" customFormat="1" ht="27" hidden="1" customHeight="1">
      <c r="B102" s="894"/>
      <c r="C102" s="895"/>
      <c r="D102" s="361">
        <v>8</v>
      </c>
      <c r="E102" s="440" t="s">
        <v>619</v>
      </c>
      <c r="F102" s="441">
        <f t="shared" si="48"/>
        <v>1259.2982999999999</v>
      </c>
      <c r="G102" s="365">
        <v>39.389999999999993</v>
      </c>
      <c r="H102" s="442">
        <v>7006.3500000000013</v>
      </c>
      <c r="I102" s="442">
        <v>7006.3500000000013</v>
      </c>
      <c r="J102" s="444">
        <f t="shared" si="49"/>
        <v>1</v>
      </c>
      <c r="K102" s="443">
        <v>7117.1299999999992</v>
      </c>
      <c r="L102" s="444">
        <f t="shared" si="50"/>
        <v>1.015811371113347</v>
      </c>
      <c r="M102" s="443">
        <v>102.00000000000001</v>
      </c>
      <c r="N102" s="444">
        <f t="shared" si="51"/>
        <v>1.455822218416151E-2</v>
      </c>
      <c r="O102" s="445">
        <f t="shared" si="52"/>
        <v>7219.1299999999992</v>
      </c>
      <c r="P102" s="444">
        <f t="shared" si="53"/>
        <v>1.0303695932975083</v>
      </c>
      <c r="Q102" s="442">
        <v>31.970000000000002</v>
      </c>
      <c r="R102" s="444">
        <f t="shared" si="54"/>
        <v>4.5630035610553276E-3</v>
      </c>
      <c r="S102" s="445">
        <f t="shared" si="55"/>
        <v>212.77999999999793</v>
      </c>
      <c r="T102" s="444">
        <f t="shared" si="56"/>
        <v>3.0369593297508386E-2</v>
      </c>
      <c r="U102" s="364">
        <f t="shared" si="57"/>
        <v>8381.4041999999172</v>
      </c>
      <c r="V102" s="145"/>
      <c r="W102" s="145"/>
      <c r="X102" s="145"/>
      <c r="Y102" s="366" t="s">
        <v>417</v>
      </c>
      <c r="Z102" s="366" t="s">
        <v>216</v>
      </c>
      <c r="AA102" s="367" t="s">
        <v>662</v>
      </c>
      <c r="AB102" s="367" t="s">
        <v>674</v>
      </c>
      <c r="AC102" s="367">
        <v>1</v>
      </c>
      <c r="AD102" s="446" t="s">
        <v>463</v>
      </c>
    </row>
    <row r="103" spans="2:39" s="147" customFormat="1" ht="27" hidden="1" customHeight="1">
      <c r="B103" s="894"/>
      <c r="C103" s="895"/>
      <c r="D103" s="361">
        <v>9</v>
      </c>
      <c r="E103" s="440" t="s">
        <v>386</v>
      </c>
      <c r="F103" s="441">
        <f t="shared" si="48"/>
        <v>1196.5824</v>
      </c>
      <c r="G103" s="365">
        <v>127.84000000000002</v>
      </c>
      <c r="H103" s="442">
        <v>4089.3399999999997</v>
      </c>
      <c r="I103" s="442">
        <v>4089.3399999999997</v>
      </c>
      <c r="J103" s="444">
        <f t="shared" si="49"/>
        <v>1</v>
      </c>
      <c r="K103" s="443">
        <v>4129.5200000000004</v>
      </c>
      <c r="L103" s="444">
        <f t="shared" si="50"/>
        <v>1.009825546420694</v>
      </c>
      <c r="M103" s="443">
        <v>40.179999999999993</v>
      </c>
      <c r="N103" s="444">
        <f t="shared" si="51"/>
        <v>9.8255464206938037E-3</v>
      </c>
      <c r="O103" s="445">
        <f t="shared" si="52"/>
        <v>4169.7000000000007</v>
      </c>
      <c r="P103" s="444">
        <f t="shared" si="53"/>
        <v>1.0196510928413878</v>
      </c>
      <c r="Q103" s="442">
        <v>9.36</v>
      </c>
      <c r="R103" s="444">
        <f t="shared" si="54"/>
        <v>2.2888779118390742E-3</v>
      </c>
      <c r="S103" s="445">
        <f t="shared" si="55"/>
        <v>80.360000000001037</v>
      </c>
      <c r="T103" s="444">
        <f t="shared" si="56"/>
        <v>1.9651092841387864E-2</v>
      </c>
      <c r="U103" s="364">
        <f t="shared" si="57"/>
        <v>10273.222400000133</v>
      </c>
      <c r="V103" s="145"/>
      <c r="W103" s="145"/>
      <c r="X103" s="145"/>
      <c r="Y103" s="366" t="s">
        <v>417</v>
      </c>
      <c r="Z103" s="366" t="s">
        <v>445</v>
      </c>
      <c r="AA103" s="367" t="s">
        <v>644</v>
      </c>
      <c r="AB103" s="367" t="s">
        <v>571</v>
      </c>
      <c r="AC103" s="367">
        <v>1</v>
      </c>
      <c r="AD103" s="446" t="s">
        <v>340</v>
      </c>
      <c r="AH103" s="370"/>
    </row>
    <row r="104" spans="2:39" s="147" customFormat="1" ht="27" hidden="1" customHeight="1">
      <c r="B104" s="894"/>
      <c r="C104" s="895"/>
      <c r="D104" s="361">
        <v>10</v>
      </c>
      <c r="E104" s="440" t="s">
        <v>692</v>
      </c>
      <c r="F104" s="441">
        <f t="shared" si="48"/>
        <v>1095.395</v>
      </c>
      <c r="G104" s="365">
        <v>625.93999999999994</v>
      </c>
      <c r="H104" s="442">
        <v>1716.9</v>
      </c>
      <c r="I104" s="442">
        <v>1716.9</v>
      </c>
      <c r="J104" s="444">
        <f t="shared" si="49"/>
        <v>1</v>
      </c>
      <c r="K104" s="443">
        <v>1727.31</v>
      </c>
      <c r="L104" s="444">
        <f t="shared" si="50"/>
        <v>1.006063253538354</v>
      </c>
      <c r="M104" s="443">
        <v>10.41</v>
      </c>
      <c r="N104" s="444">
        <f t="shared" si="51"/>
        <v>6.06325353835401E-3</v>
      </c>
      <c r="O104" s="445">
        <f t="shared" si="52"/>
        <v>1737.72</v>
      </c>
      <c r="P104" s="444">
        <f t="shared" si="53"/>
        <v>1.012126507076708</v>
      </c>
      <c r="Q104" s="442">
        <v>1.75</v>
      </c>
      <c r="R104" s="444">
        <f t="shared" si="54"/>
        <v>1.0192789329605684E-3</v>
      </c>
      <c r="S104" s="445">
        <f t="shared" si="55"/>
        <v>20.819999999999936</v>
      </c>
      <c r="T104" s="444">
        <f t="shared" si="56"/>
        <v>1.2126507076707982E-2</v>
      </c>
      <c r="U104" s="364">
        <f t="shared" si="57"/>
        <v>13032.070799999959</v>
      </c>
      <c r="V104" s="145"/>
      <c r="W104" s="145"/>
      <c r="X104" s="145"/>
      <c r="Y104" s="366" t="s">
        <v>417</v>
      </c>
      <c r="Z104" s="366" t="s">
        <v>337</v>
      </c>
      <c r="AA104" s="367" t="s">
        <v>586</v>
      </c>
      <c r="AB104" s="380" t="s">
        <v>587</v>
      </c>
      <c r="AC104" s="367">
        <v>1</v>
      </c>
      <c r="AD104" s="446" t="s">
        <v>597</v>
      </c>
      <c r="AH104" s="370"/>
    </row>
    <row r="105" spans="2:39" s="147" customFormat="1" ht="27" hidden="1" customHeight="1">
      <c r="B105" s="894"/>
      <c r="C105" s="895"/>
      <c r="D105" s="361">
        <v>11</v>
      </c>
      <c r="E105" s="440" t="s">
        <v>461</v>
      </c>
      <c r="F105" s="441">
        <f t="shared" si="48"/>
        <v>1088.6658000000002</v>
      </c>
      <c r="G105" s="365">
        <v>407.74000000000007</v>
      </c>
      <c r="H105" s="442">
        <v>1119.06</v>
      </c>
      <c r="I105" s="442">
        <v>1119.06</v>
      </c>
      <c r="J105" s="444">
        <f t="shared" si="49"/>
        <v>1</v>
      </c>
      <c r="K105" s="443">
        <v>1130.7</v>
      </c>
      <c r="L105" s="444">
        <f t="shared" si="50"/>
        <v>1.010401587046271</v>
      </c>
      <c r="M105" s="443">
        <v>11.64</v>
      </c>
      <c r="N105" s="444">
        <f t="shared" si="51"/>
        <v>1.0401587046270979E-2</v>
      </c>
      <c r="O105" s="445">
        <f t="shared" si="52"/>
        <v>1142.3400000000001</v>
      </c>
      <c r="P105" s="444">
        <f t="shared" si="53"/>
        <v>1.0208031740925421</v>
      </c>
      <c r="Q105" s="442">
        <v>2.67</v>
      </c>
      <c r="R105" s="444">
        <f t="shared" si="54"/>
        <v>2.3859310492734976E-3</v>
      </c>
      <c r="S105" s="445">
        <f t="shared" si="55"/>
        <v>23.2800000000002</v>
      </c>
      <c r="T105" s="444">
        <f t="shared" si="56"/>
        <v>2.0803174092542134E-2</v>
      </c>
      <c r="U105" s="364">
        <f t="shared" si="57"/>
        <v>9492.187200000084</v>
      </c>
      <c r="V105" s="145"/>
      <c r="W105" s="145"/>
      <c r="X105" s="145"/>
      <c r="Y105" s="366" t="s">
        <v>417</v>
      </c>
      <c r="Z105" s="366" t="s">
        <v>337</v>
      </c>
      <c r="AA105" s="367" t="s">
        <v>586</v>
      </c>
      <c r="AB105" s="380" t="s">
        <v>587</v>
      </c>
      <c r="AC105" s="367">
        <v>1</v>
      </c>
      <c r="AD105" s="446" t="s">
        <v>533</v>
      </c>
      <c r="AH105" s="370"/>
    </row>
    <row r="106" spans="2:39" s="147" customFormat="1" ht="27" hidden="1" customHeight="1">
      <c r="B106" s="894"/>
      <c r="C106" s="895"/>
      <c r="D106" s="361">
        <v>12</v>
      </c>
      <c r="E106" s="440" t="s">
        <v>653</v>
      </c>
      <c r="F106" s="441">
        <f t="shared" si="48"/>
        <v>1048.4948000000002</v>
      </c>
      <c r="G106" s="365">
        <v>40.420000000000009</v>
      </c>
      <c r="H106" s="442">
        <v>3099.3199999999997</v>
      </c>
      <c r="I106" s="442">
        <v>3099.3199999999997</v>
      </c>
      <c r="J106" s="444">
        <f t="shared" si="49"/>
        <v>1</v>
      </c>
      <c r="K106" s="443">
        <v>3197.7499999999995</v>
      </c>
      <c r="L106" s="444">
        <f t="shared" si="50"/>
        <v>1.031758579301266</v>
      </c>
      <c r="M106" s="443">
        <v>98.43</v>
      </c>
      <c r="N106" s="444">
        <f t="shared" si="51"/>
        <v>3.1758579301266091E-2</v>
      </c>
      <c r="O106" s="445">
        <f t="shared" si="52"/>
        <v>3296.1799999999994</v>
      </c>
      <c r="P106" s="444">
        <f t="shared" si="53"/>
        <v>1.063517158602532</v>
      </c>
      <c r="Q106" s="442">
        <v>25.94</v>
      </c>
      <c r="R106" s="444">
        <f t="shared" si="54"/>
        <v>8.3695778428816651E-3</v>
      </c>
      <c r="S106" s="445">
        <f t="shared" si="55"/>
        <v>196.85999999999967</v>
      </c>
      <c r="T106" s="444">
        <f t="shared" si="56"/>
        <v>6.351715860253207E-2</v>
      </c>
      <c r="U106" s="364">
        <f t="shared" si="57"/>
        <v>7957.0811999999887</v>
      </c>
      <c r="V106" s="145"/>
      <c r="W106" s="145"/>
      <c r="X106" s="145"/>
      <c r="Y106" s="366" t="s">
        <v>417</v>
      </c>
      <c r="Z106" s="366" t="s">
        <v>216</v>
      </c>
      <c r="AA106" s="367" t="s">
        <v>662</v>
      </c>
      <c r="AB106" s="367" t="s">
        <v>674</v>
      </c>
      <c r="AC106" s="367">
        <v>1</v>
      </c>
      <c r="AD106" s="446" t="s">
        <v>649</v>
      </c>
      <c r="AH106" s="370"/>
    </row>
    <row r="107" spans="2:39" s="147" customFormat="1" ht="27" hidden="1" customHeight="1">
      <c r="B107" s="894"/>
      <c r="C107" s="895"/>
      <c r="D107" s="361">
        <v>13</v>
      </c>
      <c r="E107" s="440" t="s">
        <v>665</v>
      </c>
      <c r="F107" s="441">
        <f t="shared" si="48"/>
        <v>1037.1199999999999</v>
      </c>
      <c r="G107" s="365">
        <v>4.63</v>
      </c>
      <c r="H107" s="442">
        <v>77945</v>
      </c>
      <c r="I107" s="442">
        <v>77945</v>
      </c>
      <c r="J107" s="444">
        <f t="shared" si="49"/>
        <v>1</v>
      </c>
      <c r="K107" s="443">
        <v>78169</v>
      </c>
      <c r="L107" s="444">
        <f t="shared" si="50"/>
        <v>1.002873821284239</v>
      </c>
      <c r="M107" s="443">
        <v>0</v>
      </c>
      <c r="N107" s="444">
        <f t="shared" si="51"/>
        <v>0</v>
      </c>
      <c r="O107" s="445">
        <f t="shared" si="52"/>
        <v>78169</v>
      </c>
      <c r="P107" s="444">
        <f t="shared" si="53"/>
        <v>1.002873821284239</v>
      </c>
      <c r="Q107" s="442">
        <v>224</v>
      </c>
      <c r="R107" s="444">
        <f t="shared" si="54"/>
        <v>2.8738212842388863E-3</v>
      </c>
      <c r="S107" s="445">
        <f t="shared" si="55"/>
        <v>224</v>
      </c>
      <c r="T107" s="444">
        <f t="shared" si="56"/>
        <v>2.8738212842388863E-3</v>
      </c>
      <c r="U107" s="364">
        <f t="shared" si="57"/>
        <v>1037.1199999999999</v>
      </c>
      <c r="V107" s="145"/>
      <c r="W107" s="145"/>
      <c r="X107" s="145"/>
      <c r="Y107" s="366" t="s">
        <v>417</v>
      </c>
      <c r="Z107" s="366" t="s">
        <v>337</v>
      </c>
      <c r="AA107" s="367" t="s">
        <v>647</v>
      </c>
      <c r="AB107" s="380" t="s">
        <v>605</v>
      </c>
      <c r="AC107" s="367">
        <v>1</v>
      </c>
      <c r="AD107" s="446" t="s">
        <v>580</v>
      </c>
      <c r="AH107" s="370"/>
    </row>
    <row r="108" spans="2:39" s="147" customFormat="1" ht="27" hidden="1" customHeight="1">
      <c r="B108" s="894"/>
      <c r="C108" s="895"/>
      <c r="D108" s="361">
        <v>14</v>
      </c>
      <c r="E108" s="440" t="s">
        <v>545</v>
      </c>
      <c r="F108" s="441">
        <f t="shared" si="48"/>
        <v>1032.9505999999999</v>
      </c>
      <c r="G108" s="365">
        <v>66.13</v>
      </c>
      <c r="H108" s="442">
        <v>1931.02</v>
      </c>
      <c r="I108" s="442">
        <v>1931.02</v>
      </c>
      <c r="J108" s="444">
        <f t="shared" si="49"/>
        <v>1</v>
      </c>
      <c r="K108" s="443">
        <v>1988.01</v>
      </c>
      <c r="L108" s="444">
        <f t="shared" si="50"/>
        <v>1.029512899918178</v>
      </c>
      <c r="M108" s="443">
        <v>56.99</v>
      </c>
      <c r="N108" s="444">
        <f t="shared" si="51"/>
        <v>2.9512899918177959E-2</v>
      </c>
      <c r="O108" s="445">
        <f t="shared" si="52"/>
        <v>2045</v>
      </c>
      <c r="P108" s="444">
        <f t="shared" si="53"/>
        <v>1.0590257998363559</v>
      </c>
      <c r="Q108" s="442">
        <v>15.62</v>
      </c>
      <c r="R108" s="444">
        <f t="shared" si="54"/>
        <v>8.0889892388478629E-3</v>
      </c>
      <c r="S108" s="445">
        <f t="shared" si="55"/>
        <v>113.98000000000002</v>
      </c>
      <c r="T108" s="444">
        <f t="shared" si="56"/>
        <v>5.9025799836355926E-2</v>
      </c>
      <c r="U108" s="364">
        <f t="shared" si="57"/>
        <v>7537.4974000000011</v>
      </c>
      <c r="V108" s="145"/>
      <c r="W108" s="145"/>
      <c r="X108" s="145"/>
      <c r="Y108" s="366" t="s">
        <v>417</v>
      </c>
      <c r="Z108" s="366" t="s">
        <v>445</v>
      </c>
      <c r="AA108" s="367" t="s">
        <v>479</v>
      </c>
      <c r="AB108" s="367" t="s">
        <v>590</v>
      </c>
      <c r="AC108" s="367">
        <v>1</v>
      </c>
      <c r="AD108" s="446" t="s">
        <v>630</v>
      </c>
      <c r="AF108" s="918" t="s">
        <v>247</v>
      </c>
      <c r="AG108" s="919"/>
      <c r="AH108" s="919"/>
      <c r="AI108" s="919"/>
      <c r="AJ108" s="919"/>
      <c r="AK108" s="919"/>
      <c r="AL108" s="919"/>
      <c r="AM108" s="920"/>
    </row>
    <row r="109" spans="2:39" s="147" customFormat="1" ht="27" hidden="1" customHeight="1">
      <c r="B109" s="894"/>
      <c r="C109" s="895"/>
      <c r="D109" s="361">
        <v>15</v>
      </c>
      <c r="E109" s="440" t="s">
        <v>462</v>
      </c>
      <c r="F109" s="441">
        <f t="shared" si="48"/>
        <v>1030.3458000000001</v>
      </c>
      <c r="G109" s="365">
        <v>160.49</v>
      </c>
      <c r="H109" s="442">
        <v>662.77</v>
      </c>
      <c r="I109" s="442">
        <v>662.77</v>
      </c>
      <c r="J109" s="444">
        <f t="shared" si="49"/>
        <v>1</v>
      </c>
      <c r="K109" s="443">
        <v>680.31</v>
      </c>
      <c r="L109" s="444">
        <f t="shared" si="50"/>
        <v>1.0264646860901971</v>
      </c>
      <c r="M109" s="443">
        <v>17.54</v>
      </c>
      <c r="N109" s="444">
        <f t="shared" si="51"/>
        <v>2.6464686090197202E-2</v>
      </c>
      <c r="O109" s="445">
        <f t="shared" si="52"/>
        <v>697.84999999999991</v>
      </c>
      <c r="P109" s="444">
        <f t="shared" si="53"/>
        <v>1.0529293721803943</v>
      </c>
      <c r="Q109" s="442">
        <v>6.42</v>
      </c>
      <c r="R109" s="444">
        <f t="shared" si="54"/>
        <v>9.6866182838692156E-3</v>
      </c>
      <c r="S109" s="445">
        <f t="shared" si="55"/>
        <v>35.079999999999927</v>
      </c>
      <c r="T109" s="444">
        <f t="shared" si="56"/>
        <v>5.2929372180394299E-2</v>
      </c>
      <c r="U109" s="364">
        <f t="shared" si="57"/>
        <v>5629.9891999999891</v>
      </c>
      <c r="V109" s="145"/>
      <c r="W109" s="145"/>
      <c r="X109" s="145"/>
      <c r="Y109" s="366" t="s">
        <v>417</v>
      </c>
      <c r="Z109" s="366" t="s">
        <v>445</v>
      </c>
      <c r="AA109" s="367" t="s">
        <v>644</v>
      </c>
      <c r="AB109" s="367" t="s">
        <v>571</v>
      </c>
      <c r="AC109" s="367">
        <v>1</v>
      </c>
      <c r="AD109" s="446" t="s">
        <v>350</v>
      </c>
      <c r="AF109" s="921"/>
      <c r="AG109" s="922"/>
      <c r="AH109" s="922"/>
      <c r="AI109" s="922"/>
      <c r="AJ109" s="922"/>
      <c r="AK109" s="922"/>
      <c r="AL109" s="922"/>
      <c r="AM109" s="923"/>
    </row>
    <row r="110" spans="2:39" s="147" customFormat="1" ht="27" hidden="1" customHeight="1">
      <c r="B110" s="894"/>
      <c r="C110" s="895"/>
      <c r="D110" s="361">
        <v>16</v>
      </c>
      <c r="E110" s="440" t="s">
        <v>693</v>
      </c>
      <c r="F110" s="441">
        <f t="shared" si="48"/>
        <v>1030.0899999999999</v>
      </c>
      <c r="G110" s="365">
        <v>4.3099999999999996</v>
      </c>
      <c r="H110" s="442">
        <v>58407</v>
      </c>
      <c r="I110" s="442">
        <v>58407</v>
      </c>
      <c r="J110" s="444">
        <f t="shared" si="49"/>
        <v>1</v>
      </c>
      <c r="K110" s="443">
        <v>58646</v>
      </c>
      <c r="L110" s="444">
        <f t="shared" si="50"/>
        <v>1.0040919752769359</v>
      </c>
      <c r="M110" s="443">
        <v>0</v>
      </c>
      <c r="N110" s="444">
        <f t="shared" si="51"/>
        <v>0</v>
      </c>
      <c r="O110" s="445">
        <f t="shared" si="52"/>
        <v>58646</v>
      </c>
      <c r="P110" s="444">
        <f t="shared" si="53"/>
        <v>1.0040919752769359</v>
      </c>
      <c r="Q110" s="442">
        <v>239</v>
      </c>
      <c r="R110" s="444">
        <f t="shared" si="54"/>
        <v>4.091975276935984E-3</v>
      </c>
      <c r="S110" s="445">
        <f t="shared" si="55"/>
        <v>239</v>
      </c>
      <c r="T110" s="444">
        <f t="shared" si="56"/>
        <v>4.091975276935984E-3</v>
      </c>
      <c r="U110" s="364">
        <f t="shared" si="57"/>
        <v>1030.0899999999999</v>
      </c>
      <c r="V110" s="145"/>
      <c r="W110" s="145"/>
      <c r="X110" s="145"/>
      <c r="Y110" s="366" t="s">
        <v>417</v>
      </c>
      <c r="Z110" s="366" t="s">
        <v>337</v>
      </c>
      <c r="AA110" s="380" t="s">
        <v>699</v>
      </c>
      <c r="AB110" s="367" t="s">
        <v>700</v>
      </c>
      <c r="AC110" s="367">
        <v>1</v>
      </c>
      <c r="AD110" s="446" t="s">
        <v>650</v>
      </c>
      <c r="AF110" s="924"/>
      <c r="AG110" s="925"/>
      <c r="AH110" s="925"/>
      <c r="AI110" s="925"/>
      <c r="AJ110" s="925"/>
      <c r="AK110" s="925"/>
      <c r="AL110" s="925"/>
      <c r="AM110" s="926"/>
    </row>
    <row r="111" spans="2:39" s="147" customFormat="1" ht="27" hidden="1" customHeight="1">
      <c r="B111" s="894"/>
      <c r="C111" s="895"/>
      <c r="D111" s="361">
        <v>17</v>
      </c>
      <c r="E111" s="440" t="s">
        <v>669</v>
      </c>
      <c r="F111" s="441">
        <f t="shared" si="48"/>
        <v>1029.9285</v>
      </c>
      <c r="G111" s="365">
        <v>99.51</v>
      </c>
      <c r="H111" s="442">
        <v>1193.3999999999999</v>
      </c>
      <c r="I111" s="442">
        <v>1193.3999999999999</v>
      </c>
      <c r="J111" s="444">
        <f t="shared" si="49"/>
        <v>1</v>
      </c>
      <c r="K111" s="443">
        <v>1221.33</v>
      </c>
      <c r="L111" s="444">
        <f t="shared" si="50"/>
        <v>1.0234037204625441</v>
      </c>
      <c r="M111" s="443">
        <v>27.93</v>
      </c>
      <c r="N111" s="444">
        <f t="shared" si="51"/>
        <v>2.3403720462543996E-2</v>
      </c>
      <c r="O111" s="445">
        <f t="shared" si="52"/>
        <v>1249.26</v>
      </c>
      <c r="P111" s="444">
        <f t="shared" si="53"/>
        <v>1.046807440925088</v>
      </c>
      <c r="Q111" s="442">
        <v>10.35</v>
      </c>
      <c r="R111" s="444">
        <f t="shared" si="54"/>
        <v>8.6726998491704378E-3</v>
      </c>
      <c r="S111" s="445">
        <f t="shared" si="55"/>
        <v>55.860000000000127</v>
      </c>
      <c r="T111" s="444">
        <f t="shared" si="56"/>
        <v>4.6807440925088095E-2</v>
      </c>
      <c r="U111" s="364">
        <f t="shared" si="57"/>
        <v>5558.6286000000127</v>
      </c>
      <c r="V111" s="145"/>
      <c r="W111" s="145"/>
      <c r="X111" s="145"/>
      <c r="Y111" s="366" t="s">
        <v>417</v>
      </c>
      <c r="Z111" s="366" t="s">
        <v>445</v>
      </c>
      <c r="AA111" s="367" t="s">
        <v>479</v>
      </c>
      <c r="AB111" s="367" t="s">
        <v>590</v>
      </c>
      <c r="AC111" s="367">
        <v>1</v>
      </c>
      <c r="AD111" s="446" t="s">
        <v>353</v>
      </c>
      <c r="AF111" s="160" t="s">
        <v>244</v>
      </c>
      <c r="AG111" s="160" t="s">
        <v>445</v>
      </c>
      <c r="AH111" s="155" t="s">
        <v>383</v>
      </c>
      <c r="AI111" s="155" t="s">
        <v>337</v>
      </c>
      <c r="AJ111" s="155" t="s">
        <v>428</v>
      </c>
      <c r="AK111" s="155" t="s">
        <v>215</v>
      </c>
      <c r="AL111" s="155" t="s">
        <v>216</v>
      </c>
      <c r="AM111" s="155" t="s">
        <v>384</v>
      </c>
    </row>
    <row r="112" spans="2:39" s="147" customFormat="1" ht="27" hidden="1" customHeight="1">
      <c r="B112" s="894"/>
      <c r="C112" s="895"/>
      <c r="D112" s="361">
        <v>18</v>
      </c>
      <c r="E112" s="440" t="s">
        <v>474</v>
      </c>
      <c r="F112" s="441">
        <f t="shared" si="48"/>
        <v>1029.3030000000001</v>
      </c>
      <c r="G112" s="365">
        <v>84.3</v>
      </c>
      <c r="H112" s="442">
        <v>1192.4000000000001</v>
      </c>
      <c r="I112" s="442">
        <v>1192.4000000000001</v>
      </c>
      <c r="J112" s="444">
        <f t="shared" si="49"/>
        <v>1</v>
      </c>
      <c r="K112" s="443">
        <v>1229.6799999999998</v>
      </c>
      <c r="L112" s="444">
        <f t="shared" si="50"/>
        <v>1.0312646762831263</v>
      </c>
      <c r="M112" s="443">
        <v>37.28</v>
      </c>
      <c r="N112" s="444">
        <f t="shared" si="51"/>
        <v>3.1264676283126465E-2</v>
      </c>
      <c r="O112" s="445">
        <f t="shared" si="52"/>
        <v>1266.9599999999998</v>
      </c>
      <c r="P112" s="444">
        <f t="shared" si="53"/>
        <v>1.0625293525662527</v>
      </c>
      <c r="Q112" s="442">
        <v>12.21</v>
      </c>
      <c r="R112" s="444">
        <f t="shared" si="54"/>
        <v>1.0239852398523985E-2</v>
      </c>
      <c r="S112" s="445">
        <f t="shared" si="55"/>
        <v>74.559999999999718</v>
      </c>
      <c r="T112" s="444">
        <f t="shared" si="56"/>
        <v>6.2529352566252694E-2</v>
      </c>
      <c r="U112" s="364">
        <f t="shared" si="57"/>
        <v>6285.4079999999758</v>
      </c>
      <c r="V112" s="145"/>
      <c r="W112" s="145"/>
      <c r="X112" s="145"/>
      <c r="Y112" s="366" t="s">
        <v>417</v>
      </c>
      <c r="Z112" s="366" t="s">
        <v>445</v>
      </c>
      <c r="AA112" s="367" t="s">
        <v>479</v>
      </c>
      <c r="AB112" s="367" t="s">
        <v>590</v>
      </c>
      <c r="AC112" s="367">
        <v>1</v>
      </c>
      <c r="AD112" s="446" t="s">
        <v>435</v>
      </c>
      <c r="AE112" s="453" t="s">
        <v>610</v>
      </c>
      <c r="AF112" s="374">
        <f t="shared" ref="AF112:AM112" si="60">AF31+AF53+AF75+AF97</f>
        <v>80</v>
      </c>
      <c r="AG112" s="374">
        <f t="shared" si="60"/>
        <v>28</v>
      </c>
      <c r="AH112" s="374">
        <f t="shared" si="60"/>
        <v>0</v>
      </c>
      <c r="AI112" s="374">
        <f t="shared" si="60"/>
        <v>26</v>
      </c>
      <c r="AJ112" s="374">
        <f t="shared" si="60"/>
        <v>0</v>
      </c>
      <c r="AK112" s="374">
        <f t="shared" si="60"/>
        <v>5</v>
      </c>
      <c r="AL112" s="374">
        <f t="shared" si="60"/>
        <v>21</v>
      </c>
      <c r="AM112" s="374">
        <f t="shared" si="60"/>
        <v>0</v>
      </c>
    </row>
    <row r="113" spans="2:39" s="147" customFormat="1" ht="27" hidden="1" customHeight="1">
      <c r="B113" s="894"/>
      <c r="C113" s="895"/>
      <c r="D113" s="361">
        <v>19</v>
      </c>
      <c r="E113" s="440" t="s">
        <v>694</v>
      </c>
      <c r="F113" s="441">
        <f t="shared" si="48"/>
        <v>1028.9719000000002</v>
      </c>
      <c r="G113" s="365">
        <v>335.17</v>
      </c>
      <c r="H113" s="442">
        <v>231.88</v>
      </c>
      <c r="I113" s="442">
        <v>231.88</v>
      </c>
      <c r="J113" s="444">
        <f t="shared" si="49"/>
        <v>1</v>
      </c>
      <c r="K113" s="443">
        <v>240.74</v>
      </c>
      <c r="L113" s="444">
        <f t="shared" si="50"/>
        <v>1.0382094186648267</v>
      </c>
      <c r="M113" s="443">
        <v>8.86</v>
      </c>
      <c r="N113" s="444">
        <f t="shared" si="51"/>
        <v>3.8209418664826633E-2</v>
      </c>
      <c r="O113" s="445">
        <f t="shared" si="52"/>
        <v>249.60000000000002</v>
      </c>
      <c r="P113" s="444">
        <f t="shared" si="53"/>
        <v>1.0764188373296535</v>
      </c>
      <c r="Q113" s="442">
        <v>3.0700000000000003</v>
      </c>
      <c r="R113" s="444">
        <f t="shared" si="54"/>
        <v>1.3239606693117131E-2</v>
      </c>
      <c r="S113" s="445">
        <f t="shared" si="55"/>
        <v>17.720000000000027</v>
      </c>
      <c r="T113" s="444">
        <f t="shared" si="56"/>
        <v>7.6418837329653391E-2</v>
      </c>
      <c r="U113" s="364">
        <f t="shared" si="57"/>
        <v>5939.2124000000094</v>
      </c>
      <c r="V113" s="145"/>
      <c r="W113" s="145"/>
      <c r="X113" s="145"/>
      <c r="Y113" s="366" t="s">
        <v>417</v>
      </c>
      <c r="Z113" s="366" t="s">
        <v>445</v>
      </c>
      <c r="AA113" s="367" t="s">
        <v>679</v>
      </c>
      <c r="AB113" s="367" t="s">
        <v>605</v>
      </c>
      <c r="AC113" s="367">
        <v>1</v>
      </c>
      <c r="AD113" s="446" t="s">
        <v>465</v>
      </c>
      <c r="AF113" s="375"/>
      <c r="AG113" s="374">
        <f t="shared" ref="AG113:AM113" si="61">AG32+AG54+AG76+AG98</f>
        <v>32991.704942857148</v>
      </c>
      <c r="AH113" s="374">
        <f t="shared" si="61"/>
        <v>0</v>
      </c>
      <c r="AI113" s="374">
        <f t="shared" si="61"/>
        <v>40853.813199999997</v>
      </c>
      <c r="AJ113" s="374">
        <f t="shared" si="61"/>
        <v>0</v>
      </c>
      <c r="AK113" s="374">
        <f t="shared" si="61"/>
        <v>7198.4020000000019</v>
      </c>
      <c r="AL113" s="374">
        <f t="shared" si="61"/>
        <v>32060.451799999995</v>
      </c>
      <c r="AM113" s="374">
        <f t="shared" si="61"/>
        <v>0</v>
      </c>
    </row>
    <row r="114" spans="2:39" s="147" customFormat="1" ht="27" hidden="1" customHeight="1">
      <c r="B114" s="896"/>
      <c r="C114" s="897"/>
      <c r="D114" s="361">
        <v>20</v>
      </c>
      <c r="E114" s="440" t="s">
        <v>634</v>
      </c>
      <c r="F114" s="441">
        <f t="shared" si="48"/>
        <v>1025.5996</v>
      </c>
      <c r="G114" s="365">
        <v>212.78</v>
      </c>
      <c r="H114" s="442">
        <v>507.33</v>
      </c>
      <c r="I114" s="442">
        <v>507.33</v>
      </c>
      <c r="J114" s="444">
        <f t="shared" si="49"/>
        <v>1</v>
      </c>
      <c r="K114" s="443">
        <v>522.01</v>
      </c>
      <c r="L114" s="444">
        <f t="shared" si="50"/>
        <v>1.0289358011550667</v>
      </c>
      <c r="M114" s="443">
        <v>14.68</v>
      </c>
      <c r="N114" s="444">
        <f t="shared" si="51"/>
        <v>2.8935801155066724E-2</v>
      </c>
      <c r="O114" s="445">
        <f t="shared" si="52"/>
        <v>536.68999999999994</v>
      </c>
      <c r="P114" s="444">
        <f t="shared" si="53"/>
        <v>1.0578716023101333</v>
      </c>
      <c r="Q114" s="442">
        <v>4.82</v>
      </c>
      <c r="R114" s="444">
        <f t="shared" si="54"/>
        <v>9.5007194528216356E-3</v>
      </c>
      <c r="S114" s="445">
        <f t="shared" si="55"/>
        <v>29.359999999999957</v>
      </c>
      <c r="T114" s="444">
        <f t="shared" si="56"/>
        <v>5.7871602310133358E-2</v>
      </c>
      <c r="U114" s="364">
        <f t="shared" si="57"/>
        <v>6247.220799999991</v>
      </c>
      <c r="V114" s="145"/>
      <c r="W114" s="145"/>
      <c r="X114" s="145"/>
      <c r="Y114" s="366" t="s">
        <v>417</v>
      </c>
      <c r="Z114" s="366" t="s">
        <v>445</v>
      </c>
      <c r="AA114" s="367" t="s">
        <v>677</v>
      </c>
      <c r="AB114" s="367" t="s">
        <v>454</v>
      </c>
      <c r="AC114" s="367">
        <v>1</v>
      </c>
      <c r="AD114" s="446" t="s">
        <v>433</v>
      </c>
      <c r="AF114" s="361"/>
      <c r="AG114" s="373">
        <f>AG112/$AF112</f>
        <v>0.35</v>
      </c>
      <c r="AH114" s="373">
        <f t="shared" ref="AH114:AM114" si="62">AH112/$AF112</f>
        <v>0</v>
      </c>
      <c r="AI114" s="373">
        <f t="shared" si="62"/>
        <v>0.32500000000000001</v>
      </c>
      <c r="AJ114" s="373">
        <f t="shared" si="62"/>
        <v>0</v>
      </c>
      <c r="AK114" s="373">
        <f t="shared" si="62"/>
        <v>6.25E-2</v>
      </c>
      <c r="AL114" s="373">
        <f t="shared" si="62"/>
        <v>0.26250000000000001</v>
      </c>
      <c r="AM114" s="373">
        <f t="shared" si="62"/>
        <v>0</v>
      </c>
    </row>
    <row r="115" spans="2:39" ht="17.100000000000001" customHeight="1">
      <c r="B115" s="898" t="s">
        <v>442</v>
      </c>
      <c r="C115" s="899"/>
      <c r="D115" s="902" t="s">
        <v>549</v>
      </c>
      <c r="E115" s="903" t="s">
        <v>550</v>
      </c>
      <c r="F115" s="904" t="s">
        <v>551</v>
      </c>
      <c r="G115" s="881" t="s">
        <v>552</v>
      </c>
      <c r="H115" s="905" t="s">
        <v>553</v>
      </c>
      <c r="I115" s="906" t="s">
        <v>554</v>
      </c>
      <c r="J115" s="907"/>
      <c r="K115" s="906" t="s">
        <v>555</v>
      </c>
      <c r="L115" s="907"/>
      <c r="M115" s="906" t="s">
        <v>556</v>
      </c>
      <c r="N115" s="907"/>
      <c r="O115" s="906" t="s">
        <v>557</v>
      </c>
      <c r="P115" s="907"/>
      <c r="Q115" s="906" t="s">
        <v>418</v>
      </c>
      <c r="R115" s="907"/>
      <c r="S115" s="908" t="s">
        <v>419</v>
      </c>
      <c r="T115" s="909"/>
      <c r="U115" s="910"/>
      <c r="V115" s="911" t="s">
        <v>742</v>
      </c>
      <c r="W115" s="912"/>
      <c r="X115" s="913"/>
      <c r="Y115" s="914" t="s">
        <v>171</v>
      </c>
      <c r="Z115" s="914" t="s">
        <v>245</v>
      </c>
      <c r="AA115" s="914" t="s">
        <v>558</v>
      </c>
      <c r="AB115" s="914" t="s">
        <v>444</v>
      </c>
      <c r="AC115" s="914" t="s">
        <v>246</v>
      </c>
      <c r="AD115" s="881" t="s">
        <v>172</v>
      </c>
      <c r="AF115" s="883" t="s">
        <v>247</v>
      </c>
      <c r="AG115" s="884"/>
      <c r="AH115" s="884"/>
      <c r="AI115" s="884"/>
      <c r="AJ115" s="884"/>
      <c r="AK115" s="884"/>
      <c r="AL115" s="884"/>
      <c r="AM115" s="885"/>
    </row>
    <row r="116" spans="2:39">
      <c r="B116" s="900"/>
      <c r="C116" s="901"/>
      <c r="D116" s="902"/>
      <c r="E116" s="902"/>
      <c r="F116" s="904"/>
      <c r="G116" s="882"/>
      <c r="H116" s="882"/>
      <c r="I116" s="439" t="s">
        <v>559</v>
      </c>
      <c r="J116" s="362" t="s">
        <v>560</v>
      </c>
      <c r="K116" s="439" t="s">
        <v>559</v>
      </c>
      <c r="L116" s="362" t="s">
        <v>560</v>
      </c>
      <c r="M116" s="439" t="s">
        <v>559</v>
      </c>
      <c r="N116" s="362" t="s">
        <v>560</v>
      </c>
      <c r="O116" s="439" t="s">
        <v>559</v>
      </c>
      <c r="P116" s="362" t="s">
        <v>560</v>
      </c>
      <c r="Q116" s="439" t="s">
        <v>559</v>
      </c>
      <c r="R116" s="362" t="s">
        <v>560</v>
      </c>
      <c r="S116" s="439" t="s">
        <v>559</v>
      </c>
      <c r="T116" s="362" t="s">
        <v>560</v>
      </c>
      <c r="U116" s="362" t="s">
        <v>561</v>
      </c>
      <c r="V116" s="439" t="s">
        <v>559</v>
      </c>
      <c r="W116" s="362" t="s">
        <v>560</v>
      </c>
      <c r="X116" s="362" t="s">
        <v>561</v>
      </c>
      <c r="Y116" s="915"/>
      <c r="Z116" s="915"/>
      <c r="AA116" s="915"/>
      <c r="AB116" s="915"/>
      <c r="AC116" s="915"/>
      <c r="AD116" s="882"/>
      <c r="AF116" s="886"/>
      <c r="AG116" s="887"/>
      <c r="AH116" s="887"/>
      <c r="AI116" s="887"/>
      <c r="AJ116" s="887"/>
      <c r="AK116" s="887"/>
      <c r="AL116" s="887"/>
      <c r="AM116" s="888"/>
    </row>
    <row r="117" spans="2:39" s="147" customFormat="1" ht="27" customHeight="1">
      <c r="B117" s="927" t="s">
        <v>736</v>
      </c>
      <c r="C117" s="893"/>
      <c r="D117" s="361">
        <v>1</v>
      </c>
      <c r="E117" s="440" t="s">
        <v>448</v>
      </c>
      <c r="F117" s="441">
        <f>IFERROR(Q117*G117,"-")</f>
        <v>2317.6999999999998</v>
      </c>
      <c r="G117" s="365">
        <v>2.4499999999999997</v>
      </c>
      <c r="H117" s="442">
        <v>139094</v>
      </c>
      <c r="I117" s="442">
        <v>139094</v>
      </c>
      <c r="J117" s="444">
        <f>IFERROR(I117/H117,"-")</f>
        <v>1</v>
      </c>
      <c r="K117" s="443">
        <v>140040</v>
      </c>
      <c r="L117" s="444">
        <f>IFERROR(K117/H117,"-")</f>
        <v>1.0068011560527412</v>
      </c>
      <c r="M117" s="443">
        <v>0</v>
      </c>
      <c r="N117" s="444">
        <f>IFERROR(M117/H117,"-")</f>
        <v>0</v>
      </c>
      <c r="O117" s="445">
        <f>IFERROR(K117+M117,"-")</f>
        <v>140040</v>
      </c>
      <c r="P117" s="444">
        <f>IFERROR(O117/H117,"-")</f>
        <v>1.0068011560527412</v>
      </c>
      <c r="Q117" s="442">
        <v>946</v>
      </c>
      <c r="R117" s="444">
        <f>IFERROR(Q117/H117,"-")</f>
        <v>6.8011560527413114E-3</v>
      </c>
      <c r="S117" s="445">
        <f>IFERROR(O117-H117,"-")</f>
        <v>946</v>
      </c>
      <c r="T117" s="444">
        <f>IFERROR(S117/H117,"-")</f>
        <v>6.8011560527413114E-3</v>
      </c>
      <c r="U117" s="364">
        <f>IFERROR(S117*G117,"-")</f>
        <v>2317.6999999999998</v>
      </c>
      <c r="V117" s="459">
        <f>S117-Q117</f>
        <v>0</v>
      </c>
      <c r="W117" s="460">
        <f>IFERROR(V117/H117,"-")</f>
        <v>0</v>
      </c>
      <c r="X117" s="461">
        <f>IFERROR(V117*G117,"-")</f>
        <v>0</v>
      </c>
      <c r="Y117" s="366" t="s">
        <v>417</v>
      </c>
      <c r="Z117" s="366" t="s">
        <v>337</v>
      </c>
      <c r="AA117" s="367" t="s">
        <v>467</v>
      </c>
      <c r="AB117" s="367" t="s">
        <v>468</v>
      </c>
      <c r="AC117" s="367">
        <v>1</v>
      </c>
      <c r="AD117" s="446" t="s">
        <v>340</v>
      </c>
      <c r="AF117" s="889"/>
      <c r="AG117" s="890"/>
      <c r="AH117" s="890"/>
      <c r="AI117" s="890"/>
      <c r="AJ117" s="890"/>
      <c r="AK117" s="890"/>
      <c r="AL117" s="890"/>
      <c r="AM117" s="891"/>
    </row>
    <row r="118" spans="2:39" s="147" customFormat="1" ht="27" customHeight="1">
      <c r="B118" s="894"/>
      <c r="C118" s="895"/>
      <c r="D118" s="361">
        <v>2</v>
      </c>
      <c r="E118" s="440" t="s">
        <v>335</v>
      </c>
      <c r="F118" s="441">
        <f t="shared" ref="F118:F136" si="63">IFERROR(Q118*G118,"-")</f>
        <v>2147.5500000000002</v>
      </c>
      <c r="G118" s="365">
        <v>15.450000000000001</v>
      </c>
      <c r="H118" s="442">
        <v>69672</v>
      </c>
      <c r="I118" s="442">
        <v>69672</v>
      </c>
      <c r="J118" s="444">
        <f t="shared" ref="J118:J136" si="64">IFERROR(I118/H118,"-")</f>
        <v>1</v>
      </c>
      <c r="K118" s="443">
        <v>69811</v>
      </c>
      <c r="L118" s="444">
        <f t="shared" ref="L118:L136" si="65">IFERROR(K118/H118,"-")</f>
        <v>1.0019950625789413</v>
      </c>
      <c r="M118" s="443">
        <v>0</v>
      </c>
      <c r="N118" s="444">
        <f t="shared" ref="N118:N136" si="66">IFERROR(M118/H118,"-")</f>
        <v>0</v>
      </c>
      <c r="O118" s="445">
        <f t="shared" ref="O118:O136" si="67">IFERROR(K118+M118,"-")</f>
        <v>69811</v>
      </c>
      <c r="P118" s="444">
        <f t="shared" ref="P118:P136" si="68">IFERROR(O118/H118,"-")</f>
        <v>1.0019950625789413</v>
      </c>
      <c r="Q118" s="442">
        <v>139</v>
      </c>
      <c r="R118" s="444">
        <f t="shared" ref="R118:R136" si="69">IFERROR(Q118/H118,"-")</f>
        <v>1.9950625789413251E-3</v>
      </c>
      <c r="S118" s="445">
        <f t="shared" ref="S118:S136" si="70">IFERROR(O118-H118,"-")</f>
        <v>139</v>
      </c>
      <c r="T118" s="444">
        <f t="shared" ref="T118:T136" si="71">IFERROR(S118/H118,"-")</f>
        <v>1.9950625789413251E-3</v>
      </c>
      <c r="U118" s="364">
        <f t="shared" ref="U118:U136" si="72">IFERROR(S118*G118,"-")</f>
        <v>2147.5500000000002</v>
      </c>
      <c r="V118" s="459">
        <f t="shared" ref="V118:V136" si="73">S118-Q118</f>
        <v>0</v>
      </c>
      <c r="W118" s="460">
        <f t="shared" ref="W118:W136" si="74">IFERROR(V118/H118,"-")</f>
        <v>0</v>
      </c>
      <c r="X118" s="461">
        <f t="shared" ref="X118:X136" si="75">IFERROR(V118*G118,"-")</f>
        <v>0</v>
      </c>
      <c r="Y118" s="366" t="s">
        <v>417</v>
      </c>
      <c r="Z118" s="366" t="s">
        <v>216</v>
      </c>
      <c r="AA118" s="367" t="s">
        <v>466</v>
      </c>
      <c r="AB118" s="367" t="s">
        <v>745</v>
      </c>
      <c r="AC118" s="367">
        <v>1</v>
      </c>
      <c r="AD118" s="446" t="s">
        <v>523</v>
      </c>
      <c r="AF118" s="160" t="s">
        <v>244</v>
      </c>
      <c r="AG118" s="160" t="s">
        <v>445</v>
      </c>
      <c r="AH118" s="155" t="s">
        <v>562</v>
      </c>
      <c r="AI118" s="155" t="s">
        <v>337</v>
      </c>
      <c r="AJ118" s="155" t="s">
        <v>428</v>
      </c>
      <c r="AK118" s="155" t="s">
        <v>215</v>
      </c>
      <c r="AL118" s="155" t="s">
        <v>216</v>
      </c>
      <c r="AM118" s="155" t="s">
        <v>384</v>
      </c>
    </row>
    <row r="119" spans="2:39" s="147" customFormat="1" ht="27" customHeight="1">
      <c r="B119" s="894"/>
      <c r="C119" s="895"/>
      <c r="D119" s="361">
        <v>3</v>
      </c>
      <c r="E119" s="440" t="s">
        <v>447</v>
      </c>
      <c r="F119" s="441">
        <f t="shared" si="63"/>
        <v>1866.1499999999999</v>
      </c>
      <c r="G119" s="365">
        <v>1.17</v>
      </c>
      <c r="H119" s="442">
        <v>232549</v>
      </c>
      <c r="I119" s="442">
        <v>232549</v>
      </c>
      <c r="J119" s="444">
        <f t="shared" si="64"/>
        <v>1</v>
      </c>
      <c r="K119" s="443">
        <v>234144</v>
      </c>
      <c r="L119" s="444">
        <f t="shared" si="65"/>
        <v>1.0068587695496434</v>
      </c>
      <c r="M119" s="443">
        <v>0</v>
      </c>
      <c r="N119" s="444">
        <f t="shared" si="66"/>
        <v>0</v>
      </c>
      <c r="O119" s="445">
        <f t="shared" si="67"/>
        <v>234144</v>
      </c>
      <c r="P119" s="444">
        <f t="shared" si="68"/>
        <v>1.0068587695496434</v>
      </c>
      <c r="Q119" s="442">
        <v>1595</v>
      </c>
      <c r="R119" s="444">
        <f t="shared" si="69"/>
        <v>6.8587695496433012E-3</v>
      </c>
      <c r="S119" s="445">
        <f t="shared" si="70"/>
        <v>1595</v>
      </c>
      <c r="T119" s="444">
        <f t="shared" si="71"/>
        <v>6.8587695496433012E-3</v>
      </c>
      <c r="U119" s="364">
        <f t="shared" si="72"/>
        <v>1866.1499999999999</v>
      </c>
      <c r="V119" s="459">
        <f t="shared" si="73"/>
        <v>0</v>
      </c>
      <c r="W119" s="460">
        <f t="shared" si="74"/>
        <v>0</v>
      </c>
      <c r="X119" s="461">
        <f t="shared" si="75"/>
        <v>0</v>
      </c>
      <c r="Y119" s="366" t="s">
        <v>417</v>
      </c>
      <c r="Z119" s="366" t="s">
        <v>337</v>
      </c>
      <c r="AA119" s="367" t="s">
        <v>469</v>
      </c>
      <c r="AB119" s="367" t="s">
        <v>526</v>
      </c>
      <c r="AC119" s="367">
        <v>1</v>
      </c>
      <c r="AD119" s="446" t="s">
        <v>340</v>
      </c>
      <c r="AF119" s="374">
        <f>SUM(AC117:AC136)</f>
        <v>20</v>
      </c>
      <c r="AG119" s="369">
        <f t="shared" ref="AG119:AM119" si="76">SUMIF($Z$117:$Z$136,TRIM(AG118),$AC$117:$AC$136)</f>
        <v>11</v>
      </c>
      <c r="AH119" s="369">
        <f t="shared" si="76"/>
        <v>0</v>
      </c>
      <c r="AI119" s="369">
        <f t="shared" si="76"/>
        <v>4</v>
      </c>
      <c r="AJ119" s="369">
        <f t="shared" si="76"/>
        <v>0</v>
      </c>
      <c r="AK119" s="369">
        <f t="shared" si="76"/>
        <v>0</v>
      </c>
      <c r="AL119" s="369">
        <f t="shared" si="76"/>
        <v>5</v>
      </c>
      <c r="AM119" s="369">
        <f t="shared" si="76"/>
        <v>0</v>
      </c>
    </row>
    <row r="120" spans="2:39" s="147" customFormat="1" ht="27" customHeight="1">
      <c r="B120" s="894"/>
      <c r="C120" s="895"/>
      <c r="D120" s="361">
        <v>4</v>
      </c>
      <c r="E120" s="440" t="s">
        <v>619</v>
      </c>
      <c r="F120" s="441">
        <f t="shared" si="63"/>
        <v>1507.4552999999999</v>
      </c>
      <c r="G120" s="365">
        <v>39.389999999999993</v>
      </c>
      <c r="H120" s="442">
        <v>6291.2999999999993</v>
      </c>
      <c r="I120" s="442">
        <v>6291.2999999999993</v>
      </c>
      <c r="J120" s="444">
        <f t="shared" si="64"/>
        <v>1</v>
      </c>
      <c r="K120" s="443">
        <v>6412.64</v>
      </c>
      <c r="L120" s="444">
        <f t="shared" si="65"/>
        <v>1.019286951822358</v>
      </c>
      <c r="M120" s="443">
        <v>121.34</v>
      </c>
      <c r="N120" s="444">
        <f t="shared" si="66"/>
        <v>1.9286951822357862E-2</v>
      </c>
      <c r="O120" s="445">
        <f t="shared" si="67"/>
        <v>6533.9800000000005</v>
      </c>
      <c r="P120" s="444">
        <f t="shared" si="68"/>
        <v>1.0385739036447159</v>
      </c>
      <c r="Q120" s="442">
        <v>38.270000000000003</v>
      </c>
      <c r="R120" s="444">
        <f t="shared" si="69"/>
        <v>6.0830035127875017E-3</v>
      </c>
      <c r="S120" s="445">
        <f t="shared" si="70"/>
        <v>242.6800000000012</v>
      </c>
      <c r="T120" s="444">
        <f t="shared" si="71"/>
        <v>3.8573903644715912E-2</v>
      </c>
      <c r="U120" s="364">
        <f t="shared" si="72"/>
        <v>9559.1652000000449</v>
      </c>
      <c r="V120" s="459">
        <f t="shared" si="73"/>
        <v>204.41000000000119</v>
      </c>
      <c r="W120" s="460">
        <f t="shared" si="74"/>
        <v>3.2490900131928409E-2</v>
      </c>
      <c r="X120" s="461">
        <f t="shared" si="75"/>
        <v>8051.7099000000453</v>
      </c>
      <c r="Y120" s="366" t="s">
        <v>417</v>
      </c>
      <c r="Z120" s="366" t="s">
        <v>216</v>
      </c>
      <c r="AA120" s="367" t="s">
        <v>746</v>
      </c>
      <c r="AB120" s="367" t="s">
        <v>747</v>
      </c>
      <c r="AC120" s="367">
        <v>1</v>
      </c>
      <c r="AD120" s="446" t="s">
        <v>614</v>
      </c>
      <c r="AF120" s="375" t="s">
        <v>11</v>
      </c>
      <c r="AG120" s="372">
        <f>SUMIF($Z$117:$Z136,TRIM(AG118),$F$117:$F$136)</f>
        <v>11669.386100000003</v>
      </c>
      <c r="AH120" s="372">
        <f>SUMIF($Z$117:$Z136,TRIM(AH118),$F$117:$F$136)</f>
        <v>0</v>
      </c>
      <c r="AI120" s="372">
        <f>SUMIF($Z$117:$Z136,TRIM(AI118),$F$117:$F$136)</f>
        <v>6221.9974000000002</v>
      </c>
      <c r="AJ120" s="372">
        <f>SUMIF($Z$117:$Z136,TRIM(AJ118),$F$117:$F$136)</f>
        <v>0</v>
      </c>
      <c r="AK120" s="372">
        <f>SUMIF($Z$117:$Z136,TRIM(AK118),$F$117:$F$136)</f>
        <v>0</v>
      </c>
      <c r="AL120" s="372">
        <f>SUMIF($Z$117:$Z136,TRIM(AL118),$F$117:$F$136)</f>
        <v>7207.4537999999993</v>
      </c>
      <c r="AM120" s="372">
        <f>SUMIF($Z$117:$Z136,TRIM(AM118),$F$117:$F$136)</f>
        <v>0</v>
      </c>
    </row>
    <row r="121" spans="2:39" s="147" customFormat="1" ht="27" customHeight="1">
      <c r="B121" s="894"/>
      <c r="C121" s="895"/>
      <c r="D121" s="361">
        <v>5</v>
      </c>
      <c r="E121" s="440" t="s">
        <v>534</v>
      </c>
      <c r="F121" s="441">
        <f t="shared" si="63"/>
        <v>1497.2138999999997</v>
      </c>
      <c r="G121" s="365">
        <v>39.389999999999993</v>
      </c>
      <c r="H121" s="442">
        <v>34169.370000000003</v>
      </c>
      <c r="I121" s="442">
        <v>34169.370000000003</v>
      </c>
      <c r="J121" s="444">
        <f t="shared" si="64"/>
        <v>1</v>
      </c>
      <c r="K121" s="443">
        <v>34348.479999999996</v>
      </c>
      <c r="L121" s="444">
        <f t="shared" si="65"/>
        <v>1.0052418291586878</v>
      </c>
      <c r="M121" s="443">
        <v>179.10999999999999</v>
      </c>
      <c r="N121" s="444">
        <f t="shared" si="66"/>
        <v>5.2418291586880288E-3</v>
      </c>
      <c r="O121" s="445">
        <f t="shared" si="67"/>
        <v>34527.589999999997</v>
      </c>
      <c r="P121" s="444">
        <f t="shared" si="68"/>
        <v>1.010483658317376</v>
      </c>
      <c r="Q121" s="442">
        <v>38.01</v>
      </c>
      <c r="R121" s="444">
        <f t="shared" si="69"/>
        <v>1.1123997896361564E-3</v>
      </c>
      <c r="S121" s="445">
        <f t="shared" si="70"/>
        <v>358.21999999999389</v>
      </c>
      <c r="T121" s="444">
        <f t="shared" si="71"/>
        <v>1.0483658317375879E-2</v>
      </c>
      <c r="U121" s="364">
        <f t="shared" si="72"/>
        <v>14110.285799999758</v>
      </c>
      <c r="V121" s="459">
        <f t="shared" si="73"/>
        <v>320.2099999999939</v>
      </c>
      <c r="W121" s="460">
        <f t="shared" si="74"/>
        <v>9.3712585277397238E-3</v>
      </c>
      <c r="X121" s="461">
        <f t="shared" si="75"/>
        <v>12613.071899999757</v>
      </c>
      <c r="Y121" s="366" t="s">
        <v>417</v>
      </c>
      <c r="Z121" s="366" t="s">
        <v>216</v>
      </c>
      <c r="AA121" s="367" t="s">
        <v>746</v>
      </c>
      <c r="AB121" s="367" t="s">
        <v>747</v>
      </c>
      <c r="AC121" s="367">
        <v>1</v>
      </c>
      <c r="AD121" s="446" t="s">
        <v>340</v>
      </c>
      <c r="AF121" s="361" t="s">
        <v>563</v>
      </c>
      <c r="AG121" s="447">
        <f>AG119/$AF119</f>
        <v>0.55000000000000004</v>
      </c>
      <c r="AH121" s="447">
        <f t="shared" ref="AH121:AM121" si="77">AH119/$AF119</f>
        <v>0</v>
      </c>
      <c r="AI121" s="447">
        <f t="shared" si="77"/>
        <v>0.2</v>
      </c>
      <c r="AJ121" s="447">
        <f t="shared" si="77"/>
        <v>0</v>
      </c>
      <c r="AK121" s="447">
        <f t="shared" si="77"/>
        <v>0</v>
      </c>
      <c r="AL121" s="447">
        <f t="shared" si="77"/>
        <v>0.25</v>
      </c>
      <c r="AM121" s="447">
        <f t="shared" si="77"/>
        <v>0</v>
      </c>
    </row>
    <row r="122" spans="2:39" s="147" customFormat="1" ht="27" customHeight="1">
      <c r="B122" s="894"/>
      <c r="C122" s="895"/>
      <c r="D122" s="361">
        <v>6</v>
      </c>
      <c r="E122" s="440" t="s">
        <v>737</v>
      </c>
      <c r="F122" s="441">
        <f t="shared" si="63"/>
        <v>1254.4685999999999</v>
      </c>
      <c r="G122" s="365">
        <v>426.69</v>
      </c>
      <c r="H122" s="442">
        <v>1195.21</v>
      </c>
      <c r="I122" s="442">
        <v>1195.21</v>
      </c>
      <c r="J122" s="444">
        <f t="shared" si="64"/>
        <v>1</v>
      </c>
      <c r="K122" s="443">
        <v>1203.75</v>
      </c>
      <c r="L122" s="444">
        <f t="shared" si="65"/>
        <v>1.007145187874934</v>
      </c>
      <c r="M122" s="443">
        <v>8.5399999999999991</v>
      </c>
      <c r="N122" s="444">
        <f t="shared" si="66"/>
        <v>7.1451878749341112E-3</v>
      </c>
      <c r="O122" s="445">
        <f t="shared" si="67"/>
        <v>1212.29</v>
      </c>
      <c r="P122" s="444">
        <f t="shared" si="68"/>
        <v>1.0142903757498682</v>
      </c>
      <c r="Q122" s="442">
        <v>2.94</v>
      </c>
      <c r="R122" s="444">
        <f t="shared" si="69"/>
        <v>2.4598187766166615E-3</v>
      </c>
      <c r="S122" s="445">
        <f t="shared" si="70"/>
        <v>17.079999999999927</v>
      </c>
      <c r="T122" s="444">
        <f t="shared" si="71"/>
        <v>1.4290375749868163E-2</v>
      </c>
      <c r="U122" s="364">
        <f t="shared" si="72"/>
        <v>7287.8651999999693</v>
      </c>
      <c r="V122" s="459">
        <f t="shared" si="73"/>
        <v>14.139999999999928</v>
      </c>
      <c r="W122" s="460">
        <f t="shared" si="74"/>
        <v>1.1830556973251501E-2</v>
      </c>
      <c r="X122" s="461">
        <f t="shared" si="75"/>
        <v>6033.3965999999691</v>
      </c>
      <c r="Y122" s="366" t="s">
        <v>417</v>
      </c>
      <c r="Z122" s="366" t="s">
        <v>445</v>
      </c>
      <c r="AA122" s="367" t="s">
        <v>748</v>
      </c>
      <c r="AB122" s="367" t="s">
        <v>455</v>
      </c>
      <c r="AC122" s="367">
        <v>1</v>
      </c>
      <c r="AD122" s="446" t="s">
        <v>358</v>
      </c>
    </row>
    <row r="123" spans="2:39" s="147" customFormat="1" ht="27" customHeight="1">
      <c r="B123" s="894"/>
      <c r="C123" s="895"/>
      <c r="D123" s="361">
        <v>7</v>
      </c>
      <c r="E123" s="440" t="s">
        <v>738</v>
      </c>
      <c r="F123" s="441">
        <f t="shared" si="63"/>
        <v>1176.4882999999998</v>
      </c>
      <c r="G123" s="365">
        <v>91.13</v>
      </c>
      <c r="H123" s="442">
        <v>1903.5200000000002</v>
      </c>
      <c r="I123" s="442">
        <v>1903.5200000000002</v>
      </c>
      <c r="J123" s="444">
        <f t="shared" si="64"/>
        <v>1</v>
      </c>
      <c r="K123" s="443">
        <v>1959.8799999999999</v>
      </c>
      <c r="L123" s="444">
        <f t="shared" si="65"/>
        <v>1.0296083046146085</v>
      </c>
      <c r="M123" s="443">
        <v>56.36</v>
      </c>
      <c r="N123" s="444">
        <f t="shared" si="66"/>
        <v>2.960830461460872E-2</v>
      </c>
      <c r="O123" s="445">
        <f t="shared" si="67"/>
        <v>2016.2399999999998</v>
      </c>
      <c r="P123" s="444">
        <f t="shared" si="68"/>
        <v>1.0592166092292172</v>
      </c>
      <c r="Q123" s="442">
        <v>12.909999999999998</v>
      </c>
      <c r="R123" s="444">
        <f t="shared" si="69"/>
        <v>6.7821719761284342E-3</v>
      </c>
      <c r="S123" s="445">
        <f t="shared" si="70"/>
        <v>112.71999999999957</v>
      </c>
      <c r="T123" s="444">
        <f t="shared" si="71"/>
        <v>5.9216609229217218E-2</v>
      </c>
      <c r="U123" s="364">
        <f t="shared" si="72"/>
        <v>10272.17359999996</v>
      </c>
      <c r="V123" s="459">
        <f t="shared" si="73"/>
        <v>99.809999999999576</v>
      </c>
      <c r="W123" s="460">
        <f t="shared" si="74"/>
        <v>5.2434437253088786E-2</v>
      </c>
      <c r="X123" s="461">
        <f t="shared" si="75"/>
        <v>9095.685299999961</v>
      </c>
      <c r="Y123" s="366" t="s">
        <v>417</v>
      </c>
      <c r="Z123" s="366" t="s">
        <v>445</v>
      </c>
      <c r="AA123" s="367" t="s">
        <v>546</v>
      </c>
      <c r="AB123" s="367" t="s">
        <v>454</v>
      </c>
      <c r="AC123" s="367">
        <v>1</v>
      </c>
      <c r="AD123" s="446" t="s">
        <v>710</v>
      </c>
    </row>
    <row r="124" spans="2:39" s="147" customFormat="1" ht="27" customHeight="1">
      <c r="B124" s="894"/>
      <c r="C124" s="895"/>
      <c r="D124" s="361">
        <v>8</v>
      </c>
      <c r="E124" s="440" t="s">
        <v>386</v>
      </c>
      <c r="F124" s="441">
        <f t="shared" si="63"/>
        <v>1086.6400000000001</v>
      </c>
      <c r="G124" s="365">
        <v>127.84000000000002</v>
      </c>
      <c r="H124" s="442">
        <v>3963.8499999999995</v>
      </c>
      <c r="I124" s="442">
        <v>3963.8499999999995</v>
      </c>
      <c r="J124" s="444">
        <f t="shared" si="64"/>
        <v>1</v>
      </c>
      <c r="K124" s="443">
        <v>4013.2</v>
      </c>
      <c r="L124" s="444">
        <f t="shared" si="65"/>
        <v>1.0124500170288988</v>
      </c>
      <c r="M124" s="443">
        <v>49.35</v>
      </c>
      <c r="N124" s="444">
        <f t="shared" si="66"/>
        <v>1.2450017028898674E-2</v>
      </c>
      <c r="O124" s="445">
        <f t="shared" si="67"/>
        <v>4062.5499999999997</v>
      </c>
      <c r="P124" s="444">
        <f t="shared" si="68"/>
        <v>1.0249000340577974</v>
      </c>
      <c r="Q124" s="442">
        <v>8.5</v>
      </c>
      <c r="R124" s="444">
        <f t="shared" si="69"/>
        <v>2.1443798327383731E-3</v>
      </c>
      <c r="S124" s="445">
        <f t="shared" si="70"/>
        <v>98.700000000000273</v>
      </c>
      <c r="T124" s="444">
        <f t="shared" si="71"/>
        <v>2.4900034057797414E-2</v>
      </c>
      <c r="U124" s="364">
        <f t="shared" si="72"/>
        <v>12617.808000000037</v>
      </c>
      <c r="V124" s="459">
        <f t="shared" si="73"/>
        <v>90.200000000000273</v>
      </c>
      <c r="W124" s="460">
        <f t="shared" si="74"/>
        <v>2.2755654225059041E-2</v>
      </c>
      <c r="X124" s="461">
        <f t="shared" si="75"/>
        <v>11531.168000000036</v>
      </c>
      <c r="Y124" s="366" t="s">
        <v>417</v>
      </c>
      <c r="Z124" s="366" t="s">
        <v>445</v>
      </c>
      <c r="AA124" s="367" t="s">
        <v>749</v>
      </c>
      <c r="AB124" s="367" t="s">
        <v>455</v>
      </c>
      <c r="AC124" s="367">
        <v>1</v>
      </c>
      <c r="AD124" s="446" t="s">
        <v>340</v>
      </c>
    </row>
    <row r="125" spans="2:39" s="147" customFormat="1" ht="27" customHeight="1">
      <c r="B125" s="894"/>
      <c r="C125" s="895"/>
      <c r="D125" s="361">
        <v>9</v>
      </c>
      <c r="E125" s="440" t="s">
        <v>633</v>
      </c>
      <c r="F125" s="441">
        <f t="shared" si="63"/>
        <v>1078.76</v>
      </c>
      <c r="G125" s="365">
        <v>144.79999999999998</v>
      </c>
      <c r="H125" s="442">
        <v>2683.3800000000006</v>
      </c>
      <c r="I125" s="442">
        <v>2683.3800000000006</v>
      </c>
      <c r="J125" s="444">
        <f t="shared" si="64"/>
        <v>1</v>
      </c>
      <c r="K125" s="443">
        <v>2731.8900000000003</v>
      </c>
      <c r="L125" s="444">
        <f t="shared" si="65"/>
        <v>1.0180779464704961</v>
      </c>
      <c r="M125" s="443">
        <v>48.510000000000005</v>
      </c>
      <c r="N125" s="444">
        <f t="shared" si="66"/>
        <v>1.8077946470496164E-2</v>
      </c>
      <c r="O125" s="445">
        <f t="shared" si="67"/>
        <v>2780.4000000000005</v>
      </c>
      <c r="P125" s="444">
        <f t="shared" si="68"/>
        <v>1.0361558929409924</v>
      </c>
      <c r="Q125" s="442">
        <v>7.4500000000000011</v>
      </c>
      <c r="R125" s="444">
        <f t="shared" si="69"/>
        <v>2.7763492311934945E-3</v>
      </c>
      <c r="S125" s="445">
        <f t="shared" si="70"/>
        <v>97.019999999999982</v>
      </c>
      <c r="T125" s="444">
        <f t="shared" si="71"/>
        <v>3.6155892940992314E-2</v>
      </c>
      <c r="U125" s="364">
        <f t="shared" si="72"/>
        <v>14048.495999999996</v>
      </c>
      <c r="V125" s="459">
        <f t="shared" si="73"/>
        <v>89.569999999999979</v>
      </c>
      <c r="W125" s="460">
        <f t="shared" si="74"/>
        <v>3.3379543709798822E-2</v>
      </c>
      <c r="X125" s="461">
        <f t="shared" si="75"/>
        <v>12969.735999999995</v>
      </c>
      <c r="Y125" s="366" t="s">
        <v>417</v>
      </c>
      <c r="Z125" s="366" t="s">
        <v>445</v>
      </c>
      <c r="AA125" s="367" t="s">
        <v>749</v>
      </c>
      <c r="AB125" s="367" t="s">
        <v>455</v>
      </c>
      <c r="AC125" s="367">
        <v>1</v>
      </c>
      <c r="AD125" s="446" t="s">
        <v>340</v>
      </c>
      <c r="AH125" s="370"/>
    </row>
    <row r="126" spans="2:39" s="147" customFormat="1" ht="27" customHeight="1">
      <c r="B126" s="894"/>
      <c r="C126" s="895"/>
      <c r="D126" s="361">
        <v>10</v>
      </c>
      <c r="E126" s="440" t="s">
        <v>635</v>
      </c>
      <c r="F126" s="441">
        <f t="shared" si="63"/>
        <v>1050.7038</v>
      </c>
      <c r="G126" s="365">
        <v>49.82</v>
      </c>
      <c r="H126" s="442">
        <v>2935.75</v>
      </c>
      <c r="I126" s="442">
        <v>2935.75</v>
      </c>
      <c r="J126" s="444">
        <f t="shared" si="64"/>
        <v>1</v>
      </c>
      <c r="K126" s="443">
        <v>3016.9800000000005</v>
      </c>
      <c r="L126" s="444">
        <f t="shared" si="65"/>
        <v>1.0276692497658182</v>
      </c>
      <c r="M126" s="443">
        <v>81.23</v>
      </c>
      <c r="N126" s="444">
        <f t="shared" si="66"/>
        <v>2.7669249765817937E-2</v>
      </c>
      <c r="O126" s="445">
        <f t="shared" si="67"/>
        <v>3098.2100000000005</v>
      </c>
      <c r="P126" s="444">
        <f t="shared" si="68"/>
        <v>1.0553384995316359</v>
      </c>
      <c r="Q126" s="442">
        <v>21.09</v>
      </c>
      <c r="R126" s="444">
        <f t="shared" si="69"/>
        <v>7.1838542110193304E-3</v>
      </c>
      <c r="S126" s="445">
        <f t="shared" si="70"/>
        <v>162.46000000000049</v>
      </c>
      <c r="T126" s="444">
        <f t="shared" si="71"/>
        <v>5.5338499531636033E-2</v>
      </c>
      <c r="U126" s="364">
        <f t="shared" si="72"/>
        <v>8093.7572000000246</v>
      </c>
      <c r="V126" s="459">
        <f t="shared" si="73"/>
        <v>141.37000000000049</v>
      </c>
      <c r="W126" s="460">
        <f t="shared" si="74"/>
        <v>4.8154645320616703E-2</v>
      </c>
      <c r="X126" s="461">
        <f t="shared" si="75"/>
        <v>7043.0534000000243</v>
      </c>
      <c r="Y126" s="366" t="s">
        <v>417</v>
      </c>
      <c r="Z126" s="366" t="s">
        <v>445</v>
      </c>
      <c r="AA126" s="367" t="s">
        <v>479</v>
      </c>
      <c r="AB126" s="380" t="s">
        <v>750</v>
      </c>
      <c r="AC126" s="367">
        <v>1</v>
      </c>
      <c r="AD126" s="446" t="s">
        <v>616</v>
      </c>
      <c r="AH126" s="370"/>
    </row>
    <row r="127" spans="2:39" s="147" customFormat="1" ht="27" customHeight="1">
      <c r="B127" s="894"/>
      <c r="C127" s="895"/>
      <c r="D127" s="361">
        <v>11</v>
      </c>
      <c r="E127" s="440" t="s">
        <v>653</v>
      </c>
      <c r="F127" s="441">
        <f t="shared" si="63"/>
        <v>1050.1116000000002</v>
      </c>
      <c r="G127" s="365">
        <v>40.420000000000009</v>
      </c>
      <c r="H127" s="442">
        <v>2590.2800000000002</v>
      </c>
      <c r="I127" s="442">
        <v>2590.2800000000002</v>
      </c>
      <c r="J127" s="444">
        <f t="shared" si="64"/>
        <v>1</v>
      </c>
      <c r="K127" s="443">
        <v>2692.01</v>
      </c>
      <c r="L127" s="444">
        <f t="shared" si="65"/>
        <v>1.0392737464675634</v>
      </c>
      <c r="M127" s="443">
        <v>101.73</v>
      </c>
      <c r="N127" s="444">
        <f t="shared" si="66"/>
        <v>3.9273746467563347E-2</v>
      </c>
      <c r="O127" s="445">
        <f t="shared" si="67"/>
        <v>2793.7400000000002</v>
      </c>
      <c r="P127" s="444">
        <f t="shared" si="68"/>
        <v>1.0785474929351266</v>
      </c>
      <c r="Q127" s="442">
        <v>25.98</v>
      </c>
      <c r="R127" s="444">
        <f t="shared" si="69"/>
        <v>1.0029803727782324E-2</v>
      </c>
      <c r="S127" s="445">
        <f t="shared" si="70"/>
        <v>203.46000000000004</v>
      </c>
      <c r="T127" s="444">
        <f t="shared" si="71"/>
        <v>7.8547492935126709E-2</v>
      </c>
      <c r="U127" s="364">
        <f t="shared" si="72"/>
        <v>8223.8532000000032</v>
      </c>
      <c r="V127" s="459">
        <f t="shared" si="73"/>
        <v>177.48000000000005</v>
      </c>
      <c r="W127" s="460">
        <f t="shared" si="74"/>
        <v>6.8517689207344398E-2</v>
      </c>
      <c r="X127" s="461">
        <f t="shared" si="75"/>
        <v>7173.741600000003</v>
      </c>
      <c r="Y127" s="366" t="s">
        <v>417</v>
      </c>
      <c r="Z127" s="366" t="s">
        <v>216</v>
      </c>
      <c r="AA127" s="367" t="s">
        <v>746</v>
      </c>
      <c r="AB127" s="380" t="s">
        <v>747</v>
      </c>
      <c r="AC127" s="367">
        <v>1</v>
      </c>
      <c r="AD127" s="446" t="s">
        <v>650</v>
      </c>
      <c r="AH127" s="370"/>
    </row>
    <row r="128" spans="2:39" s="147" customFormat="1" ht="26.25" customHeight="1">
      <c r="B128" s="894"/>
      <c r="C128" s="895"/>
      <c r="D128" s="361">
        <v>12</v>
      </c>
      <c r="E128" s="440" t="s">
        <v>461</v>
      </c>
      <c r="F128" s="441">
        <f t="shared" si="63"/>
        <v>1023.4274000000003</v>
      </c>
      <c r="G128" s="365">
        <v>407.74000000000007</v>
      </c>
      <c r="H128" s="442">
        <v>1081.02</v>
      </c>
      <c r="I128" s="442">
        <v>1081.02</v>
      </c>
      <c r="J128" s="444">
        <f t="shared" si="64"/>
        <v>1</v>
      </c>
      <c r="K128" s="443">
        <v>1091.3800000000001</v>
      </c>
      <c r="L128" s="444">
        <f t="shared" si="65"/>
        <v>1.0095835414700931</v>
      </c>
      <c r="M128" s="443">
        <v>10.36</v>
      </c>
      <c r="N128" s="444">
        <f t="shared" si="66"/>
        <v>9.5835414700930592E-3</v>
      </c>
      <c r="O128" s="445">
        <f t="shared" si="67"/>
        <v>1101.74</v>
      </c>
      <c r="P128" s="444">
        <f t="shared" si="68"/>
        <v>1.0191670829401862</v>
      </c>
      <c r="Q128" s="442">
        <v>2.5100000000000002</v>
      </c>
      <c r="R128" s="444">
        <f t="shared" si="69"/>
        <v>2.3218811862870253E-3</v>
      </c>
      <c r="S128" s="445">
        <f t="shared" si="70"/>
        <v>20.720000000000027</v>
      </c>
      <c r="T128" s="444">
        <f t="shared" si="71"/>
        <v>1.9167082940186146E-2</v>
      </c>
      <c r="U128" s="364">
        <f t="shared" si="72"/>
        <v>8448.3728000000119</v>
      </c>
      <c r="V128" s="459">
        <f t="shared" si="73"/>
        <v>18.210000000000026</v>
      </c>
      <c r="W128" s="460">
        <f t="shared" si="74"/>
        <v>1.6845201753899121E-2</v>
      </c>
      <c r="X128" s="461">
        <f t="shared" si="75"/>
        <v>7424.9454000000114</v>
      </c>
      <c r="Y128" s="366" t="s">
        <v>417</v>
      </c>
      <c r="Z128" s="366" t="s">
        <v>337</v>
      </c>
      <c r="AA128" s="367" t="s">
        <v>751</v>
      </c>
      <c r="AB128" s="367" t="s">
        <v>752</v>
      </c>
      <c r="AC128" s="367">
        <v>1</v>
      </c>
      <c r="AD128" s="446" t="s">
        <v>463</v>
      </c>
      <c r="AH128" s="370"/>
    </row>
    <row r="129" spans="2:39" s="147" customFormat="1" ht="27" customHeight="1">
      <c r="B129" s="894"/>
      <c r="C129" s="895"/>
      <c r="D129" s="361">
        <v>13</v>
      </c>
      <c r="E129" s="440" t="s">
        <v>598</v>
      </c>
      <c r="F129" s="441">
        <f t="shared" si="63"/>
        <v>1014.72</v>
      </c>
      <c r="G129" s="365">
        <v>6.04</v>
      </c>
      <c r="H129" s="442">
        <v>6612</v>
      </c>
      <c r="I129" s="442">
        <v>6612</v>
      </c>
      <c r="J129" s="444">
        <f t="shared" si="64"/>
        <v>1</v>
      </c>
      <c r="K129" s="443">
        <v>6780</v>
      </c>
      <c r="L129" s="444">
        <f t="shared" si="65"/>
        <v>1.0254083484573502</v>
      </c>
      <c r="M129" s="443">
        <v>0</v>
      </c>
      <c r="N129" s="444">
        <f t="shared" si="66"/>
        <v>0</v>
      </c>
      <c r="O129" s="445">
        <f t="shared" si="67"/>
        <v>6780</v>
      </c>
      <c r="P129" s="444">
        <f t="shared" si="68"/>
        <v>1.0254083484573502</v>
      </c>
      <c r="Q129" s="442">
        <v>168</v>
      </c>
      <c r="R129" s="444">
        <f t="shared" si="69"/>
        <v>2.5408348457350273E-2</v>
      </c>
      <c r="S129" s="445">
        <f t="shared" si="70"/>
        <v>168</v>
      </c>
      <c r="T129" s="444">
        <f t="shared" si="71"/>
        <v>2.5408348457350273E-2</v>
      </c>
      <c r="U129" s="364">
        <f t="shared" si="72"/>
        <v>1014.72</v>
      </c>
      <c r="V129" s="459">
        <f t="shared" si="73"/>
        <v>0</v>
      </c>
      <c r="W129" s="460">
        <f t="shared" si="74"/>
        <v>0</v>
      </c>
      <c r="X129" s="461">
        <f t="shared" si="75"/>
        <v>0</v>
      </c>
      <c r="Y129" s="366" t="s">
        <v>417</v>
      </c>
      <c r="Z129" s="366" t="s">
        <v>337</v>
      </c>
      <c r="AA129" s="367" t="s">
        <v>753</v>
      </c>
      <c r="AB129" s="380" t="s">
        <v>754</v>
      </c>
      <c r="AC129" s="367">
        <v>1</v>
      </c>
      <c r="AD129" s="446" t="s">
        <v>508</v>
      </c>
    </row>
    <row r="130" spans="2:39" s="147" customFormat="1" ht="27" customHeight="1">
      <c r="B130" s="894"/>
      <c r="C130" s="895"/>
      <c r="D130" s="361">
        <v>14</v>
      </c>
      <c r="E130" s="440" t="s">
        <v>620</v>
      </c>
      <c r="F130" s="441">
        <f t="shared" si="63"/>
        <v>1010.7095999999998</v>
      </c>
      <c r="G130" s="365">
        <v>95.439999999999984</v>
      </c>
      <c r="H130" s="442">
        <v>1968.5900000000001</v>
      </c>
      <c r="I130" s="442">
        <v>1968.5900000000001</v>
      </c>
      <c r="J130" s="444">
        <f t="shared" si="64"/>
        <v>1</v>
      </c>
      <c r="K130" s="443">
        <v>2016.96</v>
      </c>
      <c r="L130" s="444">
        <f t="shared" si="65"/>
        <v>1.0245708857608744</v>
      </c>
      <c r="M130" s="443">
        <v>48.370000000000005</v>
      </c>
      <c r="N130" s="444">
        <f t="shared" si="66"/>
        <v>2.4570885760874534E-2</v>
      </c>
      <c r="O130" s="445">
        <f t="shared" si="67"/>
        <v>2065.33</v>
      </c>
      <c r="P130" s="444">
        <f t="shared" si="68"/>
        <v>1.049141771521749</v>
      </c>
      <c r="Q130" s="442">
        <v>10.59</v>
      </c>
      <c r="R130" s="444">
        <f t="shared" si="69"/>
        <v>5.3794848089241537E-3</v>
      </c>
      <c r="S130" s="445">
        <f t="shared" si="70"/>
        <v>96.739999999999782</v>
      </c>
      <c r="T130" s="444">
        <f t="shared" si="71"/>
        <v>4.9141771521748957E-2</v>
      </c>
      <c r="U130" s="364">
        <f t="shared" si="72"/>
        <v>9232.8655999999773</v>
      </c>
      <c r="V130" s="459">
        <f t="shared" si="73"/>
        <v>86.149999999999778</v>
      </c>
      <c r="W130" s="460">
        <f t="shared" si="74"/>
        <v>4.3762286712824797E-2</v>
      </c>
      <c r="X130" s="461">
        <f t="shared" si="75"/>
        <v>8222.1559999999772</v>
      </c>
      <c r="Y130" s="366" t="s">
        <v>417</v>
      </c>
      <c r="Z130" s="366" t="s">
        <v>445</v>
      </c>
      <c r="AA130" s="367" t="s">
        <v>749</v>
      </c>
      <c r="AB130" s="367" t="s">
        <v>455</v>
      </c>
      <c r="AC130" s="367">
        <v>1</v>
      </c>
      <c r="AD130" s="446" t="s">
        <v>340</v>
      </c>
    </row>
    <row r="131" spans="2:39" s="147" customFormat="1" ht="27" customHeight="1">
      <c r="B131" s="894"/>
      <c r="C131" s="895"/>
      <c r="D131" s="361">
        <v>15</v>
      </c>
      <c r="E131" s="440" t="s">
        <v>544</v>
      </c>
      <c r="F131" s="441">
        <f t="shared" si="63"/>
        <v>1005.1229999999998</v>
      </c>
      <c r="G131" s="365">
        <v>62.43</v>
      </c>
      <c r="H131" s="442">
        <v>2184.4299999999998</v>
      </c>
      <c r="I131" s="442">
        <v>2184.4299999999998</v>
      </c>
      <c r="J131" s="444">
        <f t="shared" si="64"/>
        <v>1</v>
      </c>
      <c r="K131" s="443">
        <v>2241.6499999999996</v>
      </c>
      <c r="L131" s="444">
        <f t="shared" si="65"/>
        <v>1.0261944763622546</v>
      </c>
      <c r="M131" s="443">
        <v>57.22</v>
      </c>
      <c r="N131" s="444">
        <f t="shared" si="66"/>
        <v>2.6194476362254686E-2</v>
      </c>
      <c r="O131" s="445">
        <f t="shared" si="67"/>
        <v>2298.8699999999994</v>
      </c>
      <c r="P131" s="444">
        <f t="shared" si="68"/>
        <v>1.0523889527245092</v>
      </c>
      <c r="Q131" s="442">
        <v>16.099999999999998</v>
      </c>
      <c r="R131" s="444">
        <f t="shared" si="69"/>
        <v>7.3703437510014048E-3</v>
      </c>
      <c r="S131" s="445">
        <f t="shared" si="70"/>
        <v>114.4399999999996</v>
      </c>
      <c r="T131" s="444">
        <f t="shared" si="71"/>
        <v>5.2388952724509191E-2</v>
      </c>
      <c r="U131" s="364">
        <f t="shared" si="72"/>
        <v>7144.4891999999754</v>
      </c>
      <c r="V131" s="459">
        <f t="shared" si="73"/>
        <v>98.339999999999606</v>
      </c>
      <c r="W131" s="460">
        <f t="shared" si="74"/>
        <v>4.5018608973507783E-2</v>
      </c>
      <c r="X131" s="461">
        <f t="shared" si="75"/>
        <v>6139.3661999999749</v>
      </c>
      <c r="Y131" s="366" t="s">
        <v>417</v>
      </c>
      <c r="Z131" s="366" t="s">
        <v>216</v>
      </c>
      <c r="AA131" s="367" t="s">
        <v>746</v>
      </c>
      <c r="AB131" s="367" t="s">
        <v>747</v>
      </c>
      <c r="AC131" s="367">
        <v>1</v>
      </c>
      <c r="AD131" s="446" t="s">
        <v>543</v>
      </c>
    </row>
    <row r="132" spans="2:39" s="147" customFormat="1" ht="27" customHeight="1">
      <c r="B132" s="894"/>
      <c r="C132" s="895"/>
      <c r="D132" s="361">
        <v>16</v>
      </c>
      <c r="E132" s="440" t="s">
        <v>618</v>
      </c>
      <c r="F132" s="441">
        <f t="shared" si="63"/>
        <v>1002.5600000000001</v>
      </c>
      <c r="G132" s="365">
        <v>2.08</v>
      </c>
      <c r="H132" s="442">
        <v>28842</v>
      </c>
      <c r="I132" s="442">
        <v>28842</v>
      </c>
      <c r="J132" s="444">
        <f t="shared" si="64"/>
        <v>1</v>
      </c>
      <c r="K132" s="443">
        <v>29324</v>
      </c>
      <c r="L132" s="444">
        <f t="shared" si="65"/>
        <v>1.0167117398238679</v>
      </c>
      <c r="M132" s="443">
        <v>0</v>
      </c>
      <c r="N132" s="444">
        <f t="shared" si="66"/>
        <v>0</v>
      </c>
      <c r="O132" s="445">
        <f t="shared" si="67"/>
        <v>29324</v>
      </c>
      <c r="P132" s="444">
        <f t="shared" si="68"/>
        <v>1.0167117398238679</v>
      </c>
      <c r="Q132" s="442">
        <v>482</v>
      </c>
      <c r="R132" s="444">
        <f t="shared" si="69"/>
        <v>1.671173982386797E-2</v>
      </c>
      <c r="S132" s="445">
        <f t="shared" si="70"/>
        <v>482</v>
      </c>
      <c r="T132" s="444">
        <f t="shared" si="71"/>
        <v>1.671173982386797E-2</v>
      </c>
      <c r="U132" s="364">
        <f t="shared" si="72"/>
        <v>1002.5600000000001</v>
      </c>
      <c r="V132" s="459">
        <f t="shared" si="73"/>
        <v>0</v>
      </c>
      <c r="W132" s="460">
        <f t="shared" si="74"/>
        <v>0</v>
      </c>
      <c r="X132" s="461">
        <f t="shared" si="75"/>
        <v>0</v>
      </c>
      <c r="Y132" s="366" t="s">
        <v>417</v>
      </c>
      <c r="Z132" s="366" t="s">
        <v>445</v>
      </c>
      <c r="AA132" s="380" t="s">
        <v>755</v>
      </c>
      <c r="AB132" s="367" t="s">
        <v>455</v>
      </c>
      <c r="AC132" s="367">
        <v>1</v>
      </c>
      <c r="AD132" s="446" t="s">
        <v>530</v>
      </c>
    </row>
    <row r="133" spans="2:39" s="147" customFormat="1" ht="27" customHeight="1">
      <c r="B133" s="894"/>
      <c r="C133" s="895"/>
      <c r="D133" s="361">
        <v>17</v>
      </c>
      <c r="E133" s="440" t="s">
        <v>668</v>
      </c>
      <c r="F133" s="441">
        <f t="shared" si="63"/>
        <v>1002.4320000000002</v>
      </c>
      <c r="G133" s="365">
        <v>108.96000000000001</v>
      </c>
      <c r="H133" s="442">
        <v>518.06000000000006</v>
      </c>
      <c r="I133" s="442">
        <v>518.06000000000006</v>
      </c>
      <c r="J133" s="444">
        <f t="shared" si="64"/>
        <v>1</v>
      </c>
      <c r="K133" s="443">
        <v>537.29999999999995</v>
      </c>
      <c r="L133" s="444">
        <f t="shared" si="65"/>
        <v>1.0371385553796855</v>
      </c>
      <c r="M133" s="443">
        <v>19.239999999999998</v>
      </c>
      <c r="N133" s="444">
        <f t="shared" si="66"/>
        <v>3.7138555379685745E-2</v>
      </c>
      <c r="O133" s="445">
        <f t="shared" si="67"/>
        <v>556.54</v>
      </c>
      <c r="P133" s="444">
        <f t="shared" si="68"/>
        <v>1.0742771107593714</v>
      </c>
      <c r="Q133" s="442">
        <v>9.2000000000000011</v>
      </c>
      <c r="R133" s="444">
        <f t="shared" si="69"/>
        <v>1.7758560784465121E-2</v>
      </c>
      <c r="S133" s="445">
        <f t="shared" si="70"/>
        <v>38.479999999999905</v>
      </c>
      <c r="T133" s="444">
        <f t="shared" si="71"/>
        <v>7.4277110759371309E-2</v>
      </c>
      <c r="U133" s="364">
        <f t="shared" si="72"/>
        <v>4192.7807999999895</v>
      </c>
      <c r="V133" s="459">
        <f t="shared" si="73"/>
        <v>29.279999999999902</v>
      </c>
      <c r="W133" s="460">
        <f t="shared" si="74"/>
        <v>5.6518549974906185E-2</v>
      </c>
      <c r="X133" s="461">
        <f t="shared" si="75"/>
        <v>3190.3487999999893</v>
      </c>
      <c r="Y133" s="366" t="s">
        <v>417</v>
      </c>
      <c r="Z133" s="366" t="s">
        <v>445</v>
      </c>
      <c r="AA133" s="367" t="s">
        <v>749</v>
      </c>
      <c r="AB133" s="367" t="s">
        <v>455</v>
      </c>
      <c r="AC133" s="367">
        <v>1</v>
      </c>
      <c r="AD133" s="446" t="s">
        <v>650</v>
      </c>
    </row>
    <row r="134" spans="2:39" s="147" customFormat="1" ht="27" customHeight="1">
      <c r="B134" s="894"/>
      <c r="C134" s="895"/>
      <c r="D134" s="361">
        <v>18</v>
      </c>
      <c r="E134" s="440" t="s">
        <v>739</v>
      </c>
      <c r="F134" s="441">
        <f t="shared" si="63"/>
        <v>1002.2568000000001</v>
      </c>
      <c r="G134" s="365">
        <v>139.97999999999999</v>
      </c>
      <c r="H134" s="442">
        <v>528.95999999999992</v>
      </c>
      <c r="I134" s="442">
        <v>528.95999999999992</v>
      </c>
      <c r="J134" s="444">
        <f t="shared" si="64"/>
        <v>1</v>
      </c>
      <c r="K134" s="443">
        <v>542.75</v>
      </c>
      <c r="L134" s="444">
        <f t="shared" si="65"/>
        <v>1.0260700241984273</v>
      </c>
      <c r="M134" s="443">
        <v>13.790000000000001</v>
      </c>
      <c r="N134" s="444">
        <f t="shared" si="66"/>
        <v>2.6070024198427109E-2</v>
      </c>
      <c r="O134" s="445">
        <f t="shared" si="67"/>
        <v>556.54</v>
      </c>
      <c r="P134" s="444">
        <f t="shared" si="68"/>
        <v>1.0521400483968544</v>
      </c>
      <c r="Q134" s="442">
        <v>7.160000000000001</v>
      </c>
      <c r="R134" s="444">
        <f t="shared" si="69"/>
        <v>1.3535995160314583E-2</v>
      </c>
      <c r="S134" s="445">
        <f t="shared" si="70"/>
        <v>27.580000000000041</v>
      </c>
      <c r="T134" s="444">
        <f t="shared" si="71"/>
        <v>5.2140048396854287E-2</v>
      </c>
      <c r="U134" s="364">
        <f t="shared" si="72"/>
        <v>3860.6484000000055</v>
      </c>
      <c r="V134" s="459">
        <f t="shared" si="73"/>
        <v>20.420000000000041</v>
      </c>
      <c r="W134" s="460">
        <f t="shared" si="74"/>
        <v>3.8604053236539711E-2</v>
      </c>
      <c r="X134" s="461">
        <f t="shared" si="75"/>
        <v>2858.3916000000054</v>
      </c>
      <c r="Y134" s="366" t="s">
        <v>417</v>
      </c>
      <c r="Z134" s="366" t="s">
        <v>445</v>
      </c>
      <c r="AA134" s="367" t="s">
        <v>749</v>
      </c>
      <c r="AB134" s="367" t="s">
        <v>455</v>
      </c>
      <c r="AC134" s="367">
        <v>1</v>
      </c>
      <c r="AD134" s="446" t="s">
        <v>508</v>
      </c>
    </row>
    <row r="135" spans="2:39" s="147" customFormat="1" ht="27" customHeight="1">
      <c r="B135" s="894"/>
      <c r="C135" s="895"/>
      <c r="D135" s="361">
        <v>19</v>
      </c>
      <c r="E135" s="440" t="s">
        <v>634</v>
      </c>
      <c r="F135" s="441">
        <f t="shared" si="63"/>
        <v>1002.1938</v>
      </c>
      <c r="G135" s="365">
        <v>212.78</v>
      </c>
      <c r="H135" s="442">
        <v>463.41</v>
      </c>
      <c r="I135" s="442">
        <v>463.41</v>
      </c>
      <c r="J135" s="444">
        <f t="shared" si="64"/>
        <v>1</v>
      </c>
      <c r="K135" s="443">
        <v>476.98000000000008</v>
      </c>
      <c r="L135" s="444">
        <f t="shared" si="65"/>
        <v>1.0292829244081916</v>
      </c>
      <c r="M135" s="443">
        <v>13.57</v>
      </c>
      <c r="N135" s="444">
        <f t="shared" si="66"/>
        <v>2.9282924408191448E-2</v>
      </c>
      <c r="O135" s="445">
        <f t="shared" si="67"/>
        <v>490.55000000000007</v>
      </c>
      <c r="P135" s="444">
        <f t="shared" si="68"/>
        <v>1.0585658488163829</v>
      </c>
      <c r="Q135" s="442">
        <v>4.71</v>
      </c>
      <c r="R135" s="444">
        <f t="shared" si="69"/>
        <v>1.01637858483848E-2</v>
      </c>
      <c r="S135" s="445">
        <f t="shared" si="70"/>
        <v>27.140000000000043</v>
      </c>
      <c r="T135" s="444">
        <f t="shared" si="71"/>
        <v>5.8565848816382993E-2</v>
      </c>
      <c r="U135" s="364">
        <f t="shared" si="72"/>
        <v>5774.8492000000097</v>
      </c>
      <c r="V135" s="459">
        <f t="shared" si="73"/>
        <v>22.430000000000042</v>
      </c>
      <c r="W135" s="460">
        <f t="shared" si="74"/>
        <v>4.8402062967998191E-2</v>
      </c>
      <c r="X135" s="461">
        <f t="shared" si="75"/>
        <v>4772.6554000000087</v>
      </c>
      <c r="Y135" s="366" t="s">
        <v>417</v>
      </c>
      <c r="Z135" s="366" t="s">
        <v>445</v>
      </c>
      <c r="AA135" s="367" t="s">
        <v>546</v>
      </c>
      <c r="AB135" s="367" t="s">
        <v>454</v>
      </c>
      <c r="AC135" s="367">
        <v>1</v>
      </c>
      <c r="AD135" s="446" t="s">
        <v>630</v>
      </c>
    </row>
    <row r="136" spans="2:39" s="147" customFormat="1" ht="27" customHeight="1">
      <c r="B136" s="896"/>
      <c r="C136" s="897"/>
      <c r="D136" s="361">
        <v>20</v>
      </c>
      <c r="E136" s="440" t="s">
        <v>696</v>
      </c>
      <c r="F136" s="441">
        <f t="shared" si="63"/>
        <v>1002.1732000000002</v>
      </c>
      <c r="G136" s="365">
        <v>98.060000000000016</v>
      </c>
      <c r="H136" s="442">
        <v>1407.1200000000001</v>
      </c>
      <c r="I136" s="442">
        <v>1407.1200000000001</v>
      </c>
      <c r="J136" s="444">
        <f t="shared" si="64"/>
        <v>1</v>
      </c>
      <c r="K136" s="443">
        <v>1448.02</v>
      </c>
      <c r="L136" s="444">
        <f t="shared" si="65"/>
        <v>1.0290664619932912</v>
      </c>
      <c r="M136" s="443">
        <v>40.9</v>
      </c>
      <c r="N136" s="444">
        <f t="shared" si="66"/>
        <v>2.9066461993291257E-2</v>
      </c>
      <c r="O136" s="445">
        <f t="shared" si="67"/>
        <v>1488.92</v>
      </c>
      <c r="P136" s="444">
        <f t="shared" si="68"/>
        <v>1.0581329239865824</v>
      </c>
      <c r="Q136" s="442">
        <v>10.220000000000001</v>
      </c>
      <c r="R136" s="444">
        <f t="shared" si="69"/>
        <v>7.2630621411109214E-3</v>
      </c>
      <c r="S136" s="445">
        <f t="shared" si="70"/>
        <v>81.799999999999955</v>
      </c>
      <c r="T136" s="444">
        <f t="shared" si="71"/>
        <v>5.8132923986582485E-2</v>
      </c>
      <c r="U136" s="364">
        <f t="shared" si="72"/>
        <v>8021.3079999999973</v>
      </c>
      <c r="V136" s="459">
        <f t="shared" si="73"/>
        <v>71.579999999999956</v>
      </c>
      <c r="W136" s="460">
        <f t="shared" si="74"/>
        <v>5.0869861845471563E-2</v>
      </c>
      <c r="X136" s="461">
        <f t="shared" si="75"/>
        <v>7019.1347999999971</v>
      </c>
      <c r="Y136" s="366" t="s">
        <v>417</v>
      </c>
      <c r="Z136" s="366" t="s">
        <v>445</v>
      </c>
      <c r="AA136" s="367" t="s">
        <v>479</v>
      </c>
      <c r="AB136" s="367" t="s">
        <v>750</v>
      </c>
      <c r="AC136" s="367">
        <v>1</v>
      </c>
      <c r="AD136" s="446" t="s">
        <v>664</v>
      </c>
    </row>
    <row r="137" spans="2:39" ht="17.100000000000001" customHeight="1">
      <c r="B137" s="898" t="s">
        <v>442</v>
      </c>
      <c r="C137" s="899"/>
      <c r="D137" s="902" t="s">
        <v>549</v>
      </c>
      <c r="E137" s="903" t="s">
        <v>550</v>
      </c>
      <c r="F137" s="904" t="s">
        <v>551</v>
      </c>
      <c r="G137" s="881" t="s">
        <v>552</v>
      </c>
      <c r="H137" s="905" t="s">
        <v>553</v>
      </c>
      <c r="I137" s="906" t="s">
        <v>554</v>
      </c>
      <c r="J137" s="907"/>
      <c r="K137" s="906" t="s">
        <v>555</v>
      </c>
      <c r="L137" s="907"/>
      <c r="M137" s="906" t="s">
        <v>556</v>
      </c>
      <c r="N137" s="907"/>
      <c r="O137" s="906" t="s">
        <v>557</v>
      </c>
      <c r="P137" s="907"/>
      <c r="Q137" s="906" t="s">
        <v>418</v>
      </c>
      <c r="R137" s="907"/>
      <c r="S137" s="908" t="s">
        <v>419</v>
      </c>
      <c r="T137" s="909"/>
      <c r="U137" s="910"/>
      <c r="V137" s="911" t="s">
        <v>742</v>
      </c>
      <c r="W137" s="912"/>
      <c r="X137" s="913"/>
      <c r="Y137" s="914" t="s">
        <v>171</v>
      </c>
      <c r="Z137" s="914" t="s">
        <v>245</v>
      </c>
      <c r="AA137" s="914" t="s">
        <v>558</v>
      </c>
      <c r="AB137" s="914" t="s">
        <v>444</v>
      </c>
      <c r="AC137" s="914" t="s">
        <v>246</v>
      </c>
      <c r="AD137" s="881" t="s">
        <v>172</v>
      </c>
      <c r="AF137" s="883" t="s">
        <v>247</v>
      </c>
      <c r="AG137" s="884"/>
      <c r="AH137" s="884"/>
      <c r="AI137" s="884"/>
      <c r="AJ137" s="884"/>
      <c r="AK137" s="884"/>
      <c r="AL137" s="884"/>
      <c r="AM137" s="885"/>
    </row>
    <row r="138" spans="2:39">
      <c r="B138" s="900"/>
      <c r="C138" s="901"/>
      <c r="D138" s="902"/>
      <c r="E138" s="902"/>
      <c r="F138" s="904"/>
      <c r="G138" s="882"/>
      <c r="H138" s="882"/>
      <c r="I138" s="439" t="s">
        <v>559</v>
      </c>
      <c r="J138" s="362" t="s">
        <v>560</v>
      </c>
      <c r="K138" s="439" t="s">
        <v>559</v>
      </c>
      <c r="L138" s="362" t="s">
        <v>560</v>
      </c>
      <c r="M138" s="439" t="s">
        <v>559</v>
      </c>
      <c r="N138" s="362" t="s">
        <v>560</v>
      </c>
      <c r="O138" s="439" t="s">
        <v>559</v>
      </c>
      <c r="P138" s="362" t="s">
        <v>560</v>
      </c>
      <c r="Q138" s="439" t="s">
        <v>559</v>
      </c>
      <c r="R138" s="362" t="s">
        <v>560</v>
      </c>
      <c r="S138" s="439" t="s">
        <v>559</v>
      </c>
      <c r="T138" s="362" t="s">
        <v>560</v>
      </c>
      <c r="U138" s="362" t="s">
        <v>561</v>
      </c>
      <c r="V138" s="439" t="s">
        <v>559</v>
      </c>
      <c r="W138" s="362" t="s">
        <v>560</v>
      </c>
      <c r="X138" s="362" t="s">
        <v>561</v>
      </c>
      <c r="Y138" s="915"/>
      <c r="Z138" s="915"/>
      <c r="AA138" s="915"/>
      <c r="AB138" s="915"/>
      <c r="AC138" s="915"/>
      <c r="AD138" s="882"/>
      <c r="AF138" s="886"/>
      <c r="AG138" s="887"/>
      <c r="AH138" s="887"/>
      <c r="AI138" s="887"/>
      <c r="AJ138" s="887"/>
      <c r="AK138" s="887"/>
      <c r="AL138" s="887"/>
      <c r="AM138" s="888"/>
    </row>
    <row r="139" spans="2:39" s="147" customFormat="1" ht="27" customHeight="1">
      <c r="B139" s="892" t="s">
        <v>794</v>
      </c>
      <c r="C139" s="893"/>
      <c r="D139" s="361">
        <v>1</v>
      </c>
      <c r="E139" s="440" t="s">
        <v>448</v>
      </c>
      <c r="F139" s="441">
        <f>IFERROR(Q139*G139,"-")</f>
        <v>2256.4499999999998</v>
      </c>
      <c r="G139" s="365">
        <v>2.4499999999999997</v>
      </c>
      <c r="H139" s="442">
        <v>144699</v>
      </c>
      <c r="I139" s="442">
        <v>144699</v>
      </c>
      <c r="J139" s="444">
        <f>IFERROR(I139/H139,"-")</f>
        <v>1</v>
      </c>
      <c r="K139" s="443">
        <v>145620</v>
      </c>
      <c r="L139" s="444">
        <f>IFERROR(K139/H139,"-")</f>
        <v>1.0063649368689487</v>
      </c>
      <c r="M139" s="443">
        <v>0</v>
      </c>
      <c r="N139" s="444">
        <f>IFERROR(M139/H139,"-")</f>
        <v>0</v>
      </c>
      <c r="O139" s="445">
        <f>IFERROR(K139+M139,"-")</f>
        <v>145620</v>
      </c>
      <c r="P139" s="444">
        <f>IFERROR(O139/H139,"-")</f>
        <v>1.0063649368689487</v>
      </c>
      <c r="Q139" s="442">
        <v>921</v>
      </c>
      <c r="R139" s="444">
        <f>IFERROR(Q139/H139,"-")</f>
        <v>6.3649368689486455E-3</v>
      </c>
      <c r="S139" s="445">
        <f>IFERROR(O139-H139,"-")</f>
        <v>921</v>
      </c>
      <c r="T139" s="444">
        <f>IFERROR(S139/H139,"-")</f>
        <v>6.3649368689486455E-3</v>
      </c>
      <c r="U139" s="364">
        <f>IFERROR(S139*G139,"-")</f>
        <v>2256.4499999999998</v>
      </c>
      <c r="V139" s="459">
        <f>S139-Q139</f>
        <v>0</v>
      </c>
      <c r="W139" s="460">
        <f>IFERROR(V139/H139,"-")</f>
        <v>0</v>
      </c>
      <c r="X139" s="461">
        <f>IFERROR(V139*G139,"-")</f>
        <v>0</v>
      </c>
      <c r="Y139" s="366" t="s">
        <v>417</v>
      </c>
      <c r="Z139" s="366" t="s">
        <v>337</v>
      </c>
      <c r="AA139" s="367" t="s">
        <v>467</v>
      </c>
      <c r="AB139" s="367" t="s">
        <v>468</v>
      </c>
      <c r="AC139" s="367">
        <v>1</v>
      </c>
      <c r="AD139" s="446" t="s">
        <v>340</v>
      </c>
      <c r="AF139" s="889"/>
      <c r="AG139" s="890"/>
      <c r="AH139" s="890"/>
      <c r="AI139" s="890"/>
      <c r="AJ139" s="890"/>
      <c r="AK139" s="890"/>
      <c r="AL139" s="890"/>
      <c r="AM139" s="891"/>
    </row>
    <row r="140" spans="2:39" s="147" customFormat="1" ht="27" customHeight="1">
      <c r="B140" s="894"/>
      <c r="C140" s="895"/>
      <c r="D140" s="361">
        <v>2</v>
      </c>
      <c r="E140" s="440" t="s">
        <v>335</v>
      </c>
      <c r="F140" s="441">
        <f t="shared" ref="F140:F158" si="78">IFERROR(Q140*G140,"-")</f>
        <v>2209.3500000000004</v>
      </c>
      <c r="G140" s="365">
        <v>15.450000000000001</v>
      </c>
      <c r="H140" s="442">
        <v>62876</v>
      </c>
      <c r="I140" s="442">
        <v>62876</v>
      </c>
      <c r="J140" s="444">
        <f t="shared" ref="J140:J158" si="79">IFERROR(I140/H140,"-")</f>
        <v>1</v>
      </c>
      <c r="K140" s="443">
        <v>63019</v>
      </c>
      <c r="L140" s="444">
        <f t="shared" ref="L140:L158" si="80">IFERROR(K140/H140,"-")</f>
        <v>1.0022743177046887</v>
      </c>
      <c r="M140" s="443">
        <v>0</v>
      </c>
      <c r="N140" s="444">
        <f t="shared" ref="N140:N158" si="81">IFERROR(M140/H140,"-")</f>
        <v>0</v>
      </c>
      <c r="O140" s="445">
        <f t="shared" ref="O140:O158" si="82">IFERROR(K140+M140,"-")</f>
        <v>63019</v>
      </c>
      <c r="P140" s="444">
        <f t="shared" ref="P140:P158" si="83">IFERROR(O140/H140,"-")</f>
        <v>1.0022743177046887</v>
      </c>
      <c r="Q140" s="442">
        <v>143</v>
      </c>
      <c r="R140" s="444">
        <f t="shared" ref="R140:R158" si="84">IFERROR(Q140/H140,"-")</f>
        <v>2.2743177046885936E-3</v>
      </c>
      <c r="S140" s="445">
        <f t="shared" ref="S140:S158" si="85">IFERROR(O140-H140,"-")</f>
        <v>143</v>
      </c>
      <c r="T140" s="444">
        <f t="shared" ref="T140:T158" si="86">IFERROR(S140/H140,"-")</f>
        <v>2.2743177046885936E-3</v>
      </c>
      <c r="U140" s="364">
        <f t="shared" ref="U140:U158" si="87">IFERROR(S140*G140,"-")</f>
        <v>2209.3500000000004</v>
      </c>
      <c r="V140" s="459">
        <f t="shared" ref="V140:V158" si="88">S140-Q140</f>
        <v>0</v>
      </c>
      <c r="W140" s="460">
        <f t="shared" ref="W140:W158" si="89">IFERROR(V140/H140,"-")</f>
        <v>0</v>
      </c>
      <c r="X140" s="461">
        <f t="shared" ref="X140:X158" si="90">IFERROR(V140*G140,"-")</f>
        <v>0</v>
      </c>
      <c r="Y140" s="366" t="s">
        <v>417</v>
      </c>
      <c r="Z140" s="366" t="s">
        <v>216</v>
      </c>
      <c r="AA140" s="367" t="s">
        <v>466</v>
      </c>
      <c r="AB140" s="367" t="s">
        <v>745</v>
      </c>
      <c r="AC140" s="367">
        <v>1</v>
      </c>
      <c r="AD140" s="446" t="s">
        <v>523</v>
      </c>
      <c r="AF140" s="160" t="s">
        <v>244</v>
      </c>
      <c r="AG140" s="160" t="s">
        <v>445</v>
      </c>
      <c r="AH140" s="155" t="s">
        <v>562</v>
      </c>
      <c r="AI140" s="155" t="s">
        <v>337</v>
      </c>
      <c r="AJ140" s="155" t="s">
        <v>428</v>
      </c>
      <c r="AK140" s="155" t="s">
        <v>215</v>
      </c>
      <c r="AL140" s="155" t="s">
        <v>216</v>
      </c>
      <c r="AM140" s="155" t="s">
        <v>384</v>
      </c>
    </row>
    <row r="141" spans="2:39" s="147" customFormat="1" ht="27" customHeight="1">
      <c r="B141" s="894"/>
      <c r="C141" s="895"/>
      <c r="D141" s="361">
        <v>3</v>
      </c>
      <c r="E141" s="440" t="s">
        <v>447</v>
      </c>
      <c r="F141" s="441">
        <f t="shared" si="78"/>
        <v>1881.36</v>
      </c>
      <c r="G141" s="365">
        <v>1.17</v>
      </c>
      <c r="H141" s="442">
        <v>238092</v>
      </c>
      <c r="I141" s="442">
        <v>238092</v>
      </c>
      <c r="J141" s="444">
        <f t="shared" si="79"/>
        <v>1</v>
      </c>
      <c r="K141" s="443">
        <v>239700</v>
      </c>
      <c r="L141" s="444">
        <f t="shared" si="80"/>
        <v>1.0067536918502091</v>
      </c>
      <c r="M141" s="443">
        <v>0</v>
      </c>
      <c r="N141" s="444">
        <f t="shared" si="81"/>
        <v>0</v>
      </c>
      <c r="O141" s="445">
        <f t="shared" si="82"/>
        <v>239700</v>
      </c>
      <c r="P141" s="444">
        <f t="shared" si="83"/>
        <v>1.0067536918502091</v>
      </c>
      <c r="Q141" s="442">
        <v>1608</v>
      </c>
      <c r="R141" s="444">
        <f t="shared" si="84"/>
        <v>6.7536918502091627E-3</v>
      </c>
      <c r="S141" s="445">
        <f t="shared" si="85"/>
        <v>1608</v>
      </c>
      <c r="T141" s="444">
        <f t="shared" si="86"/>
        <v>6.7536918502091627E-3</v>
      </c>
      <c r="U141" s="364">
        <f t="shared" si="87"/>
        <v>1881.36</v>
      </c>
      <c r="V141" s="459">
        <f t="shared" si="88"/>
        <v>0</v>
      </c>
      <c r="W141" s="460">
        <f t="shared" si="89"/>
        <v>0</v>
      </c>
      <c r="X141" s="461">
        <f t="shared" si="90"/>
        <v>0</v>
      </c>
      <c r="Y141" s="366" t="s">
        <v>417</v>
      </c>
      <c r="Z141" s="366" t="s">
        <v>337</v>
      </c>
      <c r="AA141" s="367" t="s">
        <v>469</v>
      </c>
      <c r="AB141" s="367" t="s">
        <v>526</v>
      </c>
      <c r="AC141" s="367">
        <v>1</v>
      </c>
      <c r="AD141" s="446" t="s">
        <v>340</v>
      </c>
      <c r="AF141" s="374">
        <f>SUM(AC139:AC158)</f>
        <v>20</v>
      </c>
      <c r="AG141" s="369">
        <f>SUMIF($Z$139:$Z$158,TRIM(AG140),$AC$139:$AC$158)</f>
        <v>7</v>
      </c>
      <c r="AH141" s="369">
        <f t="shared" ref="AH141:AM141" si="91">SUMIF($Z$139:$Z$158,TRIM(AH140),$AC$139:$AC$158)</f>
        <v>0</v>
      </c>
      <c r="AI141" s="369">
        <f t="shared" si="91"/>
        <v>7</v>
      </c>
      <c r="AJ141" s="369">
        <f t="shared" si="91"/>
        <v>0</v>
      </c>
      <c r="AK141" s="369">
        <f t="shared" si="91"/>
        <v>1</v>
      </c>
      <c r="AL141" s="369">
        <f t="shared" si="91"/>
        <v>5</v>
      </c>
      <c r="AM141" s="369">
        <f t="shared" si="91"/>
        <v>0</v>
      </c>
    </row>
    <row r="142" spans="2:39" s="147" customFormat="1" ht="27" customHeight="1">
      <c r="B142" s="894"/>
      <c r="C142" s="895"/>
      <c r="D142" s="361">
        <v>4</v>
      </c>
      <c r="E142" s="440" t="s">
        <v>336</v>
      </c>
      <c r="F142" s="441">
        <f t="shared" si="78"/>
        <v>1637.9473000000003</v>
      </c>
      <c r="G142" s="365">
        <v>147.43000000000004</v>
      </c>
      <c r="H142" s="442">
        <v>4347.82</v>
      </c>
      <c r="I142" s="442">
        <v>4347.82</v>
      </c>
      <c r="J142" s="444">
        <f t="shared" si="79"/>
        <v>1</v>
      </c>
      <c r="K142" s="443">
        <v>4423.2999999999993</v>
      </c>
      <c r="L142" s="444">
        <f t="shared" si="80"/>
        <v>1.0173604243045939</v>
      </c>
      <c r="M142" s="443">
        <v>75.47999999999999</v>
      </c>
      <c r="N142" s="444">
        <f t="shared" si="81"/>
        <v>1.7360424304594026E-2</v>
      </c>
      <c r="O142" s="445">
        <f t="shared" si="82"/>
        <v>4498.7799999999988</v>
      </c>
      <c r="P142" s="444">
        <f t="shared" si="83"/>
        <v>1.0347208486091879</v>
      </c>
      <c r="Q142" s="442">
        <v>11.11</v>
      </c>
      <c r="R142" s="444">
        <f t="shared" si="84"/>
        <v>2.5553035774250085E-3</v>
      </c>
      <c r="S142" s="445">
        <f t="shared" si="85"/>
        <v>150.95999999999913</v>
      </c>
      <c r="T142" s="444">
        <f t="shared" si="86"/>
        <v>3.4720848609187852E-2</v>
      </c>
      <c r="U142" s="364">
        <f t="shared" si="87"/>
        <v>22256.032799999877</v>
      </c>
      <c r="V142" s="459">
        <f t="shared" si="88"/>
        <v>139.84999999999911</v>
      </c>
      <c r="W142" s="460">
        <f t="shared" si="89"/>
        <v>3.2165545031762846E-2</v>
      </c>
      <c r="X142" s="461">
        <f t="shared" si="90"/>
        <v>20618.085499999874</v>
      </c>
      <c r="Y142" s="366" t="s">
        <v>417</v>
      </c>
      <c r="Z142" s="366" t="s">
        <v>215</v>
      </c>
      <c r="AA142" s="367" t="s">
        <v>675</v>
      </c>
      <c r="AB142" s="367" t="s">
        <v>569</v>
      </c>
      <c r="AC142" s="367">
        <v>1</v>
      </c>
      <c r="AD142" s="446" t="s">
        <v>340</v>
      </c>
      <c r="AF142" s="375" t="s">
        <v>11</v>
      </c>
      <c r="AG142" s="372">
        <f>SUMIF($Z$139:$Z158,TRIM(AG140),$F$139:$F$158)</f>
        <v>7386.9941000000008</v>
      </c>
      <c r="AH142" s="372">
        <f>SUMIF($Z$139:$Z158,TRIM(AH140),$F$139:$F$158)</f>
        <v>0</v>
      </c>
      <c r="AI142" s="372">
        <f>SUMIF($Z$139:$Z158,TRIM(AI140),$F$139:$F$158)</f>
        <v>9438.261599999998</v>
      </c>
      <c r="AJ142" s="372">
        <f>SUMIF($Z$139:$Z158,TRIM(AJ140),$F$139:$F$158)</f>
        <v>0</v>
      </c>
      <c r="AK142" s="372">
        <f>SUMIF($Z$139:$Z158,TRIM(AK140),$F$139:$F$158)</f>
        <v>1637.9473000000003</v>
      </c>
      <c r="AL142" s="372">
        <f>SUMIF($Z$139:$Z158,TRIM(AL140),$F$139:$F$158)</f>
        <v>7115.5838000000003</v>
      </c>
      <c r="AM142" s="372">
        <f>SUMIF($Z$139:$Z158,TRIM(AM140),$F$139:$F$158)</f>
        <v>0</v>
      </c>
    </row>
    <row r="143" spans="2:39" s="147" customFormat="1" ht="27" customHeight="1">
      <c r="B143" s="894"/>
      <c r="C143" s="895"/>
      <c r="D143" s="361">
        <v>5</v>
      </c>
      <c r="E143" s="440" t="s">
        <v>534</v>
      </c>
      <c r="F143" s="441">
        <f t="shared" si="78"/>
        <v>1515.3332999999998</v>
      </c>
      <c r="G143" s="365">
        <v>39.389999999999993</v>
      </c>
      <c r="H143" s="442">
        <v>32379.059999999998</v>
      </c>
      <c r="I143" s="442">
        <v>32379.059999999998</v>
      </c>
      <c r="J143" s="444">
        <f t="shared" si="79"/>
        <v>1</v>
      </c>
      <c r="K143" s="443">
        <v>32557.809999999998</v>
      </c>
      <c r="L143" s="444">
        <f t="shared" si="80"/>
        <v>1.0055205432152756</v>
      </c>
      <c r="M143" s="443">
        <v>178.75</v>
      </c>
      <c r="N143" s="444">
        <f t="shared" si="81"/>
        <v>5.5205432152755519E-3</v>
      </c>
      <c r="O143" s="445">
        <f t="shared" si="82"/>
        <v>32736.559999999998</v>
      </c>
      <c r="P143" s="444">
        <f t="shared" si="83"/>
        <v>1.011041086430551</v>
      </c>
      <c r="Q143" s="442">
        <v>38.47</v>
      </c>
      <c r="R143" s="444">
        <f t="shared" si="84"/>
        <v>1.1881135524008418E-3</v>
      </c>
      <c r="S143" s="445">
        <f t="shared" si="85"/>
        <v>357.5</v>
      </c>
      <c r="T143" s="444">
        <f t="shared" si="86"/>
        <v>1.1041086430551104E-2</v>
      </c>
      <c r="U143" s="364">
        <f t="shared" si="87"/>
        <v>14081.924999999997</v>
      </c>
      <c r="V143" s="459">
        <f t="shared" si="88"/>
        <v>319.02999999999997</v>
      </c>
      <c r="W143" s="460">
        <f t="shared" si="89"/>
        <v>9.8529728781502606E-3</v>
      </c>
      <c r="X143" s="461">
        <f t="shared" si="90"/>
        <v>12566.591699999997</v>
      </c>
      <c r="Y143" s="366" t="s">
        <v>417</v>
      </c>
      <c r="Z143" s="366" t="s">
        <v>216</v>
      </c>
      <c r="AA143" s="367" t="s">
        <v>746</v>
      </c>
      <c r="AB143" s="367" t="s">
        <v>747</v>
      </c>
      <c r="AC143" s="367">
        <v>1</v>
      </c>
      <c r="AD143" s="446" t="s">
        <v>340</v>
      </c>
      <c r="AF143" s="361" t="s">
        <v>563</v>
      </c>
      <c r="AG143" s="447">
        <f>AG141/$AF141</f>
        <v>0.35</v>
      </c>
      <c r="AH143" s="447">
        <f t="shared" ref="AH143:AM143" si="92">AH141/$AF141</f>
        <v>0</v>
      </c>
      <c r="AI143" s="447">
        <f t="shared" si="92"/>
        <v>0.35</v>
      </c>
      <c r="AJ143" s="447">
        <f t="shared" si="92"/>
        <v>0</v>
      </c>
      <c r="AK143" s="447">
        <f t="shared" si="92"/>
        <v>0.05</v>
      </c>
      <c r="AL143" s="447">
        <f t="shared" si="92"/>
        <v>0.25</v>
      </c>
      <c r="AM143" s="447">
        <f t="shared" si="92"/>
        <v>0</v>
      </c>
    </row>
    <row r="144" spans="2:39" s="147" customFormat="1" ht="27" customHeight="1">
      <c r="B144" s="894"/>
      <c r="C144" s="895"/>
      <c r="D144" s="361">
        <v>6</v>
      </c>
      <c r="E144" s="440" t="s">
        <v>795</v>
      </c>
      <c r="F144" s="441">
        <f t="shared" si="78"/>
        <v>1356.1470000000002</v>
      </c>
      <c r="G144" s="365">
        <v>52.26</v>
      </c>
      <c r="H144" s="442">
        <v>6370.9800000000005</v>
      </c>
      <c r="I144" s="442">
        <v>6370.9800000000005</v>
      </c>
      <c r="J144" s="444">
        <f t="shared" si="79"/>
        <v>1</v>
      </c>
      <c r="K144" s="443">
        <v>6492.48</v>
      </c>
      <c r="L144" s="444">
        <f t="shared" si="80"/>
        <v>1.0190708493826695</v>
      </c>
      <c r="M144" s="443">
        <v>121.5</v>
      </c>
      <c r="N144" s="444">
        <f t="shared" si="81"/>
        <v>1.9070849382669539E-2</v>
      </c>
      <c r="O144" s="445">
        <f t="shared" si="82"/>
        <v>6613.98</v>
      </c>
      <c r="P144" s="444">
        <f t="shared" si="83"/>
        <v>1.0381416987653389</v>
      </c>
      <c r="Q144" s="442">
        <v>25.950000000000003</v>
      </c>
      <c r="R144" s="444">
        <f t="shared" si="84"/>
        <v>4.0731567200022606E-3</v>
      </c>
      <c r="S144" s="445">
        <f t="shared" si="85"/>
        <v>242.99999999999909</v>
      </c>
      <c r="T144" s="444">
        <f t="shared" si="86"/>
        <v>3.814169876533894E-2</v>
      </c>
      <c r="U144" s="364">
        <f t="shared" si="87"/>
        <v>12699.179999999951</v>
      </c>
      <c r="V144" s="459">
        <f t="shared" si="88"/>
        <v>217.0499999999991</v>
      </c>
      <c r="W144" s="460">
        <f t="shared" si="89"/>
        <v>3.4068542045336679E-2</v>
      </c>
      <c r="X144" s="461">
        <f t="shared" si="90"/>
        <v>11343.032999999952</v>
      </c>
      <c r="Y144" s="366" t="s">
        <v>417</v>
      </c>
      <c r="Z144" s="366" t="s">
        <v>216</v>
      </c>
      <c r="AA144" s="367" t="s">
        <v>746</v>
      </c>
      <c r="AB144" s="367" t="s">
        <v>747</v>
      </c>
      <c r="AC144" s="367">
        <v>1</v>
      </c>
      <c r="AD144" s="446" t="s">
        <v>776</v>
      </c>
    </row>
    <row r="145" spans="2:39" s="147" customFormat="1" ht="27" customHeight="1">
      <c r="B145" s="894"/>
      <c r="C145" s="895"/>
      <c r="D145" s="361">
        <v>7</v>
      </c>
      <c r="E145" s="440" t="s">
        <v>386</v>
      </c>
      <c r="F145" s="441">
        <f t="shared" si="78"/>
        <v>1338.4848</v>
      </c>
      <c r="G145" s="365">
        <v>127.84000000000002</v>
      </c>
      <c r="H145" s="442">
        <v>3938.1100000000006</v>
      </c>
      <c r="I145" s="442">
        <v>3938.1100000000006</v>
      </c>
      <c r="J145" s="444">
        <f t="shared" si="79"/>
        <v>1</v>
      </c>
      <c r="K145" s="443">
        <v>3983.25</v>
      </c>
      <c r="L145" s="444">
        <f t="shared" si="80"/>
        <v>1.0114623512293968</v>
      </c>
      <c r="M145" s="443">
        <v>45.14</v>
      </c>
      <c r="N145" s="444">
        <f t="shared" si="81"/>
        <v>1.1462351229396841E-2</v>
      </c>
      <c r="O145" s="445">
        <f t="shared" si="82"/>
        <v>4028.39</v>
      </c>
      <c r="P145" s="444">
        <f t="shared" si="83"/>
        <v>1.0229247024587935</v>
      </c>
      <c r="Q145" s="442">
        <v>10.469999999999999</v>
      </c>
      <c r="R145" s="444">
        <f t="shared" si="84"/>
        <v>2.6586357415105209E-3</v>
      </c>
      <c r="S145" s="445">
        <f t="shared" si="85"/>
        <v>90.279999999999291</v>
      </c>
      <c r="T145" s="444">
        <f t="shared" si="86"/>
        <v>2.2924702458793501E-2</v>
      </c>
      <c r="U145" s="364">
        <f t="shared" si="87"/>
        <v>11541.395199999912</v>
      </c>
      <c r="V145" s="459">
        <f t="shared" si="88"/>
        <v>79.809999999999292</v>
      </c>
      <c r="W145" s="460">
        <f t="shared" si="89"/>
        <v>2.0266066717282982E-2</v>
      </c>
      <c r="X145" s="461">
        <f t="shared" si="90"/>
        <v>10202.910399999912</v>
      </c>
      <c r="Y145" s="366" t="s">
        <v>417</v>
      </c>
      <c r="Z145" s="366" t="s">
        <v>445</v>
      </c>
      <c r="AA145" s="367" t="s">
        <v>749</v>
      </c>
      <c r="AB145" s="367" t="s">
        <v>571</v>
      </c>
      <c r="AC145" s="367">
        <v>1</v>
      </c>
      <c r="AD145" s="446" t="s">
        <v>340</v>
      </c>
    </row>
    <row r="146" spans="2:39" s="147" customFormat="1" ht="27" customHeight="1">
      <c r="B146" s="894"/>
      <c r="C146" s="895"/>
      <c r="D146" s="361">
        <v>8</v>
      </c>
      <c r="E146" s="440" t="s">
        <v>796</v>
      </c>
      <c r="F146" s="441">
        <f t="shared" si="78"/>
        <v>1194.3822</v>
      </c>
      <c r="G146" s="365">
        <v>24.789999999999996</v>
      </c>
      <c r="H146" s="442">
        <v>10223.720000000001</v>
      </c>
      <c r="I146" s="442">
        <v>10223.720000000001</v>
      </c>
      <c r="J146" s="444">
        <f t="shared" si="79"/>
        <v>1</v>
      </c>
      <c r="K146" s="443">
        <v>10460.550000000001</v>
      </c>
      <c r="L146" s="444">
        <f t="shared" si="80"/>
        <v>1.0231647580332794</v>
      </c>
      <c r="M146" s="443">
        <v>236.82999999999998</v>
      </c>
      <c r="N146" s="444">
        <f t="shared" si="81"/>
        <v>2.3164758033279467E-2</v>
      </c>
      <c r="O146" s="445">
        <f t="shared" si="82"/>
        <v>10697.380000000001</v>
      </c>
      <c r="P146" s="444">
        <f t="shared" si="83"/>
        <v>1.0463295160665589</v>
      </c>
      <c r="Q146" s="442">
        <v>48.180000000000007</v>
      </c>
      <c r="R146" s="444">
        <f t="shared" si="84"/>
        <v>4.7125703755580162E-3</v>
      </c>
      <c r="S146" s="445">
        <f t="shared" si="85"/>
        <v>473.65999999999985</v>
      </c>
      <c r="T146" s="444">
        <f t="shared" si="86"/>
        <v>4.6329516066558926E-2</v>
      </c>
      <c r="U146" s="364">
        <f t="shared" si="87"/>
        <v>11742.031399999994</v>
      </c>
      <c r="V146" s="459">
        <f t="shared" si="88"/>
        <v>425.47999999999985</v>
      </c>
      <c r="W146" s="460">
        <f t="shared" si="89"/>
        <v>4.1616945691000905E-2</v>
      </c>
      <c r="X146" s="461">
        <f t="shared" si="90"/>
        <v>10547.649199999994</v>
      </c>
      <c r="Y146" s="366" t="s">
        <v>417</v>
      </c>
      <c r="Z146" s="366" t="s">
        <v>445</v>
      </c>
      <c r="AA146" s="367" t="s">
        <v>479</v>
      </c>
      <c r="AB146" s="367" t="s">
        <v>750</v>
      </c>
      <c r="AC146" s="367">
        <v>1</v>
      </c>
      <c r="AD146" s="446" t="s">
        <v>775</v>
      </c>
    </row>
    <row r="147" spans="2:39" s="147" customFormat="1" ht="27" customHeight="1">
      <c r="B147" s="894"/>
      <c r="C147" s="895"/>
      <c r="D147" s="361">
        <v>9</v>
      </c>
      <c r="E147" s="440" t="s">
        <v>692</v>
      </c>
      <c r="F147" s="441">
        <f t="shared" si="78"/>
        <v>1170.5077999999999</v>
      </c>
      <c r="G147" s="365">
        <v>625.93999999999994</v>
      </c>
      <c r="H147" s="442">
        <v>1384.34</v>
      </c>
      <c r="I147" s="442">
        <v>1384.34</v>
      </c>
      <c r="J147" s="444">
        <f t="shared" si="79"/>
        <v>1</v>
      </c>
      <c r="K147" s="443">
        <v>1397.37</v>
      </c>
      <c r="L147" s="444">
        <f t="shared" si="80"/>
        <v>1.0094124275828191</v>
      </c>
      <c r="M147" s="443">
        <v>13.03</v>
      </c>
      <c r="N147" s="444">
        <f t="shared" si="81"/>
        <v>9.4124275828192504E-3</v>
      </c>
      <c r="O147" s="445">
        <f t="shared" si="82"/>
        <v>1410.3999999999999</v>
      </c>
      <c r="P147" s="444">
        <f t="shared" si="83"/>
        <v>1.0188248551656385</v>
      </c>
      <c r="Q147" s="442">
        <v>1.87</v>
      </c>
      <c r="R147" s="444">
        <f t="shared" si="84"/>
        <v>1.3508242194836531E-3</v>
      </c>
      <c r="S147" s="445">
        <f t="shared" si="85"/>
        <v>26.059999999999945</v>
      </c>
      <c r="T147" s="444">
        <f t="shared" si="86"/>
        <v>1.8824855165638459E-2</v>
      </c>
      <c r="U147" s="364">
        <f t="shared" si="87"/>
        <v>16311.996399999964</v>
      </c>
      <c r="V147" s="459">
        <f t="shared" si="88"/>
        <v>24.189999999999944</v>
      </c>
      <c r="W147" s="460">
        <f t="shared" si="89"/>
        <v>1.7474030946154809E-2</v>
      </c>
      <c r="X147" s="461">
        <f t="shared" si="90"/>
        <v>15141.488599999964</v>
      </c>
      <c r="Y147" s="366" t="s">
        <v>417</v>
      </c>
      <c r="Z147" s="366" t="s">
        <v>337</v>
      </c>
      <c r="AA147" s="367" t="s">
        <v>586</v>
      </c>
      <c r="AB147" s="380" t="s">
        <v>587</v>
      </c>
      <c r="AC147" s="367">
        <v>1</v>
      </c>
      <c r="AD147" s="446" t="s">
        <v>697</v>
      </c>
      <c r="AH147" s="370"/>
    </row>
    <row r="148" spans="2:39" s="147" customFormat="1" ht="27" customHeight="1">
      <c r="B148" s="894"/>
      <c r="C148" s="895"/>
      <c r="D148" s="361">
        <v>10</v>
      </c>
      <c r="E148" s="440" t="s">
        <v>461</v>
      </c>
      <c r="F148" s="441">
        <f t="shared" si="78"/>
        <v>1170.2138</v>
      </c>
      <c r="G148" s="365">
        <v>407.74000000000007</v>
      </c>
      <c r="H148" s="442">
        <v>1133.27</v>
      </c>
      <c r="I148" s="442">
        <v>1133.27</v>
      </c>
      <c r="J148" s="444">
        <f t="shared" si="79"/>
        <v>1</v>
      </c>
      <c r="K148" s="443">
        <v>1145.3699999999999</v>
      </c>
      <c r="L148" s="444">
        <f t="shared" si="80"/>
        <v>1.0106770672478755</v>
      </c>
      <c r="M148" s="443">
        <v>12.1</v>
      </c>
      <c r="N148" s="444">
        <f t="shared" si="81"/>
        <v>1.0677067247875616E-2</v>
      </c>
      <c r="O148" s="445">
        <f t="shared" si="82"/>
        <v>1157.4699999999998</v>
      </c>
      <c r="P148" s="444">
        <f t="shared" si="83"/>
        <v>1.0213541344957511</v>
      </c>
      <c r="Q148" s="442">
        <v>2.8699999999999997</v>
      </c>
      <c r="R148" s="444">
        <f t="shared" si="84"/>
        <v>2.5324944629258692E-3</v>
      </c>
      <c r="S148" s="445">
        <f t="shared" si="85"/>
        <v>24.199999999999818</v>
      </c>
      <c r="T148" s="444">
        <f t="shared" si="86"/>
        <v>2.1354134495751072E-2</v>
      </c>
      <c r="U148" s="364">
        <f t="shared" si="87"/>
        <v>9867.3079999999281</v>
      </c>
      <c r="V148" s="459">
        <f t="shared" si="88"/>
        <v>21.329999999999817</v>
      </c>
      <c r="W148" s="460">
        <f t="shared" si="89"/>
        <v>1.8821640032825201E-2</v>
      </c>
      <c r="X148" s="461">
        <f t="shared" si="90"/>
        <v>8697.0941999999268</v>
      </c>
      <c r="Y148" s="366" t="s">
        <v>417</v>
      </c>
      <c r="Z148" s="366" t="s">
        <v>337</v>
      </c>
      <c r="AA148" s="367" t="s">
        <v>751</v>
      </c>
      <c r="AB148" s="367" t="s">
        <v>752</v>
      </c>
      <c r="AC148" s="367">
        <v>1</v>
      </c>
      <c r="AD148" s="446" t="s">
        <v>463</v>
      </c>
      <c r="AH148" s="370"/>
    </row>
    <row r="149" spans="2:39" s="147" customFormat="1" ht="27" customHeight="1">
      <c r="B149" s="894"/>
      <c r="C149" s="895"/>
      <c r="D149" s="361">
        <v>11</v>
      </c>
      <c r="E149" s="440" t="s">
        <v>619</v>
      </c>
      <c r="F149" s="441">
        <f t="shared" si="78"/>
        <v>1048.1678999999997</v>
      </c>
      <c r="G149" s="365">
        <v>39.389999999999993</v>
      </c>
      <c r="H149" s="442">
        <v>6360.1100000000006</v>
      </c>
      <c r="I149" s="442">
        <v>6360.1100000000006</v>
      </c>
      <c r="J149" s="444">
        <f t="shared" si="79"/>
        <v>1</v>
      </c>
      <c r="K149" s="443">
        <v>6489.25</v>
      </c>
      <c r="L149" s="444">
        <f t="shared" si="80"/>
        <v>1.0203046802649638</v>
      </c>
      <c r="M149" s="443">
        <v>129.14000000000001</v>
      </c>
      <c r="N149" s="444">
        <f t="shared" si="81"/>
        <v>2.0304680264963973E-2</v>
      </c>
      <c r="O149" s="445">
        <f t="shared" si="82"/>
        <v>6618.39</v>
      </c>
      <c r="P149" s="444">
        <f t="shared" si="83"/>
        <v>1.0406093605299278</v>
      </c>
      <c r="Q149" s="442">
        <v>26.609999999999996</v>
      </c>
      <c r="R149" s="444">
        <f t="shared" si="84"/>
        <v>4.183889901275291E-3</v>
      </c>
      <c r="S149" s="445">
        <f t="shared" si="85"/>
        <v>258.27999999999975</v>
      </c>
      <c r="T149" s="444">
        <f t="shared" si="86"/>
        <v>4.0609360529927897E-2</v>
      </c>
      <c r="U149" s="364">
        <f t="shared" si="87"/>
        <v>10173.649199999989</v>
      </c>
      <c r="V149" s="459">
        <f t="shared" si="88"/>
        <v>231.66999999999976</v>
      </c>
      <c r="W149" s="460">
        <f t="shared" si="89"/>
        <v>3.6425470628652611E-2</v>
      </c>
      <c r="X149" s="461">
        <f t="shared" si="90"/>
        <v>9125.4812999999886</v>
      </c>
      <c r="Y149" s="366" t="s">
        <v>417</v>
      </c>
      <c r="Z149" s="366" t="s">
        <v>216</v>
      </c>
      <c r="AA149" s="367" t="s">
        <v>746</v>
      </c>
      <c r="AB149" s="367" t="s">
        <v>747</v>
      </c>
      <c r="AC149" s="367">
        <v>1</v>
      </c>
      <c r="AD149" s="446" t="s">
        <v>614</v>
      </c>
      <c r="AH149" s="370"/>
    </row>
    <row r="150" spans="2:39" s="147" customFormat="1" ht="26.25" customHeight="1">
      <c r="B150" s="894"/>
      <c r="C150" s="895"/>
      <c r="D150" s="361">
        <v>12</v>
      </c>
      <c r="E150" s="440" t="s">
        <v>581</v>
      </c>
      <c r="F150" s="441">
        <f t="shared" si="78"/>
        <v>1008.1899999999999</v>
      </c>
      <c r="G150" s="365">
        <v>24.59</v>
      </c>
      <c r="H150" s="442">
        <v>12663</v>
      </c>
      <c r="I150" s="442">
        <v>12663</v>
      </c>
      <c r="J150" s="444">
        <f t="shared" si="79"/>
        <v>1</v>
      </c>
      <c r="K150" s="443">
        <v>12710</v>
      </c>
      <c r="L150" s="444">
        <f t="shared" si="80"/>
        <v>1.0037116007265261</v>
      </c>
      <c r="M150" s="443">
        <v>0</v>
      </c>
      <c r="N150" s="444">
        <f t="shared" si="81"/>
        <v>0</v>
      </c>
      <c r="O150" s="445">
        <f t="shared" si="82"/>
        <v>12710</v>
      </c>
      <c r="P150" s="444">
        <f t="shared" si="83"/>
        <v>1.0037116007265261</v>
      </c>
      <c r="Q150" s="442">
        <v>41</v>
      </c>
      <c r="R150" s="444">
        <f t="shared" si="84"/>
        <v>3.2377793571823424E-3</v>
      </c>
      <c r="S150" s="445">
        <f t="shared" si="85"/>
        <v>47</v>
      </c>
      <c r="T150" s="444">
        <f t="shared" si="86"/>
        <v>3.7116007265260995E-3</v>
      </c>
      <c r="U150" s="364">
        <f t="shared" si="87"/>
        <v>1155.73</v>
      </c>
      <c r="V150" s="459">
        <f t="shared" si="88"/>
        <v>6</v>
      </c>
      <c r="W150" s="460">
        <f t="shared" si="89"/>
        <v>4.7382136934375743E-4</v>
      </c>
      <c r="X150" s="461">
        <f t="shared" si="90"/>
        <v>147.54</v>
      </c>
      <c r="Y150" s="366" t="s">
        <v>417</v>
      </c>
      <c r="Z150" s="366" t="s">
        <v>337</v>
      </c>
      <c r="AA150" s="367" t="s">
        <v>585</v>
      </c>
      <c r="AB150" s="367" t="s">
        <v>656</v>
      </c>
      <c r="AC150" s="367">
        <v>1</v>
      </c>
      <c r="AD150" s="446" t="s">
        <v>566</v>
      </c>
      <c r="AH150" s="370"/>
    </row>
    <row r="151" spans="2:39" s="147" customFormat="1" ht="27" customHeight="1">
      <c r="B151" s="894"/>
      <c r="C151" s="895"/>
      <c r="D151" s="361">
        <v>13</v>
      </c>
      <c r="E151" s="440" t="s">
        <v>797</v>
      </c>
      <c r="F151" s="441">
        <f t="shared" si="78"/>
        <v>1006.1415000000001</v>
      </c>
      <c r="G151" s="365">
        <v>122.85000000000001</v>
      </c>
      <c r="H151" s="442">
        <v>1025.47</v>
      </c>
      <c r="I151" s="442">
        <v>1025.47</v>
      </c>
      <c r="J151" s="444">
        <f t="shared" si="79"/>
        <v>1</v>
      </c>
      <c r="K151" s="443">
        <v>1052.31</v>
      </c>
      <c r="L151" s="444">
        <f t="shared" si="80"/>
        <v>1.0261733644085151</v>
      </c>
      <c r="M151" s="443">
        <v>26.840000000000003</v>
      </c>
      <c r="N151" s="444">
        <f t="shared" si="81"/>
        <v>2.6173364408515122E-2</v>
      </c>
      <c r="O151" s="445">
        <f t="shared" si="82"/>
        <v>1079.1499999999999</v>
      </c>
      <c r="P151" s="444">
        <f t="shared" si="83"/>
        <v>1.0523467288170301</v>
      </c>
      <c r="Q151" s="442">
        <v>8.19</v>
      </c>
      <c r="R151" s="444">
        <f t="shared" si="84"/>
        <v>7.9865817625088976E-3</v>
      </c>
      <c r="S151" s="445">
        <f t="shared" si="85"/>
        <v>53.679999999999836</v>
      </c>
      <c r="T151" s="444">
        <f t="shared" si="86"/>
        <v>5.2346728817030078E-2</v>
      </c>
      <c r="U151" s="364">
        <f t="shared" si="87"/>
        <v>6594.5879999999806</v>
      </c>
      <c r="V151" s="459">
        <f t="shared" si="88"/>
        <v>45.489999999999839</v>
      </c>
      <c r="W151" s="460">
        <f t="shared" si="89"/>
        <v>4.4360147054521182E-2</v>
      </c>
      <c r="X151" s="461">
        <f t="shared" si="90"/>
        <v>5588.4464999999809</v>
      </c>
      <c r="Y151" s="366" t="s">
        <v>417</v>
      </c>
      <c r="Z151" s="366" t="s">
        <v>445</v>
      </c>
      <c r="AA151" s="367" t="s">
        <v>810</v>
      </c>
      <c r="AB151" s="367" t="s">
        <v>569</v>
      </c>
      <c r="AC151" s="367">
        <v>1</v>
      </c>
      <c r="AD151" s="446" t="s">
        <v>710</v>
      </c>
    </row>
    <row r="152" spans="2:39" s="147" customFormat="1" ht="27" customHeight="1">
      <c r="B152" s="894"/>
      <c r="C152" s="895"/>
      <c r="D152" s="361">
        <v>14</v>
      </c>
      <c r="E152" s="440" t="s">
        <v>598</v>
      </c>
      <c r="F152" s="441">
        <f t="shared" si="78"/>
        <v>996.6</v>
      </c>
      <c r="G152" s="365">
        <v>6.04</v>
      </c>
      <c r="H152" s="442">
        <v>5944</v>
      </c>
      <c r="I152" s="442">
        <v>5944</v>
      </c>
      <c r="J152" s="444">
        <f t="shared" si="79"/>
        <v>1</v>
      </c>
      <c r="K152" s="443">
        <v>6109</v>
      </c>
      <c r="L152" s="444">
        <f t="shared" si="80"/>
        <v>1.0277590847913862</v>
      </c>
      <c r="M152" s="443">
        <v>0</v>
      </c>
      <c r="N152" s="444">
        <f t="shared" si="81"/>
        <v>0</v>
      </c>
      <c r="O152" s="445">
        <f t="shared" si="82"/>
        <v>6109</v>
      </c>
      <c r="P152" s="444">
        <f t="shared" si="83"/>
        <v>1.0277590847913862</v>
      </c>
      <c r="Q152" s="442">
        <v>165</v>
      </c>
      <c r="R152" s="444">
        <f t="shared" si="84"/>
        <v>2.7759084791386272E-2</v>
      </c>
      <c r="S152" s="445">
        <f t="shared" si="85"/>
        <v>165</v>
      </c>
      <c r="T152" s="444">
        <f t="shared" si="86"/>
        <v>2.7759084791386272E-2</v>
      </c>
      <c r="U152" s="364">
        <f t="shared" si="87"/>
        <v>996.6</v>
      </c>
      <c r="V152" s="459">
        <f t="shared" si="88"/>
        <v>0</v>
      </c>
      <c r="W152" s="460">
        <f t="shared" si="89"/>
        <v>0</v>
      </c>
      <c r="X152" s="461">
        <f t="shared" si="90"/>
        <v>0</v>
      </c>
      <c r="Y152" s="366" t="s">
        <v>417</v>
      </c>
      <c r="Z152" s="366" t="s">
        <v>337</v>
      </c>
      <c r="AA152" s="366" t="s">
        <v>604</v>
      </c>
      <c r="AB152" s="367" t="s">
        <v>455</v>
      </c>
      <c r="AC152" s="367">
        <v>1</v>
      </c>
      <c r="AD152" s="446" t="s">
        <v>508</v>
      </c>
    </row>
    <row r="153" spans="2:39" s="147" customFormat="1" ht="27" customHeight="1">
      <c r="B153" s="894"/>
      <c r="C153" s="895"/>
      <c r="D153" s="361">
        <v>15</v>
      </c>
      <c r="E153" s="440" t="s">
        <v>568</v>
      </c>
      <c r="F153" s="441">
        <f t="shared" si="78"/>
        <v>986.5856</v>
      </c>
      <c r="G153" s="365">
        <v>40.04</v>
      </c>
      <c r="H153" s="442">
        <v>3448.98</v>
      </c>
      <c r="I153" s="442">
        <v>3448.98</v>
      </c>
      <c r="J153" s="444">
        <f t="shared" si="79"/>
        <v>1</v>
      </c>
      <c r="K153" s="443">
        <v>3553.7</v>
      </c>
      <c r="L153" s="444">
        <f t="shared" si="80"/>
        <v>1.0303625999570887</v>
      </c>
      <c r="M153" s="443">
        <v>104.72</v>
      </c>
      <c r="N153" s="444">
        <f t="shared" si="81"/>
        <v>3.0362599957088763E-2</v>
      </c>
      <c r="O153" s="445">
        <f t="shared" si="82"/>
        <v>3658.4199999999996</v>
      </c>
      <c r="P153" s="444">
        <f t="shared" si="83"/>
        <v>1.0607251999141774</v>
      </c>
      <c r="Q153" s="442">
        <v>24.64</v>
      </c>
      <c r="R153" s="444">
        <f t="shared" si="84"/>
        <v>7.1441411663738267E-3</v>
      </c>
      <c r="S153" s="445">
        <f t="shared" si="85"/>
        <v>209.4399999999996</v>
      </c>
      <c r="T153" s="444">
        <f t="shared" si="86"/>
        <v>6.0725199914177408E-2</v>
      </c>
      <c r="U153" s="364">
        <f t="shared" si="87"/>
        <v>8385.9775999999838</v>
      </c>
      <c r="V153" s="459">
        <f t="shared" si="88"/>
        <v>184.79999999999961</v>
      </c>
      <c r="W153" s="460">
        <f t="shared" si="89"/>
        <v>5.3581058747803584E-2</v>
      </c>
      <c r="X153" s="461">
        <f t="shared" si="90"/>
        <v>7399.3919999999844</v>
      </c>
      <c r="Y153" s="366" t="s">
        <v>417</v>
      </c>
      <c r="Z153" s="366" t="s">
        <v>216</v>
      </c>
      <c r="AA153" s="367" t="s">
        <v>746</v>
      </c>
      <c r="AB153" s="367" t="s">
        <v>747</v>
      </c>
      <c r="AC153" s="367">
        <v>1</v>
      </c>
      <c r="AD153" s="446" t="s">
        <v>533</v>
      </c>
    </row>
    <row r="154" spans="2:39" s="147" customFormat="1" ht="27" customHeight="1">
      <c r="B154" s="894"/>
      <c r="C154" s="895"/>
      <c r="D154" s="361">
        <v>16</v>
      </c>
      <c r="E154" s="440" t="s">
        <v>798</v>
      </c>
      <c r="F154" s="441">
        <f t="shared" si="78"/>
        <v>980.5548</v>
      </c>
      <c r="G154" s="365">
        <v>79.98</v>
      </c>
      <c r="H154" s="442">
        <v>635.69999999999993</v>
      </c>
      <c r="I154" s="442">
        <v>635.69999999999993</v>
      </c>
      <c r="J154" s="444">
        <f t="shared" si="79"/>
        <v>1</v>
      </c>
      <c r="K154" s="443">
        <v>650.25</v>
      </c>
      <c r="L154" s="444">
        <f t="shared" si="80"/>
        <v>1.0228881547899953</v>
      </c>
      <c r="M154" s="443">
        <v>12.52</v>
      </c>
      <c r="N154" s="444">
        <f t="shared" si="81"/>
        <v>1.9694824602800063E-2</v>
      </c>
      <c r="O154" s="445">
        <f t="shared" si="82"/>
        <v>662.77</v>
      </c>
      <c r="P154" s="444">
        <f t="shared" si="83"/>
        <v>1.0425829793927954</v>
      </c>
      <c r="Q154" s="442">
        <v>12.26</v>
      </c>
      <c r="R154" s="444">
        <f t="shared" si="84"/>
        <v>1.9285826647789838E-2</v>
      </c>
      <c r="S154" s="445">
        <f t="shared" si="85"/>
        <v>27.07000000000005</v>
      </c>
      <c r="T154" s="444">
        <f t="shared" si="86"/>
        <v>4.2582979392795428E-2</v>
      </c>
      <c r="U154" s="364">
        <f t="shared" si="87"/>
        <v>2165.0586000000039</v>
      </c>
      <c r="V154" s="459">
        <f t="shared" si="88"/>
        <v>14.81000000000005</v>
      </c>
      <c r="W154" s="460">
        <f t="shared" si="89"/>
        <v>2.3297152745005587E-2</v>
      </c>
      <c r="X154" s="461">
        <f t="shared" si="90"/>
        <v>1184.503800000004</v>
      </c>
      <c r="Y154" s="366" t="s">
        <v>417</v>
      </c>
      <c r="Z154" s="366" t="s">
        <v>445</v>
      </c>
      <c r="AA154" s="380" t="s">
        <v>811</v>
      </c>
      <c r="AB154" s="367" t="s">
        <v>812</v>
      </c>
      <c r="AC154" s="367">
        <v>1</v>
      </c>
      <c r="AD154" s="446" t="s">
        <v>580</v>
      </c>
    </row>
    <row r="155" spans="2:39" s="147" customFormat="1" ht="27" customHeight="1">
      <c r="B155" s="894"/>
      <c r="C155" s="895"/>
      <c r="D155" s="361">
        <v>17</v>
      </c>
      <c r="E155" s="440" t="s">
        <v>738</v>
      </c>
      <c r="F155" s="441">
        <f t="shared" si="78"/>
        <v>964.15539999999976</v>
      </c>
      <c r="G155" s="365">
        <v>91.13</v>
      </c>
      <c r="H155" s="442">
        <v>1281.8400000000001</v>
      </c>
      <c r="I155" s="442">
        <v>1281.8400000000001</v>
      </c>
      <c r="J155" s="444">
        <f t="shared" si="79"/>
        <v>1</v>
      </c>
      <c r="K155" s="443">
        <v>1317.8300000000002</v>
      </c>
      <c r="L155" s="444">
        <f t="shared" si="80"/>
        <v>1.0280768270610996</v>
      </c>
      <c r="M155" s="443">
        <v>35.989999999999995</v>
      </c>
      <c r="N155" s="444">
        <f t="shared" si="81"/>
        <v>2.8076827061099662E-2</v>
      </c>
      <c r="O155" s="445">
        <f t="shared" si="82"/>
        <v>1353.8200000000002</v>
      </c>
      <c r="P155" s="444">
        <f t="shared" si="83"/>
        <v>1.0561536541221994</v>
      </c>
      <c r="Q155" s="442">
        <v>10.579999999999998</v>
      </c>
      <c r="R155" s="444">
        <f t="shared" si="84"/>
        <v>8.253760219684202E-3</v>
      </c>
      <c r="S155" s="445">
        <f t="shared" si="85"/>
        <v>71.980000000000018</v>
      </c>
      <c r="T155" s="444">
        <f t="shared" si="86"/>
        <v>5.6153654122199345E-2</v>
      </c>
      <c r="U155" s="364">
        <f t="shared" si="87"/>
        <v>6559.5374000000011</v>
      </c>
      <c r="V155" s="459">
        <f t="shared" si="88"/>
        <v>61.40000000000002</v>
      </c>
      <c r="W155" s="460">
        <f t="shared" si="89"/>
        <v>4.7899893902515145E-2</v>
      </c>
      <c r="X155" s="461">
        <f t="shared" si="90"/>
        <v>5595.3820000000014</v>
      </c>
      <c r="Y155" s="366" t="s">
        <v>417</v>
      </c>
      <c r="Z155" s="366" t="s">
        <v>445</v>
      </c>
      <c r="AA155" s="367" t="s">
        <v>546</v>
      </c>
      <c r="AB155" s="367" t="s">
        <v>454</v>
      </c>
      <c r="AC155" s="367">
        <v>1</v>
      </c>
      <c r="AD155" s="446" t="s">
        <v>710</v>
      </c>
    </row>
    <row r="156" spans="2:39" s="147" customFormat="1" ht="27" customHeight="1">
      <c r="B156" s="894"/>
      <c r="C156" s="895"/>
      <c r="D156" s="361">
        <v>18</v>
      </c>
      <c r="E156" s="440" t="s">
        <v>800</v>
      </c>
      <c r="F156" s="441">
        <f t="shared" si="78"/>
        <v>954.94</v>
      </c>
      <c r="G156" s="365">
        <v>2.66</v>
      </c>
      <c r="H156" s="442">
        <v>19930</v>
      </c>
      <c r="I156" s="442">
        <v>19930</v>
      </c>
      <c r="J156" s="444">
        <f t="shared" si="79"/>
        <v>1</v>
      </c>
      <c r="K156" s="443">
        <v>20289</v>
      </c>
      <c r="L156" s="444">
        <f t="shared" si="80"/>
        <v>1.0180130456598093</v>
      </c>
      <c r="M156" s="443">
        <v>0</v>
      </c>
      <c r="N156" s="444">
        <f t="shared" si="81"/>
        <v>0</v>
      </c>
      <c r="O156" s="445">
        <f t="shared" si="82"/>
        <v>20289</v>
      </c>
      <c r="P156" s="444">
        <f t="shared" si="83"/>
        <v>1.0180130456598093</v>
      </c>
      <c r="Q156" s="442">
        <v>359</v>
      </c>
      <c r="R156" s="444">
        <f t="shared" si="84"/>
        <v>1.8013045659809334E-2</v>
      </c>
      <c r="S156" s="445">
        <f t="shared" si="85"/>
        <v>359</v>
      </c>
      <c r="T156" s="444">
        <f t="shared" si="86"/>
        <v>1.8013045659809334E-2</v>
      </c>
      <c r="U156" s="364">
        <f t="shared" si="87"/>
        <v>954.94</v>
      </c>
      <c r="V156" s="459">
        <f t="shared" si="88"/>
        <v>0</v>
      </c>
      <c r="W156" s="460">
        <f t="shared" si="89"/>
        <v>0</v>
      </c>
      <c r="X156" s="461">
        <f t="shared" si="90"/>
        <v>0</v>
      </c>
      <c r="Y156" s="366" t="s">
        <v>417</v>
      </c>
      <c r="Z156" s="366" t="s">
        <v>337</v>
      </c>
      <c r="AA156" s="380" t="s">
        <v>813</v>
      </c>
      <c r="AB156" s="367" t="s">
        <v>814</v>
      </c>
      <c r="AC156" s="367">
        <v>1</v>
      </c>
      <c r="AD156" s="446" t="s">
        <v>433</v>
      </c>
    </row>
    <row r="157" spans="2:39" s="147" customFormat="1" ht="27" customHeight="1">
      <c r="B157" s="894"/>
      <c r="C157" s="895"/>
      <c r="D157" s="361">
        <v>19</v>
      </c>
      <c r="E157" s="440" t="s">
        <v>618</v>
      </c>
      <c r="F157" s="441">
        <f t="shared" si="78"/>
        <v>952.64</v>
      </c>
      <c r="G157" s="365">
        <v>2.08</v>
      </c>
      <c r="H157" s="442">
        <v>24828</v>
      </c>
      <c r="I157" s="442">
        <v>24828</v>
      </c>
      <c r="J157" s="444">
        <f t="shared" si="79"/>
        <v>1</v>
      </c>
      <c r="K157" s="443">
        <v>25286</v>
      </c>
      <c r="L157" s="444">
        <f t="shared" si="80"/>
        <v>1.0184469147736426</v>
      </c>
      <c r="M157" s="443">
        <v>0</v>
      </c>
      <c r="N157" s="444">
        <f t="shared" si="81"/>
        <v>0</v>
      </c>
      <c r="O157" s="445">
        <f t="shared" si="82"/>
        <v>25286</v>
      </c>
      <c r="P157" s="444">
        <f t="shared" si="83"/>
        <v>1.0184469147736426</v>
      </c>
      <c r="Q157" s="442">
        <v>458</v>
      </c>
      <c r="R157" s="444">
        <f t="shared" si="84"/>
        <v>1.8446914773642662E-2</v>
      </c>
      <c r="S157" s="445">
        <f t="shared" si="85"/>
        <v>458</v>
      </c>
      <c r="T157" s="444">
        <f t="shared" si="86"/>
        <v>1.8446914773642662E-2</v>
      </c>
      <c r="U157" s="364">
        <f t="shared" si="87"/>
        <v>952.64</v>
      </c>
      <c r="V157" s="459">
        <f t="shared" si="88"/>
        <v>0</v>
      </c>
      <c r="W157" s="460">
        <f t="shared" si="89"/>
        <v>0</v>
      </c>
      <c r="X157" s="461">
        <f t="shared" si="90"/>
        <v>0</v>
      </c>
      <c r="Y157" s="366" t="s">
        <v>417</v>
      </c>
      <c r="Z157" s="366" t="s">
        <v>445</v>
      </c>
      <c r="AA157" s="367" t="s">
        <v>623</v>
      </c>
      <c r="AB157" s="367" t="s">
        <v>605</v>
      </c>
      <c r="AC157" s="367">
        <v>1</v>
      </c>
      <c r="AD157" s="446" t="s">
        <v>530</v>
      </c>
    </row>
    <row r="158" spans="2:39" s="147" customFormat="1" ht="27" customHeight="1">
      <c r="B158" s="896"/>
      <c r="C158" s="897"/>
      <c r="D158" s="361">
        <v>20</v>
      </c>
      <c r="E158" s="440" t="s">
        <v>799</v>
      </c>
      <c r="F158" s="441">
        <f t="shared" si="78"/>
        <v>950.63539999999978</v>
      </c>
      <c r="G158" s="365">
        <v>170.05999999999997</v>
      </c>
      <c r="H158" s="442">
        <v>160.23000000000002</v>
      </c>
      <c r="I158" s="442">
        <v>160.23000000000002</v>
      </c>
      <c r="J158" s="444">
        <f t="shared" si="79"/>
        <v>1</v>
      </c>
      <c r="K158" s="443">
        <v>171.47000000000003</v>
      </c>
      <c r="L158" s="444">
        <f t="shared" si="80"/>
        <v>1.070149160581664</v>
      </c>
      <c r="M158" s="443">
        <v>11.24</v>
      </c>
      <c r="N158" s="444">
        <f t="shared" si="81"/>
        <v>7.0149160581663858E-2</v>
      </c>
      <c r="O158" s="445">
        <f t="shared" si="82"/>
        <v>182.71000000000004</v>
      </c>
      <c r="P158" s="444">
        <f t="shared" si="83"/>
        <v>1.1402983211633277</v>
      </c>
      <c r="Q158" s="442">
        <v>5.59</v>
      </c>
      <c r="R158" s="444">
        <f t="shared" si="84"/>
        <v>3.4887349435186912E-2</v>
      </c>
      <c r="S158" s="445">
        <f t="shared" si="85"/>
        <v>22.480000000000018</v>
      </c>
      <c r="T158" s="444">
        <f t="shared" si="86"/>
        <v>0.14029832116332783</v>
      </c>
      <c r="U158" s="364">
        <f t="shared" si="87"/>
        <v>3822.9488000000024</v>
      </c>
      <c r="V158" s="459">
        <f t="shared" si="88"/>
        <v>16.890000000000018</v>
      </c>
      <c r="W158" s="460">
        <f t="shared" si="89"/>
        <v>0.1054109717281409</v>
      </c>
      <c r="X158" s="461">
        <f t="shared" si="90"/>
        <v>2872.3134000000027</v>
      </c>
      <c r="Y158" s="366" t="s">
        <v>417</v>
      </c>
      <c r="Z158" s="366" t="s">
        <v>445</v>
      </c>
      <c r="AA158" s="367" t="s">
        <v>749</v>
      </c>
      <c r="AB158" s="367" t="s">
        <v>455</v>
      </c>
      <c r="AC158" s="367">
        <v>1</v>
      </c>
      <c r="AD158" s="446" t="s">
        <v>710</v>
      </c>
    </row>
    <row r="159" spans="2:39" ht="16.5" customHeight="1">
      <c r="B159" s="898" t="s">
        <v>442</v>
      </c>
      <c r="C159" s="899"/>
      <c r="D159" s="902" t="s">
        <v>549</v>
      </c>
      <c r="E159" s="903" t="s">
        <v>550</v>
      </c>
      <c r="F159" s="904" t="s">
        <v>551</v>
      </c>
      <c r="G159" s="881" t="s">
        <v>552</v>
      </c>
      <c r="H159" s="905" t="s">
        <v>553</v>
      </c>
      <c r="I159" s="906" t="s">
        <v>554</v>
      </c>
      <c r="J159" s="907"/>
      <c r="K159" s="906" t="s">
        <v>555</v>
      </c>
      <c r="L159" s="907"/>
      <c r="M159" s="906" t="s">
        <v>556</v>
      </c>
      <c r="N159" s="907"/>
      <c r="O159" s="906" t="s">
        <v>557</v>
      </c>
      <c r="P159" s="907"/>
      <c r="Q159" s="906" t="s">
        <v>418</v>
      </c>
      <c r="R159" s="907"/>
      <c r="S159" s="908" t="s">
        <v>419</v>
      </c>
      <c r="T159" s="909"/>
      <c r="U159" s="910"/>
      <c r="V159" s="911" t="s">
        <v>742</v>
      </c>
      <c r="W159" s="912"/>
      <c r="X159" s="913"/>
      <c r="Y159" s="914" t="s">
        <v>171</v>
      </c>
      <c r="Z159" s="914" t="s">
        <v>245</v>
      </c>
      <c r="AA159" s="914" t="s">
        <v>558</v>
      </c>
      <c r="AB159" s="914" t="s">
        <v>444</v>
      </c>
      <c r="AC159" s="914" t="s">
        <v>246</v>
      </c>
      <c r="AD159" s="881" t="s">
        <v>172</v>
      </c>
      <c r="AF159" s="883" t="s">
        <v>247</v>
      </c>
      <c r="AG159" s="884"/>
      <c r="AH159" s="884"/>
      <c r="AI159" s="884"/>
      <c r="AJ159" s="884"/>
      <c r="AK159" s="884"/>
      <c r="AL159" s="884"/>
      <c r="AM159" s="885"/>
    </row>
    <row r="160" spans="2:39">
      <c r="B160" s="900"/>
      <c r="C160" s="901"/>
      <c r="D160" s="902"/>
      <c r="E160" s="902"/>
      <c r="F160" s="904"/>
      <c r="G160" s="882"/>
      <c r="H160" s="882"/>
      <c r="I160" s="439" t="s">
        <v>559</v>
      </c>
      <c r="J160" s="362" t="s">
        <v>560</v>
      </c>
      <c r="K160" s="439" t="s">
        <v>559</v>
      </c>
      <c r="L160" s="362" t="s">
        <v>560</v>
      </c>
      <c r="M160" s="439" t="s">
        <v>559</v>
      </c>
      <c r="N160" s="362" t="s">
        <v>560</v>
      </c>
      <c r="O160" s="439" t="s">
        <v>559</v>
      </c>
      <c r="P160" s="362" t="s">
        <v>560</v>
      </c>
      <c r="Q160" s="439" t="s">
        <v>559</v>
      </c>
      <c r="R160" s="362" t="s">
        <v>560</v>
      </c>
      <c r="S160" s="439" t="s">
        <v>559</v>
      </c>
      <c r="T160" s="362" t="s">
        <v>560</v>
      </c>
      <c r="U160" s="362" t="s">
        <v>561</v>
      </c>
      <c r="V160" s="439" t="s">
        <v>559</v>
      </c>
      <c r="W160" s="362" t="s">
        <v>560</v>
      </c>
      <c r="X160" s="362" t="s">
        <v>561</v>
      </c>
      <c r="Y160" s="915"/>
      <c r="Z160" s="915"/>
      <c r="AA160" s="915"/>
      <c r="AB160" s="915"/>
      <c r="AC160" s="915"/>
      <c r="AD160" s="882"/>
      <c r="AF160" s="886"/>
      <c r="AG160" s="887"/>
      <c r="AH160" s="887"/>
      <c r="AI160" s="887"/>
      <c r="AJ160" s="887"/>
      <c r="AK160" s="887"/>
      <c r="AL160" s="887"/>
      <c r="AM160" s="888"/>
    </row>
    <row r="161" spans="2:39" s="147" customFormat="1" ht="27" customHeight="1">
      <c r="B161" s="892" t="s">
        <v>828</v>
      </c>
      <c r="C161" s="893"/>
      <c r="D161" s="361">
        <v>1</v>
      </c>
      <c r="E161" s="440" t="s">
        <v>448</v>
      </c>
      <c r="F161" s="441">
        <f>IFERROR(Q161*G161,"-")</f>
        <v>2741.5499999999997</v>
      </c>
      <c r="G161" s="365">
        <v>2.4499999999999997</v>
      </c>
      <c r="H161" s="442">
        <v>161721</v>
      </c>
      <c r="I161" s="442">
        <v>161721</v>
      </c>
      <c r="J161" s="444">
        <f>IFERROR(I161/H161,"-")</f>
        <v>1</v>
      </c>
      <c r="K161" s="442">
        <v>162840</v>
      </c>
      <c r="L161" s="444">
        <f>IFERROR(K161/H161,"-")</f>
        <v>1.006919324020999</v>
      </c>
      <c r="M161" s="443">
        <v>0</v>
      </c>
      <c r="N161" s="444">
        <f>IFERROR(M161/H161,"-")</f>
        <v>0</v>
      </c>
      <c r="O161" s="445">
        <f>IFERROR(K161+M161,"-")</f>
        <v>162840</v>
      </c>
      <c r="P161" s="444">
        <f>IFERROR(O161/H161,"-")</f>
        <v>1.006919324020999</v>
      </c>
      <c r="Q161" s="442">
        <v>1119</v>
      </c>
      <c r="R161" s="444">
        <f>IFERROR(Q161/H161,"-")</f>
        <v>6.9193240209991279E-3</v>
      </c>
      <c r="S161" s="445">
        <f>IFERROR(O161-H161,"-")</f>
        <v>1119</v>
      </c>
      <c r="T161" s="444">
        <f>IFERROR(S161/H161,"-")</f>
        <v>6.9193240209991279E-3</v>
      </c>
      <c r="U161" s="364">
        <f>IFERROR(S161*G161,"-")</f>
        <v>2741.5499999999997</v>
      </c>
      <c r="V161" s="459">
        <f>S161-Q161</f>
        <v>0</v>
      </c>
      <c r="W161" s="460">
        <f>IFERROR(V161/H161,"-")</f>
        <v>0</v>
      </c>
      <c r="X161" s="461">
        <f>IFERROR(V161*G161,"-")</f>
        <v>0</v>
      </c>
      <c r="Y161" s="366" t="s">
        <v>417</v>
      </c>
      <c r="Z161" s="366" t="s">
        <v>337</v>
      </c>
      <c r="AA161" s="367"/>
      <c r="AB161" s="367"/>
      <c r="AC161" s="367">
        <v>1</v>
      </c>
      <c r="AD161" s="446" t="s">
        <v>340</v>
      </c>
      <c r="AF161" s="889"/>
      <c r="AG161" s="890"/>
      <c r="AH161" s="890"/>
      <c r="AI161" s="890"/>
      <c r="AJ161" s="890"/>
      <c r="AK161" s="890"/>
      <c r="AL161" s="890"/>
      <c r="AM161" s="891"/>
    </row>
    <row r="162" spans="2:39" s="147" customFormat="1" ht="27" customHeight="1">
      <c r="B162" s="894"/>
      <c r="C162" s="895"/>
      <c r="D162" s="361">
        <v>2</v>
      </c>
      <c r="E162" s="440" t="s">
        <v>447</v>
      </c>
      <c r="F162" s="441">
        <f t="shared" ref="F162:F180" si="93">IFERROR(Q162*G162,"-")</f>
        <v>2272.14</v>
      </c>
      <c r="G162" s="365">
        <v>1.17</v>
      </c>
      <c r="H162" s="442">
        <v>268518</v>
      </c>
      <c r="I162" s="442">
        <v>268518</v>
      </c>
      <c r="J162" s="444">
        <f t="shared" ref="J162:J180" si="94">IFERROR(I162/H162,"-")</f>
        <v>1</v>
      </c>
      <c r="K162" s="442">
        <v>270460</v>
      </c>
      <c r="L162" s="444">
        <f t="shared" ref="L162:L180" si="95">IFERROR(K162/H162,"-")</f>
        <v>1.0072322898278701</v>
      </c>
      <c r="M162" s="443">
        <v>0</v>
      </c>
      <c r="N162" s="444">
        <f t="shared" ref="N162:N180" si="96">IFERROR(M162/H162,"-")</f>
        <v>0</v>
      </c>
      <c r="O162" s="445">
        <f t="shared" ref="O162:O180" si="97">IFERROR(K162+M162,"-")</f>
        <v>270460</v>
      </c>
      <c r="P162" s="444">
        <f t="shared" ref="P162:P180" si="98">IFERROR(O162/H162,"-")</f>
        <v>1.0072322898278701</v>
      </c>
      <c r="Q162" s="442">
        <v>1942</v>
      </c>
      <c r="R162" s="444">
        <f t="shared" ref="R162:R180" si="99">IFERROR(Q162/H162,"-")</f>
        <v>7.2322898278700124E-3</v>
      </c>
      <c r="S162" s="445">
        <f t="shared" ref="S162:S180" si="100">IFERROR(O162-H162,"-")</f>
        <v>1942</v>
      </c>
      <c r="T162" s="444">
        <f t="shared" ref="T162:T180" si="101">IFERROR(S162/H162,"-")</f>
        <v>7.2322898278700124E-3</v>
      </c>
      <c r="U162" s="364">
        <f t="shared" ref="U162:U180" si="102">IFERROR(S162*G162,"-")</f>
        <v>2272.14</v>
      </c>
      <c r="V162" s="459">
        <f t="shared" ref="V162:V180" si="103">S162-Q162</f>
        <v>0</v>
      </c>
      <c r="W162" s="460">
        <f t="shared" ref="W162:W180" si="104">IFERROR(V162/H162,"-")</f>
        <v>0</v>
      </c>
      <c r="X162" s="461">
        <f t="shared" ref="X162:X180" si="105">IFERROR(V162*G162,"-")</f>
        <v>0</v>
      </c>
      <c r="Y162" s="366" t="s">
        <v>417</v>
      </c>
      <c r="Z162" s="366" t="s">
        <v>337</v>
      </c>
      <c r="AA162" s="367"/>
      <c r="AB162" s="367"/>
      <c r="AC162" s="367">
        <v>1</v>
      </c>
      <c r="AD162" s="446" t="s">
        <v>340</v>
      </c>
      <c r="AF162" s="160" t="s">
        <v>244</v>
      </c>
      <c r="AG162" s="160" t="s">
        <v>445</v>
      </c>
      <c r="AH162" s="155" t="s">
        <v>562</v>
      </c>
      <c r="AI162" s="155" t="s">
        <v>337</v>
      </c>
      <c r="AJ162" s="155" t="s">
        <v>428</v>
      </c>
      <c r="AK162" s="155" t="s">
        <v>215</v>
      </c>
      <c r="AL162" s="155" t="s">
        <v>216</v>
      </c>
      <c r="AM162" s="155" t="s">
        <v>384</v>
      </c>
    </row>
    <row r="163" spans="2:39" s="147" customFormat="1" ht="27" customHeight="1">
      <c r="B163" s="894"/>
      <c r="C163" s="895"/>
      <c r="D163" s="361">
        <v>3</v>
      </c>
      <c r="E163" s="440" t="s">
        <v>335</v>
      </c>
      <c r="F163" s="441">
        <f t="shared" si="93"/>
        <v>2101.2000000000003</v>
      </c>
      <c r="G163" s="365">
        <v>15.450000000000001</v>
      </c>
      <c r="H163" s="442">
        <v>67586</v>
      </c>
      <c r="I163" s="442">
        <v>67586</v>
      </c>
      <c r="J163" s="444">
        <f t="shared" si="94"/>
        <v>1</v>
      </c>
      <c r="K163" s="442">
        <v>67745</v>
      </c>
      <c r="L163" s="444">
        <f t="shared" si="95"/>
        <v>1.0023525582221171</v>
      </c>
      <c r="M163" s="443">
        <v>0</v>
      </c>
      <c r="N163" s="444">
        <f t="shared" si="96"/>
        <v>0</v>
      </c>
      <c r="O163" s="445">
        <f t="shared" si="97"/>
        <v>67745</v>
      </c>
      <c r="P163" s="444">
        <f t="shared" si="98"/>
        <v>1.0023525582221171</v>
      </c>
      <c r="Q163" s="442">
        <v>136</v>
      </c>
      <c r="R163" s="444">
        <f t="shared" si="99"/>
        <v>2.0122510579114019E-3</v>
      </c>
      <c r="S163" s="445">
        <f t="shared" si="100"/>
        <v>159</v>
      </c>
      <c r="T163" s="444">
        <f t="shared" si="101"/>
        <v>2.3525582221170065E-3</v>
      </c>
      <c r="U163" s="364">
        <f t="shared" si="102"/>
        <v>2456.5500000000002</v>
      </c>
      <c r="V163" s="459">
        <f t="shared" si="103"/>
        <v>23</v>
      </c>
      <c r="W163" s="460">
        <f t="shared" si="104"/>
        <v>3.4030716420560471E-4</v>
      </c>
      <c r="X163" s="461">
        <f t="shared" si="105"/>
        <v>355.35</v>
      </c>
      <c r="Y163" s="366" t="s">
        <v>417</v>
      </c>
      <c r="Z163" s="366" t="s">
        <v>216</v>
      </c>
      <c r="AA163" s="367"/>
      <c r="AB163" s="367"/>
      <c r="AC163" s="367">
        <v>1</v>
      </c>
      <c r="AD163" s="446" t="s">
        <v>523</v>
      </c>
      <c r="AF163" s="374">
        <f>SUM(AC161:AC180)</f>
        <v>20</v>
      </c>
      <c r="AG163" s="369">
        <f>SUMIF($Z$161:$Z$180,TRIM(AG162),$AC$161:$AC$180)</f>
        <v>9</v>
      </c>
      <c r="AH163" s="369">
        <f t="shared" ref="AH163:AM163" si="106">SUMIF($Z$161:$Z$180,TRIM(AH162),$AC$161:$AC$180)</f>
        <v>0</v>
      </c>
      <c r="AI163" s="369">
        <f t="shared" si="106"/>
        <v>6</v>
      </c>
      <c r="AJ163" s="369">
        <f t="shared" si="106"/>
        <v>0</v>
      </c>
      <c r="AK163" s="369">
        <f t="shared" si="106"/>
        <v>2</v>
      </c>
      <c r="AL163" s="369">
        <f t="shared" si="106"/>
        <v>3</v>
      </c>
      <c r="AM163" s="369">
        <f t="shared" si="106"/>
        <v>0</v>
      </c>
    </row>
    <row r="164" spans="2:39" s="147" customFormat="1" ht="27" customHeight="1">
      <c r="B164" s="894"/>
      <c r="C164" s="895"/>
      <c r="D164" s="361">
        <v>4</v>
      </c>
      <c r="E164" s="440" t="s">
        <v>795</v>
      </c>
      <c r="F164" s="441">
        <f t="shared" si="93"/>
        <v>1714.1280000000002</v>
      </c>
      <c r="G164" s="365">
        <v>52.26</v>
      </c>
      <c r="H164" s="442">
        <v>5567.94</v>
      </c>
      <c r="I164" s="442">
        <v>5567.94</v>
      </c>
      <c r="J164" s="444">
        <f t="shared" si="94"/>
        <v>1</v>
      </c>
      <c r="K164" s="442">
        <v>5680.57</v>
      </c>
      <c r="L164" s="444">
        <f t="shared" si="95"/>
        <v>1.0202283070579066</v>
      </c>
      <c r="M164" s="443">
        <v>112.63000000000001</v>
      </c>
      <c r="N164" s="444">
        <f t="shared" si="96"/>
        <v>2.0228307057906517E-2</v>
      </c>
      <c r="O164" s="445">
        <f t="shared" si="97"/>
        <v>5793.2</v>
      </c>
      <c r="P164" s="444">
        <f t="shared" si="98"/>
        <v>1.0404566141158131</v>
      </c>
      <c r="Q164" s="442">
        <v>32.800000000000004</v>
      </c>
      <c r="R164" s="444">
        <f t="shared" si="99"/>
        <v>5.8908680768830135E-3</v>
      </c>
      <c r="S164" s="445">
        <f t="shared" si="100"/>
        <v>225.26000000000022</v>
      </c>
      <c r="T164" s="444">
        <f t="shared" si="101"/>
        <v>4.0456614115813069E-2</v>
      </c>
      <c r="U164" s="364">
        <f t="shared" si="102"/>
        <v>11772.087600000012</v>
      </c>
      <c r="V164" s="459">
        <f t="shared" si="103"/>
        <v>192.46000000000021</v>
      </c>
      <c r="W164" s="460">
        <f t="shared" si="104"/>
        <v>3.4565746038930055E-2</v>
      </c>
      <c r="X164" s="461">
        <f t="shared" si="105"/>
        <v>10057.959600000011</v>
      </c>
      <c r="Y164" s="366" t="s">
        <v>417</v>
      </c>
      <c r="Z164" s="366" t="s">
        <v>216</v>
      </c>
      <c r="AA164" s="367"/>
      <c r="AB164" s="367"/>
      <c r="AC164" s="367">
        <v>1</v>
      </c>
      <c r="AD164" s="446" t="s">
        <v>776</v>
      </c>
      <c r="AF164" s="375" t="s">
        <v>11</v>
      </c>
      <c r="AG164" s="372">
        <f>SUMIF($Z$161:$Z180,TRIM(AG162),$F$161:$F$180)</f>
        <v>9777.4308000000037</v>
      </c>
      <c r="AH164" s="372">
        <f>SUMIF($Z$161:$Z180,TRIM(AH162),$F$161:$F$180)</f>
        <v>0</v>
      </c>
      <c r="AI164" s="372">
        <f>SUMIF($Z$161:$Z180,TRIM(AI162),$F$161:$F$180)</f>
        <v>10109.269</v>
      </c>
      <c r="AJ164" s="372">
        <f>SUMIF($Z$161:$Z180,TRIM(AJ162),$F$161:$F$180)</f>
        <v>0</v>
      </c>
      <c r="AK164" s="372">
        <f>SUMIF($Z$161:$Z180,TRIM(AK162),$F$161:$F$180)</f>
        <v>2642.8573000000006</v>
      </c>
      <c r="AL164" s="372">
        <f>SUMIF($Z$161:$Z180,TRIM(AL162),$F$161:$F$180)</f>
        <v>5259.3654000000006</v>
      </c>
      <c r="AM164" s="372">
        <f>SUMIF($Z$161:$Z180,TRIM(AM162),$F$161:$F$180)</f>
        <v>0</v>
      </c>
    </row>
    <row r="165" spans="2:39" s="147" customFormat="1" ht="27" customHeight="1">
      <c r="B165" s="894"/>
      <c r="C165" s="895"/>
      <c r="D165" s="361">
        <v>5</v>
      </c>
      <c r="E165" s="440" t="s">
        <v>692</v>
      </c>
      <c r="F165" s="441">
        <f t="shared" si="93"/>
        <v>1652.4815999999998</v>
      </c>
      <c r="G165" s="365">
        <v>625.94000000000005</v>
      </c>
      <c r="H165" s="442">
        <v>1693.99</v>
      </c>
      <c r="I165" s="442">
        <v>1693.99</v>
      </c>
      <c r="J165" s="444">
        <f t="shared" si="94"/>
        <v>1</v>
      </c>
      <c r="K165" s="442">
        <v>1709.8799999999999</v>
      </c>
      <c r="L165" s="444">
        <f t="shared" si="95"/>
        <v>1.0093802206624596</v>
      </c>
      <c r="M165" s="443">
        <v>15.89</v>
      </c>
      <c r="N165" s="444">
        <f t="shared" si="96"/>
        <v>9.3802206624596374E-3</v>
      </c>
      <c r="O165" s="445">
        <f t="shared" si="97"/>
        <v>1725.77</v>
      </c>
      <c r="P165" s="444">
        <f t="shared" si="98"/>
        <v>1.0187604413249192</v>
      </c>
      <c r="Q165" s="442">
        <v>2.6399999999999997</v>
      </c>
      <c r="R165" s="444">
        <f t="shared" si="99"/>
        <v>1.5584507582689388E-3</v>
      </c>
      <c r="S165" s="445">
        <f t="shared" si="100"/>
        <v>31.779999999999973</v>
      </c>
      <c r="T165" s="444">
        <f t="shared" si="101"/>
        <v>1.8760441324919257E-2</v>
      </c>
      <c r="U165" s="364">
        <f t="shared" si="102"/>
        <v>19892.373199999984</v>
      </c>
      <c r="V165" s="459">
        <f t="shared" si="103"/>
        <v>29.139999999999972</v>
      </c>
      <c r="W165" s="460">
        <f t="shared" si="104"/>
        <v>1.7201990566650317E-2</v>
      </c>
      <c r="X165" s="461">
        <f t="shared" si="105"/>
        <v>18239.891599999984</v>
      </c>
      <c r="Y165" s="366" t="s">
        <v>417</v>
      </c>
      <c r="Z165" s="366" t="s">
        <v>337</v>
      </c>
      <c r="AA165" s="367"/>
      <c r="AB165" s="367"/>
      <c r="AC165" s="367">
        <v>1</v>
      </c>
      <c r="AD165" s="446" t="s">
        <v>697</v>
      </c>
      <c r="AF165" s="361" t="s">
        <v>563</v>
      </c>
      <c r="AG165" s="447">
        <f>AG163/$AF163</f>
        <v>0.45</v>
      </c>
      <c r="AH165" s="447">
        <f t="shared" ref="AH165:AM165" si="107">AH163/$AF163</f>
        <v>0</v>
      </c>
      <c r="AI165" s="447">
        <f t="shared" si="107"/>
        <v>0.3</v>
      </c>
      <c r="AJ165" s="447">
        <f t="shared" si="107"/>
        <v>0</v>
      </c>
      <c r="AK165" s="447">
        <f t="shared" si="107"/>
        <v>0.1</v>
      </c>
      <c r="AL165" s="447">
        <f t="shared" si="107"/>
        <v>0.15</v>
      </c>
      <c r="AM165" s="447">
        <f t="shared" si="107"/>
        <v>0</v>
      </c>
    </row>
    <row r="166" spans="2:39" s="147" customFormat="1" ht="27" customHeight="1">
      <c r="B166" s="894"/>
      <c r="C166" s="895"/>
      <c r="D166" s="361">
        <v>6</v>
      </c>
      <c r="E166" s="440" t="s">
        <v>336</v>
      </c>
      <c r="F166" s="441">
        <f t="shared" si="93"/>
        <v>1593.7183000000005</v>
      </c>
      <c r="G166" s="365">
        <v>147.43000000000004</v>
      </c>
      <c r="H166" s="442">
        <v>4892.96</v>
      </c>
      <c r="I166" s="442">
        <v>4892.96</v>
      </c>
      <c r="J166" s="444">
        <f t="shared" si="94"/>
        <v>1</v>
      </c>
      <c r="K166" s="442">
        <v>4976.6400000000003</v>
      </c>
      <c r="L166" s="444">
        <f t="shared" si="95"/>
        <v>1.017102122232759</v>
      </c>
      <c r="M166" s="443">
        <v>83.68</v>
      </c>
      <c r="N166" s="444">
        <f t="shared" si="96"/>
        <v>1.7102122232758903E-2</v>
      </c>
      <c r="O166" s="445">
        <f t="shared" si="97"/>
        <v>5060.3200000000006</v>
      </c>
      <c r="P166" s="444">
        <f t="shared" si="98"/>
        <v>1.034204244465518</v>
      </c>
      <c r="Q166" s="442">
        <v>10.81</v>
      </c>
      <c r="R166" s="444">
        <f t="shared" si="99"/>
        <v>2.2092966220856086E-3</v>
      </c>
      <c r="S166" s="445">
        <f t="shared" si="100"/>
        <v>167.36000000000058</v>
      </c>
      <c r="T166" s="444">
        <f t="shared" si="101"/>
        <v>3.4204244465517925E-2</v>
      </c>
      <c r="U166" s="364">
        <f t="shared" si="102"/>
        <v>24673.884800000091</v>
      </c>
      <c r="V166" s="459">
        <f t="shared" si="103"/>
        <v>156.55000000000058</v>
      </c>
      <c r="W166" s="460">
        <f t="shared" si="104"/>
        <v>3.1994947843432313E-2</v>
      </c>
      <c r="X166" s="461">
        <f t="shared" si="105"/>
        <v>23080.16650000009</v>
      </c>
      <c r="Y166" s="366" t="s">
        <v>417</v>
      </c>
      <c r="Z166" s="366" t="s">
        <v>215</v>
      </c>
      <c r="AA166" s="367"/>
      <c r="AB166" s="367"/>
      <c r="AC166" s="367">
        <v>1</v>
      </c>
      <c r="AD166" s="446" t="s">
        <v>340</v>
      </c>
    </row>
    <row r="167" spans="2:39" s="147" customFormat="1" ht="27" customHeight="1">
      <c r="B167" s="894"/>
      <c r="C167" s="895"/>
      <c r="D167" s="361">
        <v>7</v>
      </c>
      <c r="E167" s="440" t="s">
        <v>534</v>
      </c>
      <c r="F167" s="441">
        <f t="shared" si="93"/>
        <v>1444.0373999999997</v>
      </c>
      <c r="G167" s="365">
        <v>39.389999999999993</v>
      </c>
      <c r="H167" s="442">
        <v>30859.499999999996</v>
      </c>
      <c r="I167" s="442">
        <v>30859.499999999996</v>
      </c>
      <c r="J167" s="444">
        <f t="shared" si="94"/>
        <v>1</v>
      </c>
      <c r="K167" s="442">
        <v>31027.140000000007</v>
      </c>
      <c r="L167" s="444">
        <f t="shared" si="95"/>
        <v>1.0054323628056194</v>
      </c>
      <c r="M167" s="443">
        <v>167.64</v>
      </c>
      <c r="N167" s="444">
        <f t="shared" si="96"/>
        <v>5.4323628056190155E-3</v>
      </c>
      <c r="O167" s="445">
        <f t="shared" si="97"/>
        <v>31194.780000000006</v>
      </c>
      <c r="P167" s="444">
        <f t="shared" si="98"/>
        <v>1.0108647256112384</v>
      </c>
      <c r="Q167" s="442">
        <v>36.659999999999997</v>
      </c>
      <c r="R167" s="444">
        <f t="shared" si="99"/>
        <v>1.1879648082438147E-3</v>
      </c>
      <c r="S167" s="445">
        <f t="shared" si="100"/>
        <v>335.28000000000975</v>
      </c>
      <c r="T167" s="444">
        <f t="shared" si="101"/>
        <v>1.0864725611238347E-2</v>
      </c>
      <c r="U167" s="364">
        <f t="shared" si="102"/>
        <v>13206.679200000382</v>
      </c>
      <c r="V167" s="459">
        <f t="shared" si="103"/>
        <v>298.62000000000978</v>
      </c>
      <c r="W167" s="460">
        <f t="shared" si="104"/>
        <v>9.6767608029945332E-3</v>
      </c>
      <c r="X167" s="461">
        <f t="shared" si="105"/>
        <v>11762.641800000383</v>
      </c>
      <c r="Y167" s="366" t="s">
        <v>417</v>
      </c>
      <c r="Z167" s="366" t="s">
        <v>216</v>
      </c>
      <c r="AA167" s="367"/>
      <c r="AB167" s="367"/>
      <c r="AC167" s="367">
        <v>1</v>
      </c>
      <c r="AD167" s="446" t="s">
        <v>340</v>
      </c>
    </row>
    <row r="168" spans="2:39" s="147" customFormat="1" ht="27" customHeight="1">
      <c r="B168" s="894"/>
      <c r="C168" s="895"/>
      <c r="D168" s="361">
        <v>8</v>
      </c>
      <c r="E168" s="440" t="s">
        <v>386</v>
      </c>
      <c r="F168" s="441">
        <f t="shared" si="93"/>
        <v>1371.7232000000001</v>
      </c>
      <c r="G168" s="365">
        <v>127.84000000000002</v>
      </c>
      <c r="H168" s="442">
        <v>4503.34</v>
      </c>
      <c r="I168" s="442">
        <v>4503.34</v>
      </c>
      <c r="J168" s="444">
        <f t="shared" si="94"/>
        <v>1</v>
      </c>
      <c r="K168" s="442">
        <v>4558.92</v>
      </c>
      <c r="L168" s="444">
        <f t="shared" si="95"/>
        <v>1.0123419506410798</v>
      </c>
      <c r="M168" s="443">
        <v>55.579999999999991</v>
      </c>
      <c r="N168" s="444">
        <f t="shared" si="96"/>
        <v>1.234195064107973E-2</v>
      </c>
      <c r="O168" s="445">
        <f t="shared" si="97"/>
        <v>4614.5</v>
      </c>
      <c r="P168" s="444">
        <f t="shared" si="98"/>
        <v>1.0246839012821594</v>
      </c>
      <c r="Q168" s="442">
        <v>10.73</v>
      </c>
      <c r="R168" s="444">
        <f t="shared" si="99"/>
        <v>2.3826759693916072E-3</v>
      </c>
      <c r="S168" s="445">
        <f t="shared" si="100"/>
        <v>111.15999999999985</v>
      </c>
      <c r="T168" s="444">
        <f t="shared" si="101"/>
        <v>2.4683901282159432E-2</v>
      </c>
      <c r="U168" s="364">
        <f t="shared" si="102"/>
        <v>14210.694399999984</v>
      </c>
      <c r="V168" s="459">
        <f t="shared" si="103"/>
        <v>100.42999999999985</v>
      </c>
      <c r="W168" s="460">
        <f t="shared" si="104"/>
        <v>2.2301225312767823E-2</v>
      </c>
      <c r="X168" s="461">
        <f t="shared" si="105"/>
        <v>12838.971199999982</v>
      </c>
      <c r="Y168" s="366" t="s">
        <v>417</v>
      </c>
      <c r="Z168" s="366" t="s">
        <v>445</v>
      </c>
      <c r="AA168" s="367"/>
      <c r="AB168" s="367"/>
      <c r="AC168" s="367">
        <v>1</v>
      </c>
      <c r="AD168" s="446" t="s">
        <v>340</v>
      </c>
    </row>
    <row r="169" spans="2:39" s="147" customFormat="1" ht="27" customHeight="1">
      <c r="B169" s="894"/>
      <c r="C169" s="895"/>
      <c r="D169" s="361">
        <v>9</v>
      </c>
      <c r="E169" s="440" t="s">
        <v>461</v>
      </c>
      <c r="F169" s="441">
        <f t="shared" si="93"/>
        <v>1341.4646</v>
      </c>
      <c r="G169" s="365">
        <v>407.74</v>
      </c>
      <c r="H169" s="442">
        <v>1287.45</v>
      </c>
      <c r="I169" s="442">
        <v>1287.45</v>
      </c>
      <c r="J169" s="444">
        <f t="shared" si="94"/>
        <v>1</v>
      </c>
      <c r="K169" s="442">
        <v>1301.3799999999999</v>
      </c>
      <c r="L169" s="444">
        <f t="shared" si="95"/>
        <v>1.0108198376635984</v>
      </c>
      <c r="M169" s="443">
        <v>13.929999999999998</v>
      </c>
      <c r="N169" s="444">
        <f t="shared" si="96"/>
        <v>1.0819837663598585E-2</v>
      </c>
      <c r="O169" s="445">
        <f t="shared" si="97"/>
        <v>1315.31</v>
      </c>
      <c r="P169" s="444">
        <f t="shared" si="98"/>
        <v>1.021639675327197</v>
      </c>
      <c r="Q169" s="442">
        <v>3.29</v>
      </c>
      <c r="R169" s="444">
        <f t="shared" si="99"/>
        <v>2.5554390461765505E-3</v>
      </c>
      <c r="S169" s="445">
        <f t="shared" si="100"/>
        <v>27.8599999999999</v>
      </c>
      <c r="T169" s="444">
        <f t="shared" si="101"/>
        <v>2.1639675327197093E-2</v>
      </c>
      <c r="U169" s="364">
        <f t="shared" si="102"/>
        <v>11359.636399999959</v>
      </c>
      <c r="V169" s="459">
        <f t="shared" si="103"/>
        <v>24.569999999999901</v>
      </c>
      <c r="W169" s="460">
        <f t="shared" si="104"/>
        <v>1.9084236281020545E-2</v>
      </c>
      <c r="X169" s="461">
        <f t="shared" si="105"/>
        <v>10018.17179999996</v>
      </c>
      <c r="Y169" s="366" t="s">
        <v>417</v>
      </c>
      <c r="Z169" s="366" t="s">
        <v>337</v>
      </c>
      <c r="AA169" s="367"/>
      <c r="AB169" s="380"/>
      <c r="AC169" s="367">
        <v>1</v>
      </c>
      <c r="AD169" s="446" t="s">
        <v>463</v>
      </c>
      <c r="AH169" s="370"/>
    </row>
    <row r="170" spans="2:39" s="147" customFormat="1" ht="27" customHeight="1">
      <c r="B170" s="894"/>
      <c r="C170" s="895"/>
      <c r="D170" s="361">
        <v>10</v>
      </c>
      <c r="E170" s="440" t="s">
        <v>583</v>
      </c>
      <c r="F170" s="441">
        <f t="shared" si="93"/>
        <v>1052.6768000000004</v>
      </c>
      <c r="G170" s="365">
        <v>113.68000000000004</v>
      </c>
      <c r="H170" s="442">
        <v>1387.4</v>
      </c>
      <c r="I170" s="442">
        <v>1387.4</v>
      </c>
      <c r="J170" s="444">
        <f t="shared" si="94"/>
        <v>1</v>
      </c>
      <c r="K170" s="442">
        <v>1422.74</v>
      </c>
      <c r="L170" s="444">
        <f t="shared" si="95"/>
        <v>1.0254721060977368</v>
      </c>
      <c r="M170" s="443">
        <v>35.340000000000003</v>
      </c>
      <c r="N170" s="444">
        <f t="shared" si="96"/>
        <v>2.5472106097736775E-2</v>
      </c>
      <c r="O170" s="445">
        <f t="shared" si="97"/>
        <v>1458.08</v>
      </c>
      <c r="P170" s="444">
        <f t="shared" si="98"/>
        <v>1.0509442121954735</v>
      </c>
      <c r="Q170" s="442">
        <v>9.26</v>
      </c>
      <c r="R170" s="444">
        <f t="shared" si="99"/>
        <v>6.6743549084618704E-3</v>
      </c>
      <c r="S170" s="445">
        <f t="shared" si="100"/>
        <v>70.679999999999836</v>
      </c>
      <c r="T170" s="444">
        <f t="shared" si="101"/>
        <v>5.0944212195473425E-2</v>
      </c>
      <c r="U170" s="364">
        <f t="shared" si="102"/>
        <v>8034.9023999999836</v>
      </c>
      <c r="V170" s="459">
        <f t="shared" si="103"/>
        <v>61.419999999999838</v>
      </c>
      <c r="W170" s="460">
        <f t="shared" si="104"/>
        <v>4.4269857287011556E-2</v>
      </c>
      <c r="X170" s="461">
        <f t="shared" si="105"/>
        <v>6982.2255999999834</v>
      </c>
      <c r="Y170" s="366" t="s">
        <v>417</v>
      </c>
      <c r="Z170" s="366" t="s">
        <v>445</v>
      </c>
      <c r="AA170" s="367"/>
      <c r="AB170" s="367"/>
      <c r="AC170" s="367">
        <v>1</v>
      </c>
      <c r="AD170" s="446" t="s">
        <v>566</v>
      </c>
      <c r="AH170" s="370"/>
    </row>
    <row r="171" spans="2:39" s="147" customFormat="1" ht="27" customHeight="1">
      <c r="B171" s="894"/>
      <c r="C171" s="895"/>
      <c r="D171" s="361">
        <v>11</v>
      </c>
      <c r="E171" s="440" t="s">
        <v>832</v>
      </c>
      <c r="F171" s="441">
        <f t="shared" si="93"/>
        <v>1052.4338</v>
      </c>
      <c r="G171" s="365">
        <v>335.17</v>
      </c>
      <c r="H171" s="442">
        <v>203.5</v>
      </c>
      <c r="I171" s="442">
        <v>203.5</v>
      </c>
      <c r="J171" s="444">
        <f t="shared" si="94"/>
        <v>1</v>
      </c>
      <c r="K171" s="442">
        <v>210.9</v>
      </c>
      <c r="L171" s="444">
        <f t="shared" si="95"/>
        <v>1.0363636363636364</v>
      </c>
      <c r="M171" s="443">
        <v>7.4</v>
      </c>
      <c r="N171" s="444">
        <f t="shared" si="96"/>
        <v>3.6363636363636369E-2</v>
      </c>
      <c r="O171" s="445">
        <f t="shared" si="97"/>
        <v>218.3</v>
      </c>
      <c r="P171" s="444">
        <f t="shared" si="98"/>
        <v>1.0727272727272728</v>
      </c>
      <c r="Q171" s="442">
        <v>3.14</v>
      </c>
      <c r="R171" s="444">
        <f t="shared" si="99"/>
        <v>1.5429975429975431E-2</v>
      </c>
      <c r="S171" s="445">
        <f t="shared" si="100"/>
        <v>14.800000000000011</v>
      </c>
      <c r="T171" s="444">
        <f t="shared" si="101"/>
        <v>7.2727272727272779E-2</v>
      </c>
      <c r="U171" s="364">
        <f t="shared" si="102"/>
        <v>4960.5160000000042</v>
      </c>
      <c r="V171" s="459">
        <f t="shared" si="103"/>
        <v>11.660000000000011</v>
      </c>
      <c r="W171" s="460">
        <f t="shared" si="104"/>
        <v>5.729729729729735E-2</v>
      </c>
      <c r="X171" s="461">
        <f t="shared" si="105"/>
        <v>3908.0822000000039</v>
      </c>
      <c r="Y171" s="366" t="s">
        <v>417</v>
      </c>
      <c r="Z171" s="366" t="s">
        <v>337</v>
      </c>
      <c r="AA171" s="367"/>
      <c r="AB171" s="367"/>
      <c r="AC171" s="367">
        <v>1</v>
      </c>
      <c r="AD171" s="446" t="s">
        <v>664</v>
      </c>
      <c r="AH171" s="370"/>
    </row>
    <row r="172" spans="2:39" s="147" customFormat="1" ht="26.25" customHeight="1">
      <c r="B172" s="894"/>
      <c r="C172" s="895"/>
      <c r="D172" s="361">
        <v>12</v>
      </c>
      <c r="E172" s="440" t="s">
        <v>635</v>
      </c>
      <c r="F172" s="441">
        <f t="shared" si="93"/>
        <v>1052.1984</v>
      </c>
      <c r="G172" s="365">
        <v>49.82</v>
      </c>
      <c r="H172" s="442">
        <v>3369</v>
      </c>
      <c r="I172" s="442">
        <v>3369</v>
      </c>
      <c r="J172" s="444">
        <f t="shared" si="94"/>
        <v>1</v>
      </c>
      <c r="K172" s="442">
        <v>3455.0400000000009</v>
      </c>
      <c r="L172" s="444">
        <f t="shared" si="95"/>
        <v>1.0255387355298311</v>
      </c>
      <c r="M172" s="443">
        <v>86.039999999999992</v>
      </c>
      <c r="N172" s="444">
        <f t="shared" si="96"/>
        <v>2.5538735529830808E-2</v>
      </c>
      <c r="O172" s="445">
        <f t="shared" si="97"/>
        <v>3541.0800000000008</v>
      </c>
      <c r="P172" s="444">
        <f t="shared" si="98"/>
        <v>1.0510774710596618</v>
      </c>
      <c r="Q172" s="442">
        <v>21.12</v>
      </c>
      <c r="R172" s="444">
        <f t="shared" si="99"/>
        <v>6.2689225289403383E-3</v>
      </c>
      <c r="S172" s="445">
        <f t="shared" si="100"/>
        <v>172.08000000000084</v>
      </c>
      <c r="T172" s="444">
        <f t="shared" si="101"/>
        <v>5.1077471059661872E-2</v>
      </c>
      <c r="U172" s="364">
        <f t="shared" si="102"/>
        <v>8573.0256000000409</v>
      </c>
      <c r="V172" s="459">
        <f t="shared" si="103"/>
        <v>150.96000000000083</v>
      </c>
      <c r="W172" s="460">
        <f t="shared" si="104"/>
        <v>4.4808548530721526E-2</v>
      </c>
      <c r="X172" s="461">
        <f t="shared" si="105"/>
        <v>7520.8272000000416</v>
      </c>
      <c r="Y172" s="366" t="s">
        <v>417</v>
      </c>
      <c r="Z172" s="366" t="s">
        <v>445</v>
      </c>
      <c r="AA172" s="367"/>
      <c r="AB172" s="367"/>
      <c r="AC172" s="367">
        <v>1</v>
      </c>
      <c r="AD172" s="446" t="s">
        <v>616</v>
      </c>
      <c r="AH172" s="370"/>
    </row>
    <row r="173" spans="2:39" s="147" customFormat="1" ht="27" customHeight="1">
      <c r="B173" s="894"/>
      <c r="C173" s="895"/>
      <c r="D173" s="361">
        <v>13</v>
      </c>
      <c r="E173" s="440" t="s">
        <v>830</v>
      </c>
      <c r="F173" s="441">
        <f t="shared" ref="F173:F179" si="108">IFERROR(Q173*G173,"-")</f>
        <v>1050.8832</v>
      </c>
      <c r="G173" s="365">
        <v>243.26</v>
      </c>
      <c r="H173" s="442">
        <v>244.5</v>
      </c>
      <c r="I173" s="442">
        <v>244.5</v>
      </c>
      <c r="J173" s="444">
        <f t="shared" ref="J173:J179" si="109">IFERROR(I173/H173,"-")</f>
        <v>1</v>
      </c>
      <c r="K173" s="442">
        <v>250.81</v>
      </c>
      <c r="L173" s="444">
        <f t="shared" ref="L173:L179" si="110">IFERROR(K173/H173,"-")</f>
        <v>1.0258077709611453</v>
      </c>
      <c r="M173" s="443">
        <v>6.3100000000000005</v>
      </c>
      <c r="N173" s="444">
        <f t="shared" ref="N173:N179" si="111">IFERROR(M173/H173,"-")</f>
        <v>2.5807770961145195E-2</v>
      </c>
      <c r="O173" s="445">
        <f t="shared" ref="O173:O179" si="112">IFERROR(K173+M173,"-")</f>
        <v>257.12</v>
      </c>
      <c r="P173" s="444">
        <f t="shared" ref="P173:P179" si="113">IFERROR(O173/H173,"-")</f>
        <v>1.0516155419222903</v>
      </c>
      <c r="Q173" s="442">
        <v>4.32</v>
      </c>
      <c r="R173" s="444">
        <f t="shared" ref="R173:R179" si="114">IFERROR(Q173/H173,"-")</f>
        <v>1.7668711656441721E-2</v>
      </c>
      <c r="S173" s="445">
        <f t="shared" ref="S173:S179" si="115">IFERROR(O173-H173,"-")</f>
        <v>12.620000000000005</v>
      </c>
      <c r="T173" s="444">
        <f t="shared" ref="T173:T179" si="116">IFERROR(S173/H173,"-")</f>
        <v>5.1615541922290405E-2</v>
      </c>
      <c r="U173" s="364">
        <f t="shared" ref="U173:U179" si="117">IFERROR(S173*G173,"-")</f>
        <v>3069.9412000000011</v>
      </c>
      <c r="V173" s="459">
        <f t="shared" ref="V173:V179" si="118">S173-Q173</f>
        <v>8.3000000000000043</v>
      </c>
      <c r="W173" s="460">
        <f t="shared" ref="W173:W179" si="119">IFERROR(V173/H173,"-")</f>
        <v>3.3946830265848688E-2</v>
      </c>
      <c r="X173" s="461">
        <f t="shared" ref="X173:X179" si="120">IFERROR(V173*G173,"-")</f>
        <v>2019.0580000000009</v>
      </c>
      <c r="Y173" s="366" t="s">
        <v>417</v>
      </c>
      <c r="Z173" s="366" t="s">
        <v>445</v>
      </c>
      <c r="AA173" s="366"/>
      <c r="AB173" s="367"/>
      <c r="AC173" s="367">
        <v>1</v>
      </c>
      <c r="AD173" s="446" t="s">
        <v>710</v>
      </c>
    </row>
    <row r="174" spans="2:39" s="147" customFormat="1" ht="27" customHeight="1">
      <c r="B174" s="894"/>
      <c r="C174" s="895"/>
      <c r="D174" s="361">
        <v>14</v>
      </c>
      <c r="E174" s="440" t="s">
        <v>833</v>
      </c>
      <c r="F174" s="441">
        <f t="shared" si="108"/>
        <v>1050.43</v>
      </c>
      <c r="G174" s="365">
        <v>1.67</v>
      </c>
      <c r="H174" s="442">
        <v>17805</v>
      </c>
      <c r="I174" s="442">
        <v>17805</v>
      </c>
      <c r="J174" s="444">
        <f t="shared" si="109"/>
        <v>1</v>
      </c>
      <c r="K174" s="442">
        <v>18434</v>
      </c>
      <c r="L174" s="444">
        <f t="shared" si="110"/>
        <v>1.0353271552934569</v>
      </c>
      <c r="M174" s="443">
        <v>0</v>
      </c>
      <c r="N174" s="444">
        <f t="shared" si="111"/>
        <v>0</v>
      </c>
      <c r="O174" s="445">
        <f t="shared" si="112"/>
        <v>18434</v>
      </c>
      <c r="P174" s="444">
        <f t="shared" si="113"/>
        <v>1.0353271552934569</v>
      </c>
      <c r="Q174" s="442">
        <v>629</v>
      </c>
      <c r="R174" s="444">
        <f t="shared" si="114"/>
        <v>3.5327155293456897E-2</v>
      </c>
      <c r="S174" s="445">
        <f t="shared" si="115"/>
        <v>629</v>
      </c>
      <c r="T174" s="444">
        <f t="shared" si="116"/>
        <v>3.5327155293456897E-2</v>
      </c>
      <c r="U174" s="364">
        <f t="shared" si="117"/>
        <v>1050.43</v>
      </c>
      <c r="V174" s="459">
        <f t="shared" si="118"/>
        <v>0</v>
      </c>
      <c r="W174" s="460">
        <f t="shared" si="119"/>
        <v>0</v>
      </c>
      <c r="X174" s="461">
        <f>IFERROR(V174*G174,"-")</f>
        <v>0</v>
      </c>
      <c r="Y174" s="366" t="s">
        <v>417</v>
      </c>
      <c r="Z174" s="366" t="s">
        <v>445</v>
      </c>
      <c r="AA174" s="367"/>
      <c r="AB174" s="367"/>
      <c r="AC174" s="367">
        <v>1</v>
      </c>
      <c r="AD174" s="446" t="s">
        <v>507</v>
      </c>
    </row>
    <row r="175" spans="2:39" s="147" customFormat="1" ht="27" customHeight="1">
      <c r="B175" s="894"/>
      <c r="C175" s="895"/>
      <c r="D175" s="361">
        <v>15</v>
      </c>
      <c r="E175" s="440" t="s">
        <v>668</v>
      </c>
      <c r="F175" s="441">
        <f t="shared" si="108"/>
        <v>1050.3744000000002</v>
      </c>
      <c r="G175" s="365">
        <v>108.96000000000001</v>
      </c>
      <c r="H175" s="442">
        <v>530.2399999999999</v>
      </c>
      <c r="I175" s="442">
        <v>530.2399999999999</v>
      </c>
      <c r="J175" s="444">
        <f t="shared" si="109"/>
        <v>1</v>
      </c>
      <c r="K175" s="442">
        <v>546.78</v>
      </c>
      <c r="L175" s="444">
        <f t="shared" si="110"/>
        <v>1.0311934218467111</v>
      </c>
      <c r="M175" s="443">
        <v>16.54</v>
      </c>
      <c r="N175" s="444">
        <f t="shared" si="111"/>
        <v>3.1193421846710929E-2</v>
      </c>
      <c r="O175" s="445">
        <f t="shared" si="112"/>
        <v>563.31999999999994</v>
      </c>
      <c r="P175" s="444">
        <f t="shared" si="113"/>
        <v>1.0623868436934218</v>
      </c>
      <c r="Q175" s="442">
        <v>9.64</v>
      </c>
      <c r="R175" s="444">
        <f t="shared" si="114"/>
        <v>1.81804465902233E-2</v>
      </c>
      <c r="S175" s="445">
        <f t="shared" si="115"/>
        <v>33.080000000000041</v>
      </c>
      <c r="T175" s="444">
        <f t="shared" si="116"/>
        <v>6.2386843693421935E-2</v>
      </c>
      <c r="U175" s="364">
        <f t="shared" si="117"/>
        <v>3604.3968000000045</v>
      </c>
      <c r="V175" s="459">
        <f t="shared" si="118"/>
        <v>23.44000000000004</v>
      </c>
      <c r="W175" s="460">
        <f t="shared" si="119"/>
        <v>4.4206397103198639E-2</v>
      </c>
      <c r="X175" s="461">
        <f t="shared" si="120"/>
        <v>2554.0224000000044</v>
      </c>
      <c r="Y175" s="366" t="s">
        <v>417</v>
      </c>
      <c r="Z175" s="366" t="s">
        <v>445</v>
      </c>
      <c r="AA175" s="380"/>
      <c r="AB175" s="367"/>
      <c r="AC175" s="367">
        <v>1</v>
      </c>
      <c r="AD175" s="446" t="s">
        <v>650</v>
      </c>
    </row>
    <row r="176" spans="2:39" s="147" customFormat="1" ht="27" customHeight="1">
      <c r="B176" s="894"/>
      <c r="C176" s="895"/>
      <c r="D176" s="361">
        <v>16</v>
      </c>
      <c r="E176" s="440" t="s">
        <v>739</v>
      </c>
      <c r="F176" s="441">
        <f t="shared" si="108"/>
        <v>1049.8499999999999</v>
      </c>
      <c r="G176" s="365">
        <v>139.97999999999999</v>
      </c>
      <c r="H176" s="442">
        <v>510.00000000000006</v>
      </c>
      <c r="I176" s="442">
        <v>510.00000000000006</v>
      </c>
      <c r="J176" s="444">
        <f t="shared" si="109"/>
        <v>1</v>
      </c>
      <c r="K176" s="442">
        <v>522.99</v>
      </c>
      <c r="L176" s="444">
        <f t="shared" si="110"/>
        <v>1.0254705882352939</v>
      </c>
      <c r="M176" s="443">
        <v>12.990000000000002</v>
      </c>
      <c r="N176" s="444">
        <f t="shared" si="111"/>
        <v>2.547058823529412E-2</v>
      </c>
      <c r="O176" s="445">
        <f t="shared" si="112"/>
        <v>535.98</v>
      </c>
      <c r="P176" s="444">
        <f t="shared" si="113"/>
        <v>1.050941176470588</v>
      </c>
      <c r="Q176" s="442">
        <v>7.5</v>
      </c>
      <c r="R176" s="444">
        <f t="shared" si="114"/>
        <v>1.4705882352941175E-2</v>
      </c>
      <c r="S176" s="445">
        <f t="shared" si="115"/>
        <v>25.979999999999961</v>
      </c>
      <c r="T176" s="444">
        <f t="shared" si="116"/>
        <v>5.0941176470588156E-2</v>
      </c>
      <c r="U176" s="364">
        <f t="shared" si="117"/>
        <v>3636.6803999999943</v>
      </c>
      <c r="V176" s="459">
        <f t="shared" si="118"/>
        <v>18.479999999999961</v>
      </c>
      <c r="W176" s="460">
        <f t="shared" si="119"/>
        <v>3.6235294117646977E-2</v>
      </c>
      <c r="X176" s="461">
        <f t="shared" si="120"/>
        <v>2586.8303999999944</v>
      </c>
      <c r="Y176" s="366" t="s">
        <v>417</v>
      </c>
      <c r="Z176" s="366" t="s">
        <v>445</v>
      </c>
      <c r="AA176" s="367"/>
      <c r="AB176" s="367"/>
      <c r="AC176" s="367">
        <v>1</v>
      </c>
      <c r="AD176" s="446" t="s">
        <v>508</v>
      </c>
    </row>
    <row r="177" spans="2:39" s="147" customFormat="1" ht="27" customHeight="1">
      <c r="B177" s="894"/>
      <c r="C177" s="895"/>
      <c r="D177" s="361">
        <v>17</v>
      </c>
      <c r="E177" s="440" t="s">
        <v>831</v>
      </c>
      <c r="F177" s="441">
        <f t="shared" si="108"/>
        <v>1049.6902000000002</v>
      </c>
      <c r="G177" s="365">
        <v>98.470000000000013</v>
      </c>
      <c r="H177" s="442">
        <v>446.25</v>
      </c>
      <c r="I177" s="442">
        <v>446.25</v>
      </c>
      <c r="J177" s="444">
        <f t="shared" si="109"/>
        <v>1</v>
      </c>
      <c r="K177" s="442">
        <v>462</v>
      </c>
      <c r="L177" s="444">
        <f t="shared" si="110"/>
        <v>1.0352941176470589</v>
      </c>
      <c r="M177" s="443">
        <v>15.750000000000002</v>
      </c>
      <c r="N177" s="444">
        <f t="shared" si="111"/>
        <v>3.529411764705883E-2</v>
      </c>
      <c r="O177" s="445">
        <f t="shared" si="112"/>
        <v>477.75</v>
      </c>
      <c r="P177" s="444">
        <f t="shared" si="113"/>
        <v>1.0705882352941176</v>
      </c>
      <c r="Q177" s="442">
        <v>10.66</v>
      </c>
      <c r="R177" s="444">
        <f t="shared" si="114"/>
        <v>2.3887955182072828E-2</v>
      </c>
      <c r="S177" s="445">
        <f t="shared" si="115"/>
        <v>31.5</v>
      </c>
      <c r="T177" s="444">
        <f t="shared" si="116"/>
        <v>7.0588235294117646E-2</v>
      </c>
      <c r="U177" s="364">
        <f t="shared" si="117"/>
        <v>3101.8050000000003</v>
      </c>
      <c r="V177" s="459">
        <f t="shared" si="118"/>
        <v>20.84</v>
      </c>
      <c r="W177" s="460">
        <f t="shared" si="119"/>
        <v>4.6700280112044815E-2</v>
      </c>
      <c r="X177" s="461">
        <f t="shared" si="120"/>
        <v>2052.1148000000003</v>
      </c>
      <c r="Y177" s="366" t="s">
        <v>417</v>
      </c>
      <c r="Z177" s="366" t="s">
        <v>445</v>
      </c>
      <c r="AA177" s="380"/>
      <c r="AB177" s="367"/>
      <c r="AC177" s="367">
        <v>1</v>
      </c>
      <c r="AD177" s="446" t="s">
        <v>508</v>
      </c>
    </row>
    <row r="178" spans="2:39" s="147" customFormat="1" ht="27" customHeight="1">
      <c r="B178" s="894"/>
      <c r="C178" s="895"/>
      <c r="D178" s="361">
        <v>18</v>
      </c>
      <c r="E178" s="440" t="s">
        <v>462</v>
      </c>
      <c r="F178" s="441">
        <f t="shared" si="108"/>
        <v>1049.6046000000001</v>
      </c>
      <c r="G178" s="365">
        <v>160.49</v>
      </c>
      <c r="H178" s="442">
        <v>798.96</v>
      </c>
      <c r="I178" s="442">
        <v>798.96</v>
      </c>
      <c r="J178" s="444">
        <f t="shared" si="109"/>
        <v>1</v>
      </c>
      <c r="K178" s="442">
        <v>818.07</v>
      </c>
      <c r="L178" s="444">
        <f t="shared" si="110"/>
        <v>1.0239185941724243</v>
      </c>
      <c r="M178" s="443">
        <v>19.11</v>
      </c>
      <c r="N178" s="444">
        <f t="shared" si="111"/>
        <v>2.3918594172424149E-2</v>
      </c>
      <c r="O178" s="445">
        <f t="shared" si="112"/>
        <v>837.18000000000006</v>
      </c>
      <c r="P178" s="444">
        <f t="shared" si="113"/>
        <v>1.0478371883448483</v>
      </c>
      <c r="Q178" s="442">
        <v>6.54</v>
      </c>
      <c r="R178" s="444">
        <f t="shared" si="114"/>
        <v>8.1856413337338535E-3</v>
      </c>
      <c r="S178" s="445">
        <f t="shared" si="115"/>
        <v>38.220000000000027</v>
      </c>
      <c r="T178" s="444">
        <f t="shared" si="116"/>
        <v>4.7837188344848333E-2</v>
      </c>
      <c r="U178" s="364">
        <f t="shared" si="117"/>
        <v>6133.9278000000049</v>
      </c>
      <c r="V178" s="459">
        <f t="shared" si="118"/>
        <v>31.680000000000028</v>
      </c>
      <c r="W178" s="460">
        <f t="shared" si="119"/>
        <v>3.965154701111448E-2</v>
      </c>
      <c r="X178" s="461">
        <f t="shared" si="120"/>
        <v>5084.3232000000044</v>
      </c>
      <c r="Y178" s="366" t="s">
        <v>417</v>
      </c>
      <c r="Z178" s="366" t="s">
        <v>445</v>
      </c>
      <c r="AA178" s="367"/>
      <c r="AB178" s="367"/>
      <c r="AC178" s="367">
        <v>1</v>
      </c>
      <c r="AD178" s="446" t="s">
        <v>433</v>
      </c>
    </row>
    <row r="179" spans="2:39" s="147" customFormat="1" ht="27" customHeight="1">
      <c r="B179" s="894"/>
      <c r="C179" s="895"/>
      <c r="D179" s="361">
        <v>19</v>
      </c>
      <c r="E179" s="440" t="s">
        <v>834</v>
      </c>
      <c r="F179" s="441">
        <f t="shared" si="108"/>
        <v>1049.1990000000001</v>
      </c>
      <c r="G179" s="365">
        <v>368.13999999999993</v>
      </c>
      <c r="H179" s="442">
        <v>502.19</v>
      </c>
      <c r="I179" s="442">
        <v>502.19</v>
      </c>
      <c r="J179" s="444">
        <f t="shared" si="109"/>
        <v>1</v>
      </c>
      <c r="K179" s="442">
        <v>513.5</v>
      </c>
      <c r="L179" s="444">
        <f t="shared" si="110"/>
        <v>1.0225213564587108</v>
      </c>
      <c r="M179" s="443">
        <v>11.31</v>
      </c>
      <c r="N179" s="444">
        <f t="shared" si="111"/>
        <v>2.2521356458710846E-2</v>
      </c>
      <c r="O179" s="445">
        <f t="shared" si="112"/>
        <v>524.80999999999995</v>
      </c>
      <c r="P179" s="444">
        <f t="shared" si="113"/>
        <v>1.0450427129174216</v>
      </c>
      <c r="Q179" s="442">
        <v>2.8500000000000005</v>
      </c>
      <c r="R179" s="444">
        <f t="shared" si="114"/>
        <v>5.6751428742109573E-3</v>
      </c>
      <c r="S179" s="445">
        <f t="shared" si="115"/>
        <v>22.619999999999948</v>
      </c>
      <c r="T179" s="444">
        <f t="shared" si="116"/>
        <v>4.5042712917421589E-2</v>
      </c>
      <c r="U179" s="364">
        <f t="shared" si="117"/>
        <v>8327.3267999999789</v>
      </c>
      <c r="V179" s="459">
        <f t="shared" si="118"/>
        <v>19.769999999999946</v>
      </c>
      <c r="W179" s="460">
        <f t="shared" si="119"/>
        <v>3.9367570043210627E-2</v>
      </c>
      <c r="X179" s="461">
        <f t="shared" si="120"/>
        <v>7278.1277999999784</v>
      </c>
      <c r="Y179" s="366" t="s">
        <v>417</v>
      </c>
      <c r="Z179" s="366" t="s">
        <v>337</v>
      </c>
      <c r="AA179" s="367"/>
      <c r="AB179" s="367"/>
      <c r="AC179" s="367">
        <v>1</v>
      </c>
      <c r="AD179" s="446" t="s">
        <v>433</v>
      </c>
    </row>
    <row r="180" spans="2:39" s="147" customFormat="1" ht="27" customHeight="1">
      <c r="B180" s="896"/>
      <c r="C180" s="897"/>
      <c r="D180" s="361">
        <v>20</v>
      </c>
      <c r="E180" s="440" t="s">
        <v>797</v>
      </c>
      <c r="F180" s="441">
        <f t="shared" si="93"/>
        <v>1049.1389999999999</v>
      </c>
      <c r="G180" s="365">
        <v>122.85000000000001</v>
      </c>
      <c r="H180" s="442">
        <v>1043.1899999999998</v>
      </c>
      <c r="I180" s="442">
        <v>1043.1899999999998</v>
      </c>
      <c r="J180" s="444">
        <f t="shared" si="94"/>
        <v>1</v>
      </c>
      <c r="K180" s="442">
        <v>1071.6300000000001</v>
      </c>
      <c r="L180" s="444">
        <f t="shared" si="95"/>
        <v>1.0272625312742647</v>
      </c>
      <c r="M180" s="443">
        <v>28.439999999999998</v>
      </c>
      <c r="N180" s="444">
        <f t="shared" si="96"/>
        <v>2.7262531274264517E-2</v>
      </c>
      <c r="O180" s="445">
        <f t="shared" si="97"/>
        <v>1100.0700000000002</v>
      </c>
      <c r="P180" s="444">
        <f t="shared" si="98"/>
        <v>1.0545250625485294</v>
      </c>
      <c r="Q180" s="442">
        <v>8.5399999999999991</v>
      </c>
      <c r="R180" s="444">
        <f t="shared" si="99"/>
        <v>8.1864281674479244E-3</v>
      </c>
      <c r="S180" s="445">
        <f t="shared" si="100"/>
        <v>56.880000000000337</v>
      </c>
      <c r="T180" s="444">
        <f t="shared" si="101"/>
        <v>5.452506254852936E-2</v>
      </c>
      <c r="U180" s="364">
        <f t="shared" si="102"/>
        <v>6987.7080000000415</v>
      </c>
      <c r="V180" s="459">
        <f t="shared" si="103"/>
        <v>48.340000000000337</v>
      </c>
      <c r="W180" s="460">
        <f t="shared" si="104"/>
        <v>4.6338634381081441E-2</v>
      </c>
      <c r="X180" s="461">
        <f t="shared" si="105"/>
        <v>5938.5690000000423</v>
      </c>
      <c r="Y180" s="366" t="s">
        <v>417</v>
      </c>
      <c r="Z180" s="366" t="s">
        <v>215</v>
      </c>
      <c r="AA180" s="367"/>
      <c r="AB180" s="367"/>
      <c r="AC180" s="367">
        <v>1</v>
      </c>
      <c r="AD180" s="446" t="s">
        <v>710</v>
      </c>
    </row>
    <row r="181" spans="2:39" ht="16.5" customHeight="1">
      <c r="B181" s="898" t="s">
        <v>442</v>
      </c>
      <c r="C181" s="899"/>
      <c r="D181" s="902" t="s">
        <v>549</v>
      </c>
      <c r="E181" s="903" t="s">
        <v>550</v>
      </c>
      <c r="F181" s="904" t="s">
        <v>551</v>
      </c>
      <c r="G181" s="881" t="s">
        <v>552</v>
      </c>
      <c r="H181" s="905" t="s">
        <v>553</v>
      </c>
      <c r="I181" s="906" t="s">
        <v>554</v>
      </c>
      <c r="J181" s="907"/>
      <c r="K181" s="906" t="s">
        <v>555</v>
      </c>
      <c r="L181" s="907"/>
      <c r="M181" s="906" t="s">
        <v>556</v>
      </c>
      <c r="N181" s="907"/>
      <c r="O181" s="906" t="s">
        <v>557</v>
      </c>
      <c r="P181" s="907"/>
      <c r="Q181" s="906" t="s">
        <v>418</v>
      </c>
      <c r="R181" s="907"/>
      <c r="S181" s="908" t="s">
        <v>419</v>
      </c>
      <c r="T181" s="909"/>
      <c r="U181" s="910"/>
      <c r="V181" s="911" t="s">
        <v>742</v>
      </c>
      <c r="W181" s="912"/>
      <c r="X181" s="913"/>
      <c r="Y181" s="914" t="s">
        <v>171</v>
      </c>
      <c r="Z181" s="914" t="s">
        <v>245</v>
      </c>
      <c r="AA181" s="914" t="s">
        <v>558</v>
      </c>
      <c r="AB181" s="914" t="s">
        <v>444</v>
      </c>
      <c r="AC181" s="914" t="s">
        <v>246</v>
      </c>
      <c r="AD181" s="881" t="s">
        <v>172</v>
      </c>
      <c r="AF181" s="883" t="s">
        <v>247</v>
      </c>
      <c r="AG181" s="884"/>
      <c r="AH181" s="884"/>
      <c r="AI181" s="884"/>
      <c r="AJ181" s="884"/>
      <c r="AK181" s="884"/>
      <c r="AL181" s="884"/>
      <c r="AM181" s="885"/>
    </row>
    <row r="182" spans="2:39" ht="16.5" customHeight="1">
      <c r="B182" s="900"/>
      <c r="C182" s="901"/>
      <c r="D182" s="902"/>
      <c r="E182" s="902"/>
      <c r="F182" s="904"/>
      <c r="G182" s="882"/>
      <c r="H182" s="882"/>
      <c r="I182" s="439" t="s">
        <v>559</v>
      </c>
      <c r="J182" s="362" t="s">
        <v>560</v>
      </c>
      <c r="K182" s="439" t="s">
        <v>559</v>
      </c>
      <c r="L182" s="362" t="s">
        <v>560</v>
      </c>
      <c r="M182" s="439" t="s">
        <v>559</v>
      </c>
      <c r="N182" s="362" t="s">
        <v>560</v>
      </c>
      <c r="O182" s="439" t="s">
        <v>559</v>
      </c>
      <c r="P182" s="362" t="s">
        <v>560</v>
      </c>
      <c r="Q182" s="439" t="s">
        <v>559</v>
      </c>
      <c r="R182" s="362" t="s">
        <v>560</v>
      </c>
      <c r="S182" s="439" t="s">
        <v>559</v>
      </c>
      <c r="T182" s="362" t="s">
        <v>560</v>
      </c>
      <c r="U182" s="362" t="s">
        <v>561</v>
      </c>
      <c r="V182" s="439" t="s">
        <v>559</v>
      </c>
      <c r="W182" s="362" t="s">
        <v>560</v>
      </c>
      <c r="X182" s="362" t="s">
        <v>561</v>
      </c>
      <c r="Y182" s="915"/>
      <c r="Z182" s="915"/>
      <c r="AA182" s="915"/>
      <c r="AB182" s="915"/>
      <c r="AC182" s="915"/>
      <c r="AD182" s="882"/>
      <c r="AF182" s="886"/>
      <c r="AG182" s="887"/>
      <c r="AH182" s="887"/>
      <c r="AI182" s="887"/>
      <c r="AJ182" s="887"/>
      <c r="AK182" s="887"/>
      <c r="AL182" s="887"/>
      <c r="AM182" s="888"/>
    </row>
    <row r="183" spans="2:39" s="147" customFormat="1" ht="27" customHeight="1">
      <c r="B183" s="892" t="s">
        <v>829</v>
      </c>
      <c r="C183" s="893"/>
      <c r="D183" s="361">
        <v>1</v>
      </c>
      <c r="E183" s="440"/>
      <c r="F183" s="441">
        <f>IFERROR(Q183*G183,"-")</f>
        <v>0</v>
      </c>
      <c r="G183" s="365"/>
      <c r="H183" s="442"/>
      <c r="I183" s="442"/>
      <c r="J183" s="444" t="str">
        <f>IFERROR(I183/H183,"-")</f>
        <v>-</v>
      </c>
      <c r="K183" s="443"/>
      <c r="L183" s="444" t="str">
        <f>IFERROR(K183/H183,"-")</f>
        <v>-</v>
      </c>
      <c r="M183" s="443"/>
      <c r="N183" s="444" t="str">
        <f>IFERROR(M183/H183,"-")</f>
        <v>-</v>
      </c>
      <c r="O183" s="445">
        <f>IFERROR(K183+M183,"-")</f>
        <v>0</v>
      </c>
      <c r="P183" s="444" t="str">
        <f>IFERROR(O183/H183,"-")</f>
        <v>-</v>
      </c>
      <c r="Q183" s="442"/>
      <c r="R183" s="444" t="str">
        <f>IFERROR(Q183/H183,"-")</f>
        <v>-</v>
      </c>
      <c r="S183" s="445">
        <f>IFERROR(O183-H183,"-")</f>
        <v>0</v>
      </c>
      <c r="T183" s="444" t="str">
        <f>IFERROR(S183/H183,"-")</f>
        <v>-</v>
      </c>
      <c r="U183" s="364">
        <f>IFERROR(S183*G183,"-")</f>
        <v>0</v>
      </c>
      <c r="V183" s="459">
        <f>S183-Q183</f>
        <v>0</v>
      </c>
      <c r="W183" s="460" t="str">
        <f>IFERROR(V183/H183,"-")</f>
        <v>-</v>
      </c>
      <c r="X183" s="461">
        <f>IFERROR(V183*G183,"-")</f>
        <v>0</v>
      </c>
      <c r="Y183" s="366"/>
      <c r="Z183" s="366"/>
      <c r="AA183" s="367"/>
      <c r="AB183" s="367"/>
      <c r="AC183" s="367">
        <v>1</v>
      </c>
      <c r="AD183" s="446"/>
      <c r="AF183" s="889"/>
      <c r="AG183" s="890"/>
      <c r="AH183" s="890"/>
      <c r="AI183" s="890"/>
      <c r="AJ183" s="890"/>
      <c r="AK183" s="890"/>
      <c r="AL183" s="890"/>
      <c r="AM183" s="891"/>
    </row>
    <row r="184" spans="2:39" s="147" customFormat="1" ht="27" customHeight="1">
      <c r="B184" s="894"/>
      <c r="C184" s="895"/>
      <c r="D184" s="361">
        <v>2</v>
      </c>
      <c r="E184" s="440"/>
      <c r="F184" s="441">
        <f t="shared" ref="F184:F202" si="121">IFERROR(Q184*G184,"-")</f>
        <v>0</v>
      </c>
      <c r="G184" s="365"/>
      <c r="H184" s="442"/>
      <c r="I184" s="442"/>
      <c r="J184" s="444" t="str">
        <f t="shared" ref="J184:J202" si="122">IFERROR(I184/H184,"-")</f>
        <v>-</v>
      </c>
      <c r="K184" s="443"/>
      <c r="L184" s="444" t="str">
        <f t="shared" ref="L184:L202" si="123">IFERROR(K184/H184,"-")</f>
        <v>-</v>
      </c>
      <c r="M184" s="443"/>
      <c r="N184" s="444" t="str">
        <f t="shared" ref="N184:N202" si="124">IFERROR(M184/H184,"-")</f>
        <v>-</v>
      </c>
      <c r="O184" s="445">
        <f t="shared" ref="O184:O202" si="125">IFERROR(K184+M184,"-")</f>
        <v>0</v>
      </c>
      <c r="P184" s="444" t="str">
        <f t="shared" ref="P184:P202" si="126">IFERROR(O184/H184,"-")</f>
        <v>-</v>
      </c>
      <c r="Q184" s="442"/>
      <c r="R184" s="444" t="str">
        <f t="shared" ref="R184:R202" si="127">IFERROR(Q184/H184,"-")</f>
        <v>-</v>
      </c>
      <c r="S184" s="445">
        <f t="shared" ref="S184:S202" si="128">IFERROR(O184-H184,"-")</f>
        <v>0</v>
      </c>
      <c r="T184" s="444" t="str">
        <f t="shared" ref="T184:T202" si="129">IFERROR(S184/H184,"-")</f>
        <v>-</v>
      </c>
      <c r="U184" s="364">
        <f t="shared" ref="U184:U202" si="130">IFERROR(S184*G184,"-")</f>
        <v>0</v>
      </c>
      <c r="V184" s="459">
        <f t="shared" ref="V184:V202" si="131">S184-Q184</f>
        <v>0</v>
      </c>
      <c r="W184" s="460" t="str">
        <f t="shared" ref="W184:W202" si="132">IFERROR(V184/H184,"-")</f>
        <v>-</v>
      </c>
      <c r="X184" s="461">
        <f t="shared" ref="X184:X202" si="133">IFERROR(V184*G184,"-")</f>
        <v>0</v>
      </c>
      <c r="Y184" s="366"/>
      <c r="Z184" s="366"/>
      <c r="AA184" s="367"/>
      <c r="AB184" s="367"/>
      <c r="AC184" s="367">
        <v>1</v>
      </c>
      <c r="AD184" s="446"/>
      <c r="AF184" s="160" t="s">
        <v>244</v>
      </c>
      <c r="AG184" s="160" t="s">
        <v>445</v>
      </c>
      <c r="AH184" s="155" t="s">
        <v>562</v>
      </c>
      <c r="AI184" s="155" t="s">
        <v>337</v>
      </c>
      <c r="AJ184" s="155" t="s">
        <v>428</v>
      </c>
      <c r="AK184" s="155" t="s">
        <v>215</v>
      </c>
      <c r="AL184" s="155" t="s">
        <v>216</v>
      </c>
      <c r="AM184" s="155" t="s">
        <v>384</v>
      </c>
    </row>
    <row r="185" spans="2:39" s="147" customFormat="1" ht="27" customHeight="1">
      <c r="B185" s="894"/>
      <c r="C185" s="895"/>
      <c r="D185" s="361">
        <v>3</v>
      </c>
      <c r="E185" s="440"/>
      <c r="F185" s="441">
        <f t="shared" si="121"/>
        <v>0</v>
      </c>
      <c r="G185" s="365"/>
      <c r="H185" s="442"/>
      <c r="I185" s="442"/>
      <c r="J185" s="444" t="str">
        <f t="shared" si="122"/>
        <v>-</v>
      </c>
      <c r="K185" s="443"/>
      <c r="L185" s="444" t="str">
        <f t="shared" si="123"/>
        <v>-</v>
      </c>
      <c r="M185" s="443"/>
      <c r="N185" s="444" t="str">
        <f t="shared" si="124"/>
        <v>-</v>
      </c>
      <c r="O185" s="445">
        <f t="shared" si="125"/>
        <v>0</v>
      </c>
      <c r="P185" s="444" t="str">
        <f t="shared" si="126"/>
        <v>-</v>
      </c>
      <c r="Q185" s="442"/>
      <c r="R185" s="444" t="str">
        <f t="shared" si="127"/>
        <v>-</v>
      </c>
      <c r="S185" s="445">
        <f t="shared" si="128"/>
        <v>0</v>
      </c>
      <c r="T185" s="444" t="str">
        <f t="shared" si="129"/>
        <v>-</v>
      </c>
      <c r="U185" s="364">
        <f t="shared" si="130"/>
        <v>0</v>
      </c>
      <c r="V185" s="459">
        <f t="shared" si="131"/>
        <v>0</v>
      </c>
      <c r="W185" s="460" t="str">
        <f t="shared" si="132"/>
        <v>-</v>
      </c>
      <c r="X185" s="461">
        <f t="shared" si="133"/>
        <v>0</v>
      </c>
      <c r="Y185" s="366"/>
      <c r="Z185" s="366"/>
      <c r="AA185" s="367"/>
      <c r="AB185" s="367"/>
      <c r="AC185" s="367">
        <v>1</v>
      </c>
      <c r="AD185" s="446"/>
      <c r="AF185" s="374">
        <f>SUM(AC183:AC202)</f>
        <v>20</v>
      </c>
      <c r="AG185" s="369">
        <f>SUMIF($Z$183:$Z$202,TRIM(AG184),$AC$183:$AC$202)</f>
        <v>0</v>
      </c>
      <c r="AH185" s="369">
        <f t="shared" ref="AH185:AM185" si="134">SUMIF($Z$183:$Z$202,TRIM(AH184),$AC$183:$AC$202)</f>
        <v>0</v>
      </c>
      <c r="AI185" s="369">
        <f t="shared" si="134"/>
        <v>0</v>
      </c>
      <c r="AJ185" s="369">
        <f t="shared" si="134"/>
        <v>0</v>
      </c>
      <c r="AK185" s="369">
        <f t="shared" si="134"/>
        <v>0</v>
      </c>
      <c r="AL185" s="369">
        <f t="shared" si="134"/>
        <v>0</v>
      </c>
      <c r="AM185" s="369">
        <f t="shared" si="134"/>
        <v>0</v>
      </c>
    </row>
    <row r="186" spans="2:39" s="147" customFormat="1" ht="27" customHeight="1">
      <c r="B186" s="894"/>
      <c r="C186" s="895"/>
      <c r="D186" s="361">
        <v>4</v>
      </c>
      <c r="E186" s="440"/>
      <c r="F186" s="441">
        <f t="shared" si="121"/>
        <v>0</v>
      </c>
      <c r="G186" s="365"/>
      <c r="H186" s="442"/>
      <c r="I186" s="442"/>
      <c r="J186" s="444" t="str">
        <f t="shared" si="122"/>
        <v>-</v>
      </c>
      <c r="K186" s="443"/>
      <c r="L186" s="444" t="str">
        <f t="shared" si="123"/>
        <v>-</v>
      </c>
      <c r="M186" s="443"/>
      <c r="N186" s="444" t="str">
        <f t="shared" si="124"/>
        <v>-</v>
      </c>
      <c r="O186" s="445">
        <f t="shared" si="125"/>
        <v>0</v>
      </c>
      <c r="P186" s="444" t="str">
        <f t="shared" si="126"/>
        <v>-</v>
      </c>
      <c r="Q186" s="442"/>
      <c r="R186" s="444" t="str">
        <f t="shared" si="127"/>
        <v>-</v>
      </c>
      <c r="S186" s="445">
        <f t="shared" si="128"/>
        <v>0</v>
      </c>
      <c r="T186" s="444" t="str">
        <f t="shared" si="129"/>
        <v>-</v>
      </c>
      <c r="U186" s="364">
        <f t="shared" si="130"/>
        <v>0</v>
      </c>
      <c r="V186" s="459">
        <f t="shared" si="131"/>
        <v>0</v>
      </c>
      <c r="W186" s="460" t="str">
        <f t="shared" si="132"/>
        <v>-</v>
      </c>
      <c r="X186" s="461">
        <f t="shared" si="133"/>
        <v>0</v>
      </c>
      <c r="Y186" s="366"/>
      <c r="Z186" s="366"/>
      <c r="AA186" s="367"/>
      <c r="AB186" s="367"/>
      <c r="AC186" s="367">
        <v>1</v>
      </c>
      <c r="AD186" s="446"/>
      <c r="AF186" s="375" t="s">
        <v>11</v>
      </c>
      <c r="AG186" s="372">
        <f>SUMIF($Z$183:$Z202,TRIM(AG184),$F$183:$F$202)</f>
        <v>0</v>
      </c>
      <c r="AH186" s="372">
        <f>SUMIF($Z$183:$Z202,TRIM(AH184),$F$183:$F$202)</f>
        <v>0</v>
      </c>
      <c r="AI186" s="372">
        <f>SUMIF($Z$183:$Z202,TRIM(AI184),$F$183:$F$202)</f>
        <v>0</v>
      </c>
      <c r="AJ186" s="372">
        <f>SUMIF($Z$183:$Z202,TRIM(AJ184),$F$183:$F$202)</f>
        <v>0</v>
      </c>
      <c r="AK186" s="372">
        <f>SUMIF($Z$183:$Z202,TRIM(AK184),$F$183:$F$202)</f>
        <v>0</v>
      </c>
      <c r="AL186" s="372">
        <f>SUMIF($Z$183:$Z202,TRIM(AL184),$F$183:$F$202)</f>
        <v>0</v>
      </c>
      <c r="AM186" s="372">
        <f>SUMIF($Z$183:$Z202,TRIM(AM184),$F$183:$F$202)</f>
        <v>0</v>
      </c>
    </row>
    <row r="187" spans="2:39" s="147" customFormat="1" ht="27" customHeight="1">
      <c r="B187" s="894"/>
      <c r="C187" s="895"/>
      <c r="D187" s="361">
        <v>5</v>
      </c>
      <c r="E187" s="440"/>
      <c r="F187" s="441">
        <f t="shared" si="121"/>
        <v>0</v>
      </c>
      <c r="G187" s="365"/>
      <c r="H187" s="442"/>
      <c r="I187" s="442"/>
      <c r="J187" s="444" t="str">
        <f t="shared" si="122"/>
        <v>-</v>
      </c>
      <c r="K187" s="443"/>
      <c r="L187" s="444" t="str">
        <f t="shared" si="123"/>
        <v>-</v>
      </c>
      <c r="M187" s="443"/>
      <c r="N187" s="444" t="str">
        <f t="shared" si="124"/>
        <v>-</v>
      </c>
      <c r="O187" s="445">
        <f t="shared" si="125"/>
        <v>0</v>
      </c>
      <c r="P187" s="444" t="str">
        <f t="shared" si="126"/>
        <v>-</v>
      </c>
      <c r="Q187" s="442"/>
      <c r="R187" s="444" t="str">
        <f t="shared" si="127"/>
        <v>-</v>
      </c>
      <c r="S187" s="445">
        <f t="shared" si="128"/>
        <v>0</v>
      </c>
      <c r="T187" s="444" t="str">
        <f t="shared" si="129"/>
        <v>-</v>
      </c>
      <c r="U187" s="364">
        <f t="shared" si="130"/>
        <v>0</v>
      </c>
      <c r="V187" s="459">
        <f t="shared" si="131"/>
        <v>0</v>
      </c>
      <c r="W187" s="460" t="str">
        <f t="shared" si="132"/>
        <v>-</v>
      </c>
      <c r="X187" s="461">
        <f t="shared" si="133"/>
        <v>0</v>
      </c>
      <c r="Y187" s="366"/>
      <c r="Z187" s="366"/>
      <c r="AA187" s="367"/>
      <c r="AB187" s="367"/>
      <c r="AC187" s="367">
        <v>1</v>
      </c>
      <c r="AD187" s="446"/>
      <c r="AF187" s="361" t="s">
        <v>563</v>
      </c>
      <c r="AG187" s="447">
        <f>AG185/$AF185</f>
        <v>0</v>
      </c>
      <c r="AH187" s="447">
        <f t="shared" ref="AH187:AM187" si="135">AH185/$AF185</f>
        <v>0</v>
      </c>
      <c r="AI187" s="447">
        <f t="shared" si="135"/>
        <v>0</v>
      </c>
      <c r="AJ187" s="447">
        <f t="shared" si="135"/>
        <v>0</v>
      </c>
      <c r="AK187" s="447">
        <f t="shared" si="135"/>
        <v>0</v>
      </c>
      <c r="AL187" s="447">
        <f t="shared" si="135"/>
        <v>0</v>
      </c>
      <c r="AM187" s="447">
        <f t="shared" si="135"/>
        <v>0</v>
      </c>
    </row>
    <row r="188" spans="2:39" s="147" customFormat="1" ht="27" customHeight="1">
      <c r="B188" s="894"/>
      <c r="C188" s="895"/>
      <c r="D188" s="361">
        <v>6</v>
      </c>
      <c r="E188" s="440"/>
      <c r="F188" s="441">
        <f t="shared" si="121"/>
        <v>0</v>
      </c>
      <c r="G188" s="365"/>
      <c r="H188" s="442"/>
      <c r="I188" s="442"/>
      <c r="J188" s="444" t="str">
        <f t="shared" si="122"/>
        <v>-</v>
      </c>
      <c r="K188" s="443"/>
      <c r="L188" s="444" t="str">
        <f t="shared" si="123"/>
        <v>-</v>
      </c>
      <c r="M188" s="443"/>
      <c r="N188" s="444" t="str">
        <f t="shared" si="124"/>
        <v>-</v>
      </c>
      <c r="O188" s="445">
        <f t="shared" si="125"/>
        <v>0</v>
      </c>
      <c r="P188" s="444" t="str">
        <f t="shared" si="126"/>
        <v>-</v>
      </c>
      <c r="Q188" s="442"/>
      <c r="R188" s="444" t="str">
        <f t="shared" si="127"/>
        <v>-</v>
      </c>
      <c r="S188" s="445">
        <f t="shared" si="128"/>
        <v>0</v>
      </c>
      <c r="T188" s="444" t="str">
        <f t="shared" si="129"/>
        <v>-</v>
      </c>
      <c r="U188" s="364">
        <f t="shared" si="130"/>
        <v>0</v>
      </c>
      <c r="V188" s="459">
        <f t="shared" si="131"/>
        <v>0</v>
      </c>
      <c r="W188" s="460" t="str">
        <f t="shared" si="132"/>
        <v>-</v>
      </c>
      <c r="X188" s="461">
        <f t="shared" si="133"/>
        <v>0</v>
      </c>
      <c r="Y188" s="366"/>
      <c r="Z188" s="366"/>
      <c r="AA188" s="367"/>
      <c r="AB188" s="367"/>
      <c r="AC188" s="367">
        <v>1</v>
      </c>
      <c r="AD188" s="446"/>
    </row>
    <row r="189" spans="2:39" s="147" customFormat="1" ht="27" customHeight="1">
      <c r="B189" s="894"/>
      <c r="C189" s="895"/>
      <c r="D189" s="361">
        <v>7</v>
      </c>
      <c r="E189" s="440"/>
      <c r="F189" s="441">
        <f t="shared" si="121"/>
        <v>0</v>
      </c>
      <c r="G189" s="365"/>
      <c r="H189" s="442"/>
      <c r="I189" s="442"/>
      <c r="J189" s="444" t="str">
        <f t="shared" si="122"/>
        <v>-</v>
      </c>
      <c r="K189" s="443"/>
      <c r="L189" s="444" t="str">
        <f t="shared" si="123"/>
        <v>-</v>
      </c>
      <c r="M189" s="443"/>
      <c r="N189" s="444" t="str">
        <f t="shared" si="124"/>
        <v>-</v>
      </c>
      <c r="O189" s="445">
        <f t="shared" si="125"/>
        <v>0</v>
      </c>
      <c r="P189" s="444" t="str">
        <f t="shared" si="126"/>
        <v>-</v>
      </c>
      <c r="Q189" s="442"/>
      <c r="R189" s="444" t="str">
        <f t="shared" si="127"/>
        <v>-</v>
      </c>
      <c r="S189" s="445">
        <f t="shared" si="128"/>
        <v>0</v>
      </c>
      <c r="T189" s="444" t="str">
        <f t="shared" si="129"/>
        <v>-</v>
      </c>
      <c r="U189" s="364">
        <f t="shared" si="130"/>
        <v>0</v>
      </c>
      <c r="V189" s="459">
        <f t="shared" si="131"/>
        <v>0</v>
      </c>
      <c r="W189" s="460" t="str">
        <f t="shared" si="132"/>
        <v>-</v>
      </c>
      <c r="X189" s="461">
        <f t="shared" si="133"/>
        <v>0</v>
      </c>
      <c r="Y189" s="366"/>
      <c r="Z189" s="366"/>
      <c r="AA189" s="367"/>
      <c r="AB189" s="367"/>
      <c r="AC189" s="367">
        <v>1</v>
      </c>
      <c r="AD189" s="446"/>
    </row>
    <row r="190" spans="2:39" s="147" customFormat="1" ht="27" customHeight="1">
      <c r="B190" s="894"/>
      <c r="C190" s="895"/>
      <c r="D190" s="361">
        <v>8</v>
      </c>
      <c r="E190" s="440"/>
      <c r="F190" s="441">
        <f t="shared" si="121"/>
        <v>0</v>
      </c>
      <c r="G190" s="365"/>
      <c r="H190" s="442"/>
      <c r="I190" s="442"/>
      <c r="J190" s="444" t="str">
        <f t="shared" si="122"/>
        <v>-</v>
      </c>
      <c r="K190" s="443"/>
      <c r="L190" s="444" t="str">
        <f t="shared" si="123"/>
        <v>-</v>
      </c>
      <c r="M190" s="443"/>
      <c r="N190" s="444" t="str">
        <f t="shared" si="124"/>
        <v>-</v>
      </c>
      <c r="O190" s="445">
        <f t="shared" si="125"/>
        <v>0</v>
      </c>
      <c r="P190" s="444" t="str">
        <f t="shared" si="126"/>
        <v>-</v>
      </c>
      <c r="Q190" s="442"/>
      <c r="R190" s="444" t="str">
        <f t="shared" si="127"/>
        <v>-</v>
      </c>
      <c r="S190" s="445">
        <f t="shared" si="128"/>
        <v>0</v>
      </c>
      <c r="T190" s="444" t="str">
        <f t="shared" si="129"/>
        <v>-</v>
      </c>
      <c r="U190" s="364">
        <f t="shared" si="130"/>
        <v>0</v>
      </c>
      <c r="V190" s="459">
        <f t="shared" si="131"/>
        <v>0</v>
      </c>
      <c r="W190" s="460" t="str">
        <f t="shared" si="132"/>
        <v>-</v>
      </c>
      <c r="X190" s="461">
        <f t="shared" si="133"/>
        <v>0</v>
      </c>
      <c r="Y190" s="366"/>
      <c r="Z190" s="366"/>
      <c r="AA190" s="367"/>
      <c r="AB190" s="367"/>
      <c r="AC190" s="367">
        <v>1</v>
      </c>
      <c r="AD190" s="446"/>
    </row>
    <row r="191" spans="2:39" s="147" customFormat="1" ht="27" customHeight="1">
      <c r="B191" s="894"/>
      <c r="C191" s="895"/>
      <c r="D191" s="361">
        <v>9</v>
      </c>
      <c r="E191" s="440"/>
      <c r="F191" s="441">
        <f t="shared" si="121"/>
        <v>0</v>
      </c>
      <c r="G191" s="365"/>
      <c r="H191" s="442"/>
      <c r="I191" s="442"/>
      <c r="J191" s="444" t="str">
        <f t="shared" si="122"/>
        <v>-</v>
      </c>
      <c r="K191" s="443"/>
      <c r="L191" s="444" t="str">
        <f t="shared" si="123"/>
        <v>-</v>
      </c>
      <c r="M191" s="443"/>
      <c r="N191" s="444" t="str">
        <f t="shared" si="124"/>
        <v>-</v>
      </c>
      <c r="O191" s="445">
        <f t="shared" si="125"/>
        <v>0</v>
      </c>
      <c r="P191" s="444" t="str">
        <f t="shared" si="126"/>
        <v>-</v>
      </c>
      <c r="Q191" s="442"/>
      <c r="R191" s="444" t="str">
        <f t="shared" si="127"/>
        <v>-</v>
      </c>
      <c r="S191" s="445">
        <f t="shared" si="128"/>
        <v>0</v>
      </c>
      <c r="T191" s="444" t="str">
        <f t="shared" si="129"/>
        <v>-</v>
      </c>
      <c r="U191" s="364">
        <f t="shared" si="130"/>
        <v>0</v>
      </c>
      <c r="V191" s="459">
        <f t="shared" si="131"/>
        <v>0</v>
      </c>
      <c r="W191" s="460" t="str">
        <f t="shared" si="132"/>
        <v>-</v>
      </c>
      <c r="X191" s="461">
        <f t="shared" si="133"/>
        <v>0</v>
      </c>
      <c r="Y191" s="366"/>
      <c r="Z191" s="366"/>
      <c r="AA191" s="367"/>
      <c r="AB191" s="380"/>
      <c r="AC191" s="367">
        <v>1</v>
      </c>
      <c r="AD191" s="446"/>
      <c r="AH191" s="370"/>
    </row>
    <row r="192" spans="2:39" s="147" customFormat="1" ht="27" customHeight="1">
      <c r="B192" s="894"/>
      <c r="C192" s="895"/>
      <c r="D192" s="361">
        <v>10</v>
      </c>
      <c r="E192" s="440"/>
      <c r="F192" s="441">
        <f t="shared" si="121"/>
        <v>0</v>
      </c>
      <c r="G192" s="365"/>
      <c r="H192" s="442"/>
      <c r="I192" s="442"/>
      <c r="J192" s="444" t="str">
        <f t="shared" si="122"/>
        <v>-</v>
      </c>
      <c r="K192" s="443"/>
      <c r="L192" s="444" t="str">
        <f t="shared" si="123"/>
        <v>-</v>
      </c>
      <c r="M192" s="443"/>
      <c r="N192" s="444" t="str">
        <f t="shared" si="124"/>
        <v>-</v>
      </c>
      <c r="O192" s="445">
        <f t="shared" si="125"/>
        <v>0</v>
      </c>
      <c r="P192" s="444" t="str">
        <f t="shared" si="126"/>
        <v>-</v>
      </c>
      <c r="Q192" s="442"/>
      <c r="R192" s="444" t="str">
        <f t="shared" si="127"/>
        <v>-</v>
      </c>
      <c r="S192" s="445">
        <f t="shared" si="128"/>
        <v>0</v>
      </c>
      <c r="T192" s="444" t="str">
        <f t="shared" si="129"/>
        <v>-</v>
      </c>
      <c r="U192" s="364">
        <f t="shared" si="130"/>
        <v>0</v>
      </c>
      <c r="V192" s="459">
        <f t="shared" si="131"/>
        <v>0</v>
      </c>
      <c r="W192" s="460" t="str">
        <f t="shared" si="132"/>
        <v>-</v>
      </c>
      <c r="X192" s="461">
        <f t="shared" si="133"/>
        <v>0</v>
      </c>
      <c r="Y192" s="366"/>
      <c r="Z192" s="366"/>
      <c r="AA192" s="367"/>
      <c r="AB192" s="367"/>
      <c r="AC192" s="367">
        <v>1</v>
      </c>
      <c r="AD192" s="446"/>
      <c r="AH192" s="370"/>
    </row>
    <row r="193" spans="2:34" s="147" customFormat="1" ht="27" customHeight="1">
      <c r="B193" s="894"/>
      <c r="C193" s="895"/>
      <c r="D193" s="361">
        <v>11</v>
      </c>
      <c r="E193" s="440"/>
      <c r="F193" s="441">
        <f t="shared" si="121"/>
        <v>0</v>
      </c>
      <c r="G193" s="365"/>
      <c r="H193" s="442"/>
      <c r="I193" s="442"/>
      <c r="J193" s="444" t="str">
        <f t="shared" si="122"/>
        <v>-</v>
      </c>
      <c r="K193" s="443"/>
      <c r="L193" s="444" t="str">
        <f t="shared" si="123"/>
        <v>-</v>
      </c>
      <c r="M193" s="443"/>
      <c r="N193" s="444" t="str">
        <f t="shared" si="124"/>
        <v>-</v>
      </c>
      <c r="O193" s="445">
        <f t="shared" si="125"/>
        <v>0</v>
      </c>
      <c r="P193" s="444" t="str">
        <f t="shared" si="126"/>
        <v>-</v>
      </c>
      <c r="Q193" s="442"/>
      <c r="R193" s="444" t="str">
        <f t="shared" si="127"/>
        <v>-</v>
      </c>
      <c r="S193" s="445">
        <f t="shared" si="128"/>
        <v>0</v>
      </c>
      <c r="T193" s="444" t="str">
        <f t="shared" si="129"/>
        <v>-</v>
      </c>
      <c r="U193" s="364">
        <f t="shared" si="130"/>
        <v>0</v>
      </c>
      <c r="V193" s="459">
        <f t="shared" si="131"/>
        <v>0</v>
      </c>
      <c r="W193" s="460" t="str">
        <f t="shared" si="132"/>
        <v>-</v>
      </c>
      <c r="X193" s="461">
        <f t="shared" si="133"/>
        <v>0</v>
      </c>
      <c r="Y193" s="366"/>
      <c r="Z193" s="366"/>
      <c r="AA193" s="367"/>
      <c r="AB193" s="367"/>
      <c r="AC193" s="367">
        <v>1</v>
      </c>
      <c r="AD193" s="446"/>
      <c r="AH193" s="370"/>
    </row>
    <row r="194" spans="2:34" s="147" customFormat="1" ht="26.25" customHeight="1">
      <c r="B194" s="894"/>
      <c r="C194" s="895"/>
      <c r="D194" s="361">
        <v>12</v>
      </c>
      <c r="E194" s="440"/>
      <c r="F194" s="441">
        <f t="shared" si="121"/>
        <v>0</v>
      </c>
      <c r="G194" s="365"/>
      <c r="H194" s="442"/>
      <c r="I194" s="442"/>
      <c r="J194" s="444" t="str">
        <f t="shared" si="122"/>
        <v>-</v>
      </c>
      <c r="K194" s="443"/>
      <c r="L194" s="444" t="str">
        <f t="shared" si="123"/>
        <v>-</v>
      </c>
      <c r="M194" s="443"/>
      <c r="N194" s="444" t="str">
        <f t="shared" si="124"/>
        <v>-</v>
      </c>
      <c r="O194" s="445">
        <f t="shared" si="125"/>
        <v>0</v>
      </c>
      <c r="P194" s="444" t="str">
        <f t="shared" si="126"/>
        <v>-</v>
      </c>
      <c r="Q194" s="442"/>
      <c r="R194" s="444" t="str">
        <f t="shared" si="127"/>
        <v>-</v>
      </c>
      <c r="S194" s="445">
        <f t="shared" si="128"/>
        <v>0</v>
      </c>
      <c r="T194" s="444" t="str">
        <f t="shared" si="129"/>
        <v>-</v>
      </c>
      <c r="U194" s="364">
        <f t="shared" si="130"/>
        <v>0</v>
      </c>
      <c r="V194" s="459">
        <f t="shared" si="131"/>
        <v>0</v>
      </c>
      <c r="W194" s="460" t="str">
        <f t="shared" si="132"/>
        <v>-</v>
      </c>
      <c r="X194" s="461">
        <f t="shared" si="133"/>
        <v>0</v>
      </c>
      <c r="Y194" s="366"/>
      <c r="Z194" s="366"/>
      <c r="AA194" s="367"/>
      <c r="AB194" s="367"/>
      <c r="AC194" s="367">
        <v>1</v>
      </c>
      <c r="AD194" s="446"/>
      <c r="AH194" s="370"/>
    </row>
    <row r="195" spans="2:34" s="147" customFormat="1" ht="27" customHeight="1">
      <c r="B195" s="894"/>
      <c r="C195" s="895"/>
      <c r="D195" s="361">
        <v>13</v>
      </c>
      <c r="E195" s="440"/>
      <c r="F195" s="441">
        <f t="shared" si="121"/>
        <v>0</v>
      </c>
      <c r="G195" s="365"/>
      <c r="H195" s="442"/>
      <c r="I195" s="442"/>
      <c r="J195" s="444" t="str">
        <f t="shared" si="122"/>
        <v>-</v>
      </c>
      <c r="K195" s="443"/>
      <c r="L195" s="444" t="str">
        <f t="shared" si="123"/>
        <v>-</v>
      </c>
      <c r="M195" s="443"/>
      <c r="N195" s="444" t="str">
        <f t="shared" si="124"/>
        <v>-</v>
      </c>
      <c r="O195" s="445">
        <f t="shared" si="125"/>
        <v>0</v>
      </c>
      <c r="P195" s="444" t="str">
        <f t="shared" si="126"/>
        <v>-</v>
      </c>
      <c r="Q195" s="442"/>
      <c r="R195" s="444" t="str">
        <f t="shared" si="127"/>
        <v>-</v>
      </c>
      <c r="S195" s="445">
        <f t="shared" si="128"/>
        <v>0</v>
      </c>
      <c r="T195" s="444" t="str">
        <f t="shared" si="129"/>
        <v>-</v>
      </c>
      <c r="U195" s="364">
        <f t="shared" si="130"/>
        <v>0</v>
      </c>
      <c r="V195" s="459">
        <f t="shared" si="131"/>
        <v>0</v>
      </c>
      <c r="W195" s="460" t="str">
        <f t="shared" si="132"/>
        <v>-</v>
      </c>
      <c r="X195" s="461">
        <f t="shared" si="133"/>
        <v>0</v>
      </c>
      <c r="Y195" s="366"/>
      <c r="Z195" s="366"/>
      <c r="AA195" s="367"/>
      <c r="AB195" s="367"/>
      <c r="AC195" s="367">
        <v>1</v>
      </c>
      <c r="AD195" s="446"/>
    </row>
    <row r="196" spans="2:34" s="147" customFormat="1" ht="27" customHeight="1">
      <c r="B196" s="894"/>
      <c r="C196" s="895"/>
      <c r="D196" s="361">
        <v>14</v>
      </c>
      <c r="E196" s="440"/>
      <c r="F196" s="441">
        <f t="shared" si="121"/>
        <v>0</v>
      </c>
      <c r="G196" s="365"/>
      <c r="H196" s="442"/>
      <c r="I196" s="442"/>
      <c r="J196" s="444" t="str">
        <f t="shared" si="122"/>
        <v>-</v>
      </c>
      <c r="K196" s="443"/>
      <c r="L196" s="444" t="str">
        <f t="shared" si="123"/>
        <v>-</v>
      </c>
      <c r="M196" s="443"/>
      <c r="N196" s="444" t="str">
        <f t="shared" si="124"/>
        <v>-</v>
      </c>
      <c r="O196" s="445">
        <f t="shared" si="125"/>
        <v>0</v>
      </c>
      <c r="P196" s="444" t="str">
        <f t="shared" si="126"/>
        <v>-</v>
      </c>
      <c r="Q196" s="442"/>
      <c r="R196" s="444" t="str">
        <f t="shared" si="127"/>
        <v>-</v>
      </c>
      <c r="S196" s="445">
        <f t="shared" si="128"/>
        <v>0</v>
      </c>
      <c r="T196" s="444" t="str">
        <f t="shared" si="129"/>
        <v>-</v>
      </c>
      <c r="U196" s="364">
        <f t="shared" si="130"/>
        <v>0</v>
      </c>
      <c r="V196" s="459">
        <f t="shared" si="131"/>
        <v>0</v>
      </c>
      <c r="W196" s="460" t="str">
        <f t="shared" si="132"/>
        <v>-</v>
      </c>
      <c r="X196" s="461">
        <f t="shared" si="133"/>
        <v>0</v>
      </c>
      <c r="Y196" s="366"/>
      <c r="Z196" s="366"/>
      <c r="AA196" s="366"/>
      <c r="AB196" s="367"/>
      <c r="AC196" s="367">
        <v>1</v>
      </c>
      <c r="AD196" s="446"/>
    </row>
    <row r="197" spans="2:34" s="147" customFormat="1" ht="27" customHeight="1">
      <c r="B197" s="894"/>
      <c r="C197" s="895"/>
      <c r="D197" s="361">
        <v>15</v>
      </c>
      <c r="E197" s="440"/>
      <c r="F197" s="441">
        <f t="shared" si="121"/>
        <v>0</v>
      </c>
      <c r="G197" s="365"/>
      <c r="H197" s="442"/>
      <c r="I197" s="442"/>
      <c r="J197" s="444" t="str">
        <f t="shared" si="122"/>
        <v>-</v>
      </c>
      <c r="K197" s="443"/>
      <c r="L197" s="444" t="str">
        <f t="shared" si="123"/>
        <v>-</v>
      </c>
      <c r="M197" s="443"/>
      <c r="N197" s="444" t="str">
        <f t="shared" si="124"/>
        <v>-</v>
      </c>
      <c r="O197" s="445">
        <f t="shared" si="125"/>
        <v>0</v>
      </c>
      <c r="P197" s="444" t="str">
        <f t="shared" si="126"/>
        <v>-</v>
      </c>
      <c r="Q197" s="442"/>
      <c r="R197" s="444" t="str">
        <f t="shared" si="127"/>
        <v>-</v>
      </c>
      <c r="S197" s="445">
        <f t="shared" si="128"/>
        <v>0</v>
      </c>
      <c r="T197" s="444" t="str">
        <f t="shared" si="129"/>
        <v>-</v>
      </c>
      <c r="U197" s="364">
        <f t="shared" si="130"/>
        <v>0</v>
      </c>
      <c r="V197" s="459">
        <f t="shared" si="131"/>
        <v>0</v>
      </c>
      <c r="W197" s="460" t="str">
        <f t="shared" si="132"/>
        <v>-</v>
      </c>
      <c r="X197" s="461">
        <f t="shared" si="133"/>
        <v>0</v>
      </c>
      <c r="Y197" s="366"/>
      <c r="Z197" s="366"/>
      <c r="AA197" s="367"/>
      <c r="AB197" s="367"/>
      <c r="AC197" s="367">
        <v>1</v>
      </c>
      <c r="AD197" s="446"/>
    </row>
    <row r="198" spans="2:34" s="147" customFormat="1" ht="27" customHeight="1">
      <c r="B198" s="894"/>
      <c r="C198" s="895"/>
      <c r="D198" s="361">
        <v>16</v>
      </c>
      <c r="E198" s="440"/>
      <c r="F198" s="441">
        <f t="shared" si="121"/>
        <v>0</v>
      </c>
      <c r="G198" s="365"/>
      <c r="H198" s="442"/>
      <c r="I198" s="442"/>
      <c r="J198" s="444" t="str">
        <f t="shared" si="122"/>
        <v>-</v>
      </c>
      <c r="K198" s="443"/>
      <c r="L198" s="444" t="str">
        <f t="shared" si="123"/>
        <v>-</v>
      </c>
      <c r="M198" s="443"/>
      <c r="N198" s="444" t="str">
        <f t="shared" si="124"/>
        <v>-</v>
      </c>
      <c r="O198" s="445">
        <f t="shared" si="125"/>
        <v>0</v>
      </c>
      <c r="P198" s="444" t="str">
        <f t="shared" si="126"/>
        <v>-</v>
      </c>
      <c r="Q198" s="442"/>
      <c r="R198" s="444" t="str">
        <f t="shared" si="127"/>
        <v>-</v>
      </c>
      <c r="S198" s="445">
        <f t="shared" si="128"/>
        <v>0</v>
      </c>
      <c r="T198" s="444" t="str">
        <f t="shared" si="129"/>
        <v>-</v>
      </c>
      <c r="U198" s="364">
        <f t="shared" si="130"/>
        <v>0</v>
      </c>
      <c r="V198" s="459">
        <f t="shared" si="131"/>
        <v>0</v>
      </c>
      <c r="W198" s="460" t="str">
        <f t="shared" si="132"/>
        <v>-</v>
      </c>
      <c r="X198" s="461">
        <f t="shared" si="133"/>
        <v>0</v>
      </c>
      <c r="Y198" s="366"/>
      <c r="Z198" s="366"/>
      <c r="AA198" s="380"/>
      <c r="AB198" s="367"/>
      <c r="AC198" s="367">
        <v>1</v>
      </c>
      <c r="AD198" s="446"/>
    </row>
    <row r="199" spans="2:34" s="147" customFormat="1" ht="27" customHeight="1">
      <c r="B199" s="894"/>
      <c r="C199" s="895"/>
      <c r="D199" s="361">
        <v>17</v>
      </c>
      <c r="E199" s="440"/>
      <c r="F199" s="441">
        <f t="shared" si="121"/>
        <v>0</v>
      </c>
      <c r="G199" s="365"/>
      <c r="H199" s="442"/>
      <c r="I199" s="442"/>
      <c r="J199" s="444" t="str">
        <f t="shared" si="122"/>
        <v>-</v>
      </c>
      <c r="K199" s="443"/>
      <c r="L199" s="444" t="str">
        <f t="shared" si="123"/>
        <v>-</v>
      </c>
      <c r="M199" s="443"/>
      <c r="N199" s="444" t="str">
        <f t="shared" si="124"/>
        <v>-</v>
      </c>
      <c r="O199" s="445">
        <f t="shared" si="125"/>
        <v>0</v>
      </c>
      <c r="P199" s="444" t="str">
        <f t="shared" si="126"/>
        <v>-</v>
      </c>
      <c r="Q199" s="442"/>
      <c r="R199" s="444" t="str">
        <f t="shared" si="127"/>
        <v>-</v>
      </c>
      <c r="S199" s="445">
        <f t="shared" si="128"/>
        <v>0</v>
      </c>
      <c r="T199" s="444" t="str">
        <f t="shared" si="129"/>
        <v>-</v>
      </c>
      <c r="U199" s="364">
        <f t="shared" si="130"/>
        <v>0</v>
      </c>
      <c r="V199" s="459">
        <f t="shared" si="131"/>
        <v>0</v>
      </c>
      <c r="W199" s="460" t="str">
        <f t="shared" si="132"/>
        <v>-</v>
      </c>
      <c r="X199" s="461">
        <f t="shared" si="133"/>
        <v>0</v>
      </c>
      <c r="Y199" s="366"/>
      <c r="Z199" s="366"/>
      <c r="AA199" s="367"/>
      <c r="AB199" s="367"/>
      <c r="AC199" s="367">
        <v>1</v>
      </c>
      <c r="AD199" s="446"/>
    </row>
    <row r="200" spans="2:34" s="147" customFormat="1" ht="27" customHeight="1">
      <c r="B200" s="894"/>
      <c r="C200" s="895"/>
      <c r="D200" s="361">
        <v>18</v>
      </c>
      <c r="E200" s="440"/>
      <c r="F200" s="441">
        <f t="shared" si="121"/>
        <v>0</v>
      </c>
      <c r="G200" s="365"/>
      <c r="H200" s="442"/>
      <c r="I200" s="442"/>
      <c r="J200" s="444" t="str">
        <f t="shared" si="122"/>
        <v>-</v>
      </c>
      <c r="K200" s="443"/>
      <c r="L200" s="444" t="str">
        <f t="shared" si="123"/>
        <v>-</v>
      </c>
      <c r="M200" s="443"/>
      <c r="N200" s="444" t="str">
        <f t="shared" si="124"/>
        <v>-</v>
      </c>
      <c r="O200" s="445">
        <f t="shared" si="125"/>
        <v>0</v>
      </c>
      <c r="P200" s="444" t="str">
        <f t="shared" si="126"/>
        <v>-</v>
      </c>
      <c r="Q200" s="442"/>
      <c r="R200" s="444" t="str">
        <f t="shared" si="127"/>
        <v>-</v>
      </c>
      <c r="S200" s="445">
        <f t="shared" si="128"/>
        <v>0</v>
      </c>
      <c r="T200" s="444" t="str">
        <f t="shared" si="129"/>
        <v>-</v>
      </c>
      <c r="U200" s="364">
        <f t="shared" si="130"/>
        <v>0</v>
      </c>
      <c r="V200" s="459">
        <f t="shared" si="131"/>
        <v>0</v>
      </c>
      <c r="W200" s="460" t="str">
        <f t="shared" si="132"/>
        <v>-</v>
      </c>
      <c r="X200" s="461">
        <f t="shared" si="133"/>
        <v>0</v>
      </c>
      <c r="Y200" s="366"/>
      <c r="Z200" s="366"/>
      <c r="AA200" s="380"/>
      <c r="AB200" s="367"/>
      <c r="AC200" s="367">
        <v>1</v>
      </c>
      <c r="AD200" s="446"/>
    </row>
    <row r="201" spans="2:34" s="147" customFormat="1" ht="27" customHeight="1">
      <c r="B201" s="894"/>
      <c r="C201" s="895"/>
      <c r="D201" s="361">
        <v>19</v>
      </c>
      <c r="E201" s="440"/>
      <c r="F201" s="441">
        <f t="shared" si="121"/>
        <v>0</v>
      </c>
      <c r="G201" s="365"/>
      <c r="H201" s="442"/>
      <c r="I201" s="442"/>
      <c r="J201" s="444" t="str">
        <f t="shared" si="122"/>
        <v>-</v>
      </c>
      <c r="K201" s="443"/>
      <c r="L201" s="444" t="str">
        <f t="shared" si="123"/>
        <v>-</v>
      </c>
      <c r="M201" s="443"/>
      <c r="N201" s="444" t="str">
        <f t="shared" si="124"/>
        <v>-</v>
      </c>
      <c r="O201" s="445">
        <f t="shared" si="125"/>
        <v>0</v>
      </c>
      <c r="P201" s="444" t="str">
        <f t="shared" si="126"/>
        <v>-</v>
      </c>
      <c r="Q201" s="442"/>
      <c r="R201" s="444" t="str">
        <f t="shared" si="127"/>
        <v>-</v>
      </c>
      <c r="S201" s="445">
        <f t="shared" si="128"/>
        <v>0</v>
      </c>
      <c r="T201" s="444" t="str">
        <f t="shared" si="129"/>
        <v>-</v>
      </c>
      <c r="U201" s="364">
        <f t="shared" si="130"/>
        <v>0</v>
      </c>
      <c r="V201" s="459">
        <f t="shared" si="131"/>
        <v>0</v>
      </c>
      <c r="W201" s="460" t="str">
        <f t="shared" si="132"/>
        <v>-</v>
      </c>
      <c r="X201" s="461">
        <f t="shared" si="133"/>
        <v>0</v>
      </c>
      <c r="Y201" s="366"/>
      <c r="Z201" s="366"/>
      <c r="AA201" s="367"/>
      <c r="AB201" s="367"/>
      <c r="AC201" s="367">
        <v>1</v>
      </c>
      <c r="AD201" s="446"/>
    </row>
    <row r="202" spans="2:34" s="147" customFormat="1" ht="27" customHeight="1">
      <c r="B202" s="896"/>
      <c r="C202" s="897"/>
      <c r="D202" s="361">
        <v>20</v>
      </c>
      <c r="E202" s="440"/>
      <c r="F202" s="441">
        <f t="shared" si="121"/>
        <v>0</v>
      </c>
      <c r="G202" s="365"/>
      <c r="H202" s="442"/>
      <c r="I202" s="442"/>
      <c r="J202" s="444" t="str">
        <f t="shared" si="122"/>
        <v>-</v>
      </c>
      <c r="K202" s="443"/>
      <c r="L202" s="444" t="str">
        <f t="shared" si="123"/>
        <v>-</v>
      </c>
      <c r="M202" s="443"/>
      <c r="N202" s="444" t="str">
        <f t="shared" si="124"/>
        <v>-</v>
      </c>
      <c r="O202" s="445">
        <f t="shared" si="125"/>
        <v>0</v>
      </c>
      <c r="P202" s="444" t="str">
        <f t="shared" si="126"/>
        <v>-</v>
      </c>
      <c r="Q202" s="442"/>
      <c r="R202" s="444" t="str">
        <f t="shared" si="127"/>
        <v>-</v>
      </c>
      <c r="S202" s="445">
        <f t="shared" si="128"/>
        <v>0</v>
      </c>
      <c r="T202" s="444" t="str">
        <f t="shared" si="129"/>
        <v>-</v>
      </c>
      <c r="U202" s="364">
        <f t="shared" si="130"/>
        <v>0</v>
      </c>
      <c r="V202" s="459">
        <f t="shared" si="131"/>
        <v>0</v>
      </c>
      <c r="W202" s="460" t="str">
        <f t="shared" si="132"/>
        <v>-</v>
      </c>
      <c r="X202" s="461">
        <f t="shared" si="133"/>
        <v>0</v>
      </c>
      <c r="Y202" s="366"/>
      <c r="Z202" s="366"/>
      <c r="AA202" s="367"/>
      <c r="AB202" s="367"/>
      <c r="AC202" s="367">
        <v>1</v>
      </c>
      <c r="AD202" s="446"/>
    </row>
  </sheetData>
  <mergeCells count="186">
    <mergeCell ref="E49:E50"/>
    <mergeCell ref="F49:F50"/>
    <mergeCell ref="AB3:AB6"/>
    <mergeCell ref="AA3:AA6"/>
    <mergeCell ref="G3:U3"/>
    <mergeCell ref="D3:F3"/>
    <mergeCell ref="B29:C48"/>
    <mergeCell ref="B3:C6"/>
    <mergeCell ref="B7:C26"/>
    <mergeCell ref="F5:F6"/>
    <mergeCell ref="E5:E6"/>
    <mergeCell ref="Q4:U4"/>
    <mergeCell ref="G4:P4"/>
    <mergeCell ref="G5:P5"/>
    <mergeCell ref="E4:F4"/>
    <mergeCell ref="D4:D6"/>
    <mergeCell ref="Z3:Z6"/>
    <mergeCell ref="Y3:Y6"/>
    <mergeCell ref="S27:U27"/>
    <mergeCell ref="Q27:R27"/>
    <mergeCell ref="O27:P27"/>
    <mergeCell ref="S5:U5"/>
    <mergeCell ref="Q5:R5"/>
    <mergeCell ref="E27:E28"/>
    <mergeCell ref="K115:L115"/>
    <mergeCell ref="M115:N115"/>
    <mergeCell ref="B95:C114"/>
    <mergeCell ref="S71:U71"/>
    <mergeCell ref="Q71:R71"/>
    <mergeCell ref="O71:P71"/>
    <mergeCell ref="M71:N71"/>
    <mergeCell ref="K71:L71"/>
    <mergeCell ref="S49:U49"/>
    <mergeCell ref="Q49:R49"/>
    <mergeCell ref="O49:P49"/>
    <mergeCell ref="K93:L93"/>
    <mergeCell ref="M93:N93"/>
    <mergeCell ref="O93:P93"/>
    <mergeCell ref="Q93:R93"/>
    <mergeCell ref="S93:U93"/>
    <mergeCell ref="B51:C70"/>
    <mergeCell ref="B71:C72"/>
    <mergeCell ref="D71:D72"/>
    <mergeCell ref="E71:E72"/>
    <mergeCell ref="F71:F72"/>
    <mergeCell ref="G71:G72"/>
    <mergeCell ref="B49:C50"/>
    <mergeCell ref="D49:D50"/>
    <mergeCell ref="AD115:AD116"/>
    <mergeCell ref="AD93:AD94"/>
    <mergeCell ref="Z27:Z28"/>
    <mergeCell ref="Y27:Y28"/>
    <mergeCell ref="AD27:AD28"/>
    <mergeCell ref="AC27:AC28"/>
    <mergeCell ref="AB27:AB28"/>
    <mergeCell ref="AA27:AA28"/>
    <mergeCell ref="B117:C136"/>
    <mergeCell ref="O115:P115"/>
    <mergeCell ref="Q115:R115"/>
    <mergeCell ref="S115:U115"/>
    <mergeCell ref="Y115:Y116"/>
    <mergeCell ref="Z115:Z116"/>
    <mergeCell ref="AA115:AA116"/>
    <mergeCell ref="AB115:AB116"/>
    <mergeCell ref="AC115:AC116"/>
    <mergeCell ref="B115:C116"/>
    <mergeCell ref="D115:D116"/>
    <mergeCell ref="E115:E116"/>
    <mergeCell ref="F115:F116"/>
    <mergeCell ref="G115:G116"/>
    <mergeCell ref="H115:H116"/>
    <mergeCell ref="I115:J115"/>
    <mergeCell ref="AD3:AD6"/>
    <mergeCell ref="AC3:AC6"/>
    <mergeCell ref="B93:C94"/>
    <mergeCell ref="D93:D94"/>
    <mergeCell ref="E93:E94"/>
    <mergeCell ref="F93:F94"/>
    <mergeCell ref="H71:H72"/>
    <mergeCell ref="I71:J71"/>
    <mergeCell ref="I27:J27"/>
    <mergeCell ref="F27:F28"/>
    <mergeCell ref="G27:G28"/>
    <mergeCell ref="H27:H28"/>
    <mergeCell ref="G93:G94"/>
    <mergeCell ref="H93:H94"/>
    <mergeCell ref="I93:J93"/>
    <mergeCell ref="Z93:Z94"/>
    <mergeCell ref="AA93:AA94"/>
    <mergeCell ref="AB93:AB94"/>
    <mergeCell ref="H49:H50"/>
    <mergeCell ref="I49:J49"/>
    <mergeCell ref="K49:L49"/>
    <mergeCell ref="M49:N49"/>
    <mergeCell ref="B27:C28"/>
    <mergeCell ref="D27:D28"/>
    <mergeCell ref="G49:G50"/>
    <mergeCell ref="B73:C92"/>
    <mergeCell ref="K27:L27"/>
    <mergeCell ref="M27:N27"/>
    <mergeCell ref="V115:X115"/>
    <mergeCell ref="AF49:AM51"/>
    <mergeCell ref="AC49:AC50"/>
    <mergeCell ref="AD49:AD50"/>
    <mergeCell ref="AF71:AM73"/>
    <mergeCell ref="Y71:Y72"/>
    <mergeCell ref="Z71:Z72"/>
    <mergeCell ref="AA71:AA72"/>
    <mergeCell ref="AB71:AB72"/>
    <mergeCell ref="AC71:AC72"/>
    <mergeCell ref="AD71:AD72"/>
    <mergeCell ref="Y49:Y50"/>
    <mergeCell ref="Z49:Z50"/>
    <mergeCell ref="AA49:AA50"/>
    <mergeCell ref="AB49:AB50"/>
    <mergeCell ref="AF108:AM110"/>
    <mergeCell ref="Y93:Y94"/>
    <mergeCell ref="AF93:AM95"/>
    <mergeCell ref="AC93:AC94"/>
    <mergeCell ref="AF115:AM117"/>
    <mergeCell ref="B2:AD2"/>
    <mergeCell ref="AF3:AM5"/>
    <mergeCell ref="AF27:AM29"/>
    <mergeCell ref="B137:C138"/>
    <mergeCell ref="D137:D138"/>
    <mergeCell ref="E137:E138"/>
    <mergeCell ref="F137:F138"/>
    <mergeCell ref="G137:G138"/>
    <mergeCell ref="H137:H138"/>
    <mergeCell ref="I137:J137"/>
    <mergeCell ref="K137:L137"/>
    <mergeCell ref="M137:N137"/>
    <mergeCell ref="O137:P137"/>
    <mergeCell ref="Q137:R137"/>
    <mergeCell ref="S137:U137"/>
    <mergeCell ref="V137:X137"/>
    <mergeCell ref="Y137:Y138"/>
    <mergeCell ref="Z137:Z138"/>
    <mergeCell ref="AA137:AA138"/>
    <mergeCell ref="AB137:AB138"/>
    <mergeCell ref="AC137:AC138"/>
    <mergeCell ref="AD137:AD138"/>
    <mergeCell ref="AF137:AM139"/>
    <mergeCell ref="B139:C158"/>
    <mergeCell ref="B159:C160"/>
    <mergeCell ref="D159:D160"/>
    <mergeCell ref="E159:E160"/>
    <mergeCell ref="F159:F160"/>
    <mergeCell ref="G159:G160"/>
    <mergeCell ref="H159:H160"/>
    <mergeCell ref="I159:J159"/>
    <mergeCell ref="K159:L159"/>
    <mergeCell ref="M159:N159"/>
    <mergeCell ref="O159:P159"/>
    <mergeCell ref="Q159:R159"/>
    <mergeCell ref="S159:U159"/>
    <mergeCell ref="V159:X159"/>
    <mergeCell ref="Y159:Y160"/>
    <mergeCell ref="Z159:Z160"/>
    <mergeCell ref="AA159:AA160"/>
    <mergeCell ref="AB159:AB160"/>
    <mergeCell ref="AC159:AC160"/>
    <mergeCell ref="AD159:AD160"/>
    <mergeCell ref="AF159:AM161"/>
    <mergeCell ref="B161:C180"/>
    <mergeCell ref="B181:C182"/>
    <mergeCell ref="D181:D182"/>
    <mergeCell ref="E181:E182"/>
    <mergeCell ref="F181:F182"/>
    <mergeCell ref="G181:G182"/>
    <mergeCell ref="H181:H182"/>
    <mergeCell ref="I181:J181"/>
    <mergeCell ref="K181:L181"/>
    <mergeCell ref="M181:N181"/>
    <mergeCell ref="O181:P181"/>
    <mergeCell ref="Q181:R181"/>
    <mergeCell ref="S181:U181"/>
    <mergeCell ref="V181:X181"/>
    <mergeCell ref="Y181:Y182"/>
    <mergeCell ref="Z181:Z182"/>
    <mergeCell ref="AA181:AA182"/>
    <mergeCell ref="AB181:AB182"/>
    <mergeCell ref="AC181:AC182"/>
    <mergeCell ref="AD181:AD182"/>
    <mergeCell ref="AF181:AM183"/>
    <mergeCell ref="B183:C202"/>
  </mergeCells>
  <phoneticPr fontId="13" type="noConversion"/>
  <dataValidations count="1">
    <dataValidation type="list" allowBlank="1" showInputMessage="1" showErrorMessage="1" sqref="Y3:Y26 Y1:Z2 Z3:Z6 Y29:Y48 Y95:Y114 Y73:Y92 Y93:Z93 Y71:Z71 Y27:Z27 Y49:Z49 Y51:Y70 Y115:Z115 Y117:Y136 Y139:Y158 Y137:Z137 Y159:Z159 Y183:Y202 Y203:Z1048576 Y181:Z181 Y161:Y180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202"/>
  <sheetViews>
    <sheetView zoomScale="70" zoomScaleNormal="70" workbookViewId="0">
      <pane xSplit="3" ySplit="2" topLeftCell="D157" activePane="bottomRight" state="frozen"/>
      <selection pane="topRight" activeCell="D1" sqref="D1"/>
      <selection pane="bottomLeft" activeCell="A4" sqref="A4"/>
      <selection pane="bottomRight" activeCell="AD161" sqref="AD161:AD180"/>
    </sheetView>
  </sheetViews>
  <sheetFormatPr defaultColWidth="8.85546875" defaultRowHeight="14.25"/>
  <cols>
    <col min="1" max="1" width="8.85546875" style="145"/>
    <col min="2" max="2" width="12.42578125" style="145" customWidth="1"/>
    <col min="3" max="3" width="8.85546875" style="145"/>
    <col min="4" max="4" width="11.5703125" style="145" customWidth="1"/>
    <col min="5" max="5" width="39.28515625" style="145" bestFit="1" customWidth="1"/>
    <col min="6" max="6" width="11.42578125" style="145" bestFit="1" customWidth="1"/>
    <col min="7" max="8" width="15.85546875" style="145" bestFit="1" customWidth="1"/>
    <col min="9" max="9" width="16.85546875" style="145" customWidth="1"/>
    <col min="10" max="10" width="14" style="145" customWidth="1"/>
    <col min="11" max="11" width="15.42578125" style="145" bestFit="1" customWidth="1"/>
    <col min="12" max="12" width="12.28515625" style="145" bestFit="1" customWidth="1"/>
    <col min="13" max="13" width="19.140625" style="145" bestFit="1" customWidth="1"/>
    <col min="14" max="14" width="15.28515625" style="145" bestFit="1" customWidth="1"/>
    <col min="15" max="15" width="19.140625" style="145" bestFit="1" customWidth="1"/>
    <col min="16" max="16" width="12.5703125" style="145" bestFit="1" customWidth="1"/>
    <col min="17" max="17" width="9.140625" style="145" bestFit="1" customWidth="1"/>
    <col min="18" max="18" width="12.28515625" style="145" bestFit="1" customWidth="1"/>
    <col min="19" max="19" width="12.5703125" style="145" bestFit="1" customWidth="1"/>
    <col min="20" max="20" width="12.42578125" style="145" bestFit="1" customWidth="1"/>
    <col min="21" max="21" width="11.42578125" style="145" bestFit="1" customWidth="1"/>
    <col min="22" max="24" width="11.42578125" style="145" customWidth="1"/>
    <col min="25" max="25" width="12.42578125" style="145" bestFit="1" customWidth="1"/>
    <col min="26" max="26" width="15.28515625" style="145" bestFit="1" customWidth="1"/>
    <col min="27" max="27" width="66.85546875" style="145" bestFit="1" customWidth="1"/>
    <col min="28" max="28" width="113.42578125" style="145" bestFit="1" customWidth="1"/>
    <col min="29" max="29" width="11.42578125" style="145" bestFit="1" customWidth="1"/>
    <col min="30" max="30" width="37.7109375" style="145" bestFit="1" customWidth="1"/>
    <col min="31" max="31" width="19.42578125" style="145" bestFit="1" customWidth="1"/>
    <col min="32" max="32" width="21.5703125" style="145" customWidth="1"/>
    <col min="33" max="33" width="19.42578125" style="145" bestFit="1" customWidth="1"/>
    <col min="34" max="39" width="14.42578125" style="145" customWidth="1"/>
    <col min="40" max="16384" width="8.85546875" style="145"/>
  </cols>
  <sheetData>
    <row r="2" spans="2:39" ht="41.1" customHeight="1">
      <c r="B2" s="916" t="s">
        <v>449</v>
      </c>
      <c r="C2" s="917"/>
      <c r="D2" s="917"/>
      <c r="E2" s="917"/>
      <c r="F2" s="917"/>
      <c r="G2" s="917"/>
      <c r="H2" s="917"/>
      <c r="I2" s="917"/>
      <c r="J2" s="917"/>
      <c r="K2" s="917"/>
      <c r="L2" s="917"/>
      <c r="M2" s="917"/>
      <c r="N2" s="917"/>
      <c r="O2" s="917"/>
      <c r="P2" s="917"/>
      <c r="Q2" s="917"/>
      <c r="R2" s="917"/>
      <c r="S2" s="917"/>
      <c r="T2" s="917"/>
      <c r="U2" s="917"/>
      <c r="V2" s="917"/>
      <c r="W2" s="917"/>
      <c r="X2" s="917"/>
      <c r="Y2" s="917"/>
      <c r="Z2" s="917"/>
      <c r="AA2" s="917"/>
      <c r="AB2" s="917"/>
      <c r="AD2" s="146"/>
      <c r="AE2" s="146"/>
      <c r="AF2" s="146"/>
      <c r="AG2" s="146"/>
    </row>
    <row r="3" spans="2:39" ht="17.100000000000001" hidden="1" customHeight="1">
      <c r="B3" s="943" t="s">
        <v>442</v>
      </c>
      <c r="C3" s="931"/>
      <c r="D3" s="955" t="s">
        <v>170</v>
      </c>
      <c r="E3" s="955"/>
      <c r="F3" s="955"/>
      <c r="G3" s="940" t="s">
        <v>184</v>
      </c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2"/>
      <c r="Y3" s="914" t="s">
        <v>171</v>
      </c>
      <c r="Z3" s="914" t="s">
        <v>245</v>
      </c>
      <c r="AA3" s="937" t="s">
        <v>443</v>
      </c>
      <c r="AB3" s="937" t="s">
        <v>444</v>
      </c>
      <c r="AC3" s="914" t="s">
        <v>246</v>
      </c>
      <c r="AD3" s="881" t="s">
        <v>172</v>
      </c>
      <c r="AF3" s="918" t="s">
        <v>247</v>
      </c>
      <c r="AG3" s="919"/>
      <c r="AH3" s="919"/>
      <c r="AI3" s="919"/>
      <c r="AJ3" s="919"/>
      <c r="AK3" s="919"/>
      <c r="AL3" s="919"/>
      <c r="AM3" s="920"/>
    </row>
    <row r="4" spans="2:39" ht="17.100000000000001" hidden="1" customHeight="1">
      <c r="B4" s="898"/>
      <c r="C4" s="899"/>
      <c r="D4" s="902" t="s">
        <v>169</v>
      </c>
      <c r="E4" s="955" t="s">
        <v>173</v>
      </c>
      <c r="F4" s="955"/>
      <c r="G4" s="940" t="s">
        <v>185</v>
      </c>
      <c r="H4" s="941"/>
      <c r="I4" s="941"/>
      <c r="J4" s="941"/>
      <c r="K4" s="941"/>
      <c r="L4" s="941"/>
      <c r="M4" s="941"/>
      <c r="N4" s="941"/>
      <c r="O4" s="941"/>
      <c r="P4" s="942"/>
      <c r="Q4" s="940" t="s">
        <v>174</v>
      </c>
      <c r="R4" s="941"/>
      <c r="S4" s="941"/>
      <c r="T4" s="941"/>
      <c r="U4" s="942"/>
      <c r="Y4" s="929"/>
      <c r="Z4" s="929"/>
      <c r="AA4" s="938"/>
      <c r="AB4" s="938"/>
      <c r="AC4" s="929"/>
      <c r="AD4" s="928"/>
      <c r="AF4" s="921"/>
      <c r="AG4" s="922"/>
      <c r="AH4" s="922"/>
      <c r="AI4" s="922"/>
      <c r="AJ4" s="922"/>
      <c r="AK4" s="922"/>
      <c r="AL4" s="922"/>
      <c r="AM4" s="923"/>
    </row>
    <row r="5" spans="2:39" ht="17.100000000000001" hidden="1" customHeight="1">
      <c r="B5" s="898"/>
      <c r="C5" s="899"/>
      <c r="D5" s="902"/>
      <c r="E5" s="902" t="s">
        <v>175</v>
      </c>
      <c r="F5" s="953" t="s">
        <v>567</v>
      </c>
      <c r="G5" s="949" t="s">
        <v>186</v>
      </c>
      <c r="H5" s="950"/>
      <c r="I5" s="950"/>
      <c r="J5" s="950"/>
      <c r="K5" s="950"/>
      <c r="L5" s="950"/>
      <c r="M5" s="950"/>
      <c r="N5" s="950"/>
      <c r="O5" s="950"/>
      <c r="P5" s="951"/>
      <c r="Q5" s="949" t="s">
        <v>168</v>
      </c>
      <c r="R5" s="951"/>
      <c r="S5" s="949" t="s">
        <v>176</v>
      </c>
      <c r="T5" s="950"/>
      <c r="U5" s="951"/>
      <c r="Y5" s="929"/>
      <c r="Z5" s="929"/>
      <c r="AA5" s="938"/>
      <c r="AB5" s="938"/>
      <c r="AC5" s="929"/>
      <c r="AD5" s="928"/>
      <c r="AF5" s="924"/>
      <c r="AG5" s="925"/>
      <c r="AH5" s="925"/>
      <c r="AI5" s="925"/>
      <c r="AJ5" s="925"/>
      <c r="AK5" s="925"/>
      <c r="AL5" s="925"/>
      <c r="AM5" s="926"/>
    </row>
    <row r="6" spans="2:39" ht="38.450000000000003" hidden="1" customHeight="1">
      <c r="B6" s="900"/>
      <c r="C6" s="901"/>
      <c r="D6" s="902"/>
      <c r="E6" s="902"/>
      <c r="F6" s="904"/>
      <c r="G6" s="362" t="s">
        <v>177</v>
      </c>
      <c r="H6" s="362" t="s">
        <v>252</v>
      </c>
      <c r="I6" s="439" t="s">
        <v>559</v>
      </c>
      <c r="J6" s="362" t="s">
        <v>560</v>
      </c>
      <c r="K6" s="362" t="s">
        <v>253</v>
      </c>
      <c r="L6" s="362" t="s">
        <v>178</v>
      </c>
      <c r="M6" s="362" t="s">
        <v>250</v>
      </c>
      <c r="N6" s="362" t="s">
        <v>179</v>
      </c>
      <c r="O6" s="362" t="s">
        <v>187</v>
      </c>
      <c r="P6" s="362" t="s">
        <v>180</v>
      </c>
      <c r="Q6" s="363" t="s">
        <v>181</v>
      </c>
      <c r="R6" s="363" t="s">
        <v>182</v>
      </c>
      <c r="S6" s="363" t="s">
        <v>181</v>
      </c>
      <c r="T6" s="363" t="s">
        <v>182</v>
      </c>
      <c r="U6" s="362" t="s">
        <v>183</v>
      </c>
      <c r="Y6" s="915"/>
      <c r="Z6" s="915"/>
      <c r="AA6" s="939"/>
      <c r="AB6" s="939"/>
      <c r="AC6" s="915"/>
      <c r="AD6" s="882"/>
      <c r="AF6" s="160" t="s">
        <v>244</v>
      </c>
      <c r="AG6" s="160" t="s">
        <v>445</v>
      </c>
      <c r="AH6" s="155" t="s">
        <v>383</v>
      </c>
      <c r="AI6" s="155" t="s">
        <v>337</v>
      </c>
      <c r="AJ6" s="155" t="s">
        <v>428</v>
      </c>
      <c r="AK6" s="155" t="s">
        <v>215</v>
      </c>
      <c r="AL6" s="155" t="s">
        <v>216</v>
      </c>
      <c r="AM6" s="155" t="s">
        <v>384</v>
      </c>
    </row>
    <row r="7" spans="2:39" s="147" customFormat="1" ht="27" hidden="1" customHeight="1">
      <c r="B7" s="927" t="s">
        <v>564</v>
      </c>
      <c r="C7" s="893"/>
      <c r="D7" s="361">
        <v>1</v>
      </c>
      <c r="E7" s="440" t="s">
        <v>336</v>
      </c>
      <c r="F7" s="364">
        <v>16380.947300000002</v>
      </c>
      <c r="G7" s="365">
        <v>147.43000000000004</v>
      </c>
      <c r="H7" s="442">
        <v>5035.0899999999992</v>
      </c>
      <c r="I7" s="442">
        <v>5035.0899999999992</v>
      </c>
      <c r="J7" s="444">
        <f>IFERROR(I7/H7,"-")</f>
        <v>1</v>
      </c>
      <c r="K7" s="443">
        <v>5035.0899999999992</v>
      </c>
      <c r="L7" s="444">
        <f>IFERROR(K7/H7,"-")</f>
        <v>1</v>
      </c>
      <c r="M7" s="443">
        <v>111.11000000000001</v>
      </c>
      <c r="N7" s="444">
        <f>IFERROR(M7/H7,"-")</f>
        <v>2.2067132861577455E-2</v>
      </c>
      <c r="O7" s="445">
        <f>IFERROR(K7+M7,"-")</f>
        <v>5146.1999999999989</v>
      </c>
      <c r="P7" s="444">
        <f>IFERROR(O7/H7,"-")</f>
        <v>1.0220671328615774</v>
      </c>
      <c r="Q7" s="442">
        <v>9.8000000000000007</v>
      </c>
      <c r="R7" s="444">
        <f>IFERROR(Q7/H7,"-")</f>
        <v>1.9463405817969496E-3</v>
      </c>
      <c r="S7" s="452">
        <f>IFERROR(Q7*G7,"-")</f>
        <v>1444.8140000000005</v>
      </c>
      <c r="T7" s="445">
        <f>IFERROR(O7-H7,"-")</f>
        <v>111.10999999999967</v>
      </c>
      <c r="U7" s="444">
        <f>IFERROR(T7/H7,"-")</f>
        <v>2.2067132861577389E-2</v>
      </c>
      <c r="Y7" s="366" t="s">
        <v>174</v>
      </c>
      <c r="Z7" s="366" t="s">
        <v>215</v>
      </c>
      <c r="AA7" s="367" t="s">
        <v>478</v>
      </c>
      <c r="AB7" s="367" t="s">
        <v>524</v>
      </c>
      <c r="AC7" s="367">
        <v>1</v>
      </c>
      <c r="AD7" s="446" t="s">
        <v>340</v>
      </c>
      <c r="AE7" s="368" t="s">
        <v>446</v>
      </c>
      <c r="AF7" s="374">
        <f>SUM(AC7:AC26)</f>
        <v>20</v>
      </c>
      <c r="AG7" s="369">
        <f t="shared" ref="AG7:AM7" si="0">SUMIF($Z$7:$Z$26,TRIM(AG6),$AC$7:$AC$26)</f>
        <v>0</v>
      </c>
      <c r="AH7" s="369">
        <f t="shared" si="0"/>
        <v>0</v>
      </c>
      <c r="AI7" s="369">
        <f t="shared" si="0"/>
        <v>0</v>
      </c>
      <c r="AJ7" s="369">
        <f t="shared" si="0"/>
        <v>12</v>
      </c>
      <c r="AK7" s="369">
        <f t="shared" si="0"/>
        <v>1</v>
      </c>
      <c r="AL7" s="369">
        <f t="shared" si="0"/>
        <v>7</v>
      </c>
      <c r="AM7" s="369">
        <f t="shared" si="0"/>
        <v>0</v>
      </c>
    </row>
    <row r="8" spans="2:39" s="147" customFormat="1" ht="27" hidden="1" customHeight="1">
      <c r="B8" s="894"/>
      <c r="C8" s="895"/>
      <c r="D8" s="361">
        <v>2</v>
      </c>
      <c r="E8" s="440" t="s">
        <v>534</v>
      </c>
      <c r="F8" s="364">
        <v>13027.84859999999</v>
      </c>
      <c r="G8" s="365">
        <v>39.389999999999993</v>
      </c>
      <c r="H8" s="442">
        <v>38623.35</v>
      </c>
      <c r="I8" s="442">
        <v>38623.35</v>
      </c>
      <c r="J8" s="444">
        <f t="shared" ref="J8:J26" si="1">IFERROR(I8/H8,"-")</f>
        <v>1</v>
      </c>
      <c r="K8" s="443">
        <v>38623.35</v>
      </c>
      <c r="L8" s="444">
        <f t="shared" ref="L8:L26" si="2">IFERROR(K8/H8,"-")</f>
        <v>1</v>
      </c>
      <c r="M8" s="443">
        <v>330.74</v>
      </c>
      <c r="N8" s="444">
        <f t="shared" ref="N8:N26" si="3">IFERROR(M8/H8,"-")</f>
        <v>8.5632137036274689E-3</v>
      </c>
      <c r="O8" s="445">
        <f t="shared" ref="O8:O26" si="4">IFERROR(K8+M8,"-")</f>
        <v>38954.089999999997</v>
      </c>
      <c r="P8" s="444">
        <f t="shared" ref="P8:P26" si="5">IFERROR(O8/H8,"-")</f>
        <v>1.0085632137036273</v>
      </c>
      <c r="Q8" s="442">
        <v>38.200000000000003</v>
      </c>
      <c r="R8" s="444">
        <f t="shared" ref="R8:R26" si="6">IFERROR(Q8/H8,"-")</f>
        <v>9.8903901396435066E-4</v>
      </c>
      <c r="S8" s="452">
        <f t="shared" ref="S8:S26" si="7">IFERROR(Q8*G8,"-")</f>
        <v>1504.6979999999999</v>
      </c>
      <c r="T8" s="445">
        <f t="shared" ref="T8:T26" si="8">IFERROR(O8-H8,"-")</f>
        <v>330.73999999999796</v>
      </c>
      <c r="U8" s="444">
        <f t="shared" ref="U8:U26" si="9">IFERROR(T8/H8,"-")</f>
        <v>8.5632137036274168E-3</v>
      </c>
      <c r="Y8" s="366" t="s">
        <v>174</v>
      </c>
      <c r="Z8" s="366" t="s">
        <v>216</v>
      </c>
      <c r="AA8" s="367" t="s">
        <v>592</v>
      </c>
      <c r="AB8" s="367" t="s">
        <v>573</v>
      </c>
      <c r="AC8" s="367">
        <v>1</v>
      </c>
      <c r="AD8" s="446" t="s">
        <v>340</v>
      </c>
      <c r="AF8" s="375"/>
      <c r="AG8" s="372">
        <f t="shared" ref="AG8:AM8" si="10">SUMIF($Z$7:$Z$26,TRIM(AG6),$F$7:$F$26)</f>
        <v>0</v>
      </c>
      <c r="AH8" s="372">
        <f t="shared" si="10"/>
        <v>0</v>
      </c>
      <c r="AI8" s="372">
        <f t="shared" si="10"/>
        <v>0</v>
      </c>
      <c r="AJ8" s="372">
        <f t="shared" si="10"/>
        <v>69778.58560000002</v>
      </c>
      <c r="AK8" s="372">
        <f t="shared" si="10"/>
        <v>16380.947300000002</v>
      </c>
      <c r="AL8" s="372">
        <f t="shared" si="10"/>
        <v>53400.977999999974</v>
      </c>
      <c r="AM8" s="372">
        <f t="shared" si="10"/>
        <v>0</v>
      </c>
    </row>
    <row r="9" spans="2:39" s="147" customFormat="1" ht="27" hidden="1" customHeight="1">
      <c r="B9" s="894"/>
      <c r="C9" s="895"/>
      <c r="D9" s="361">
        <v>3</v>
      </c>
      <c r="E9" s="440" t="s">
        <v>386</v>
      </c>
      <c r="F9" s="364">
        <v>11716.536000000006</v>
      </c>
      <c r="G9" s="365">
        <v>127.84000000000002</v>
      </c>
      <c r="H9" s="442">
        <v>4439.49</v>
      </c>
      <c r="I9" s="442">
        <v>4439.49</v>
      </c>
      <c r="J9" s="444">
        <f t="shared" si="1"/>
        <v>1</v>
      </c>
      <c r="K9" s="443">
        <v>4439.49</v>
      </c>
      <c r="L9" s="444">
        <f t="shared" si="2"/>
        <v>1</v>
      </c>
      <c r="M9" s="443">
        <v>91.65</v>
      </c>
      <c r="N9" s="444">
        <f t="shared" si="3"/>
        <v>2.0644263192393722E-2</v>
      </c>
      <c r="O9" s="445">
        <f t="shared" si="4"/>
        <v>4531.1399999999994</v>
      </c>
      <c r="P9" s="444">
        <f t="shared" si="5"/>
        <v>1.0206442631923935</v>
      </c>
      <c r="Q9" s="442">
        <v>19.840000000000003</v>
      </c>
      <c r="R9" s="444">
        <f t="shared" si="6"/>
        <v>4.4689817974587183E-3</v>
      </c>
      <c r="S9" s="452">
        <f t="shared" si="7"/>
        <v>2536.3456000000006</v>
      </c>
      <c r="T9" s="445">
        <f t="shared" si="8"/>
        <v>91.649999999999636</v>
      </c>
      <c r="U9" s="444">
        <f t="shared" si="9"/>
        <v>2.0644263192393639E-2</v>
      </c>
      <c r="Y9" s="366" t="s">
        <v>174</v>
      </c>
      <c r="Z9" s="366" t="s">
        <v>428</v>
      </c>
      <c r="AA9" s="367" t="s">
        <v>570</v>
      </c>
      <c r="AB9" s="367" t="s">
        <v>606</v>
      </c>
      <c r="AC9" s="367">
        <v>1</v>
      </c>
      <c r="AD9" s="446" t="s">
        <v>340</v>
      </c>
      <c r="AF9" s="361"/>
      <c r="AG9" s="373">
        <f t="shared" ref="AG9:AM9" si="11">AG7/$AF7</f>
        <v>0</v>
      </c>
      <c r="AH9" s="373">
        <f t="shared" si="11"/>
        <v>0</v>
      </c>
      <c r="AI9" s="373">
        <f t="shared" si="11"/>
        <v>0</v>
      </c>
      <c r="AJ9" s="373">
        <f t="shared" si="11"/>
        <v>0.6</v>
      </c>
      <c r="AK9" s="373">
        <f t="shared" si="11"/>
        <v>0.05</v>
      </c>
      <c r="AL9" s="373">
        <f t="shared" si="11"/>
        <v>0.35</v>
      </c>
      <c r="AM9" s="373">
        <f t="shared" si="11"/>
        <v>0</v>
      </c>
    </row>
    <row r="10" spans="2:39" s="147" customFormat="1" ht="27" hidden="1" customHeight="1">
      <c r="B10" s="894"/>
      <c r="C10" s="895"/>
      <c r="D10" s="361">
        <v>4</v>
      </c>
      <c r="E10" s="440" t="s">
        <v>459</v>
      </c>
      <c r="F10" s="364">
        <v>10025.658999999998</v>
      </c>
      <c r="G10" s="365">
        <v>605.77999999999986</v>
      </c>
      <c r="H10" s="442">
        <v>1046.28</v>
      </c>
      <c r="I10" s="442">
        <v>1046.28</v>
      </c>
      <c r="J10" s="444">
        <f t="shared" si="1"/>
        <v>1</v>
      </c>
      <c r="K10" s="443">
        <v>1046.28</v>
      </c>
      <c r="L10" s="444">
        <f t="shared" si="2"/>
        <v>1</v>
      </c>
      <c r="M10" s="443">
        <v>16.549999999999997</v>
      </c>
      <c r="N10" s="444">
        <f t="shared" si="3"/>
        <v>1.5817945483044691E-2</v>
      </c>
      <c r="O10" s="445">
        <f t="shared" si="4"/>
        <v>1062.83</v>
      </c>
      <c r="P10" s="444">
        <f t="shared" si="5"/>
        <v>1.0158179454830447</v>
      </c>
      <c r="Q10" s="442">
        <v>2.56</v>
      </c>
      <c r="R10" s="444">
        <f t="shared" si="6"/>
        <v>2.4467637726038921E-3</v>
      </c>
      <c r="S10" s="452">
        <f t="shared" si="7"/>
        <v>1550.7967999999996</v>
      </c>
      <c r="T10" s="445">
        <f t="shared" si="8"/>
        <v>16.549999999999955</v>
      </c>
      <c r="U10" s="444">
        <f t="shared" si="9"/>
        <v>1.5817945483044649E-2</v>
      </c>
      <c r="Y10" s="366" t="s">
        <v>174</v>
      </c>
      <c r="Z10" s="366" t="s">
        <v>216</v>
      </c>
      <c r="AA10" s="367" t="s">
        <v>608</v>
      </c>
      <c r="AB10" s="367" t="s">
        <v>609</v>
      </c>
      <c r="AC10" s="367">
        <v>1</v>
      </c>
      <c r="AD10" s="446" t="s">
        <v>342</v>
      </c>
    </row>
    <row r="11" spans="2:39" s="147" customFormat="1" ht="27" hidden="1" customHeight="1">
      <c r="B11" s="894"/>
      <c r="C11" s="895"/>
      <c r="D11" s="361">
        <v>5</v>
      </c>
      <c r="E11" s="440" t="s">
        <v>544</v>
      </c>
      <c r="F11" s="364">
        <v>6610.7126999999964</v>
      </c>
      <c r="G11" s="365">
        <v>62.43</v>
      </c>
      <c r="H11" s="442">
        <v>3169.77</v>
      </c>
      <c r="I11" s="442">
        <v>3169.77</v>
      </c>
      <c r="J11" s="444">
        <f t="shared" si="1"/>
        <v>1</v>
      </c>
      <c r="K11" s="443">
        <v>3169.77</v>
      </c>
      <c r="L11" s="444">
        <f t="shared" si="2"/>
        <v>1</v>
      </c>
      <c r="M11" s="443">
        <v>105.89</v>
      </c>
      <c r="N11" s="444">
        <f t="shared" si="3"/>
        <v>3.3406209283323399E-2</v>
      </c>
      <c r="O11" s="445">
        <f t="shared" si="4"/>
        <v>3275.66</v>
      </c>
      <c r="P11" s="444">
        <f t="shared" si="5"/>
        <v>1.0334062092833234</v>
      </c>
      <c r="Q11" s="442">
        <v>16.09</v>
      </c>
      <c r="R11" s="444">
        <f t="shared" si="6"/>
        <v>5.0760780750653831E-3</v>
      </c>
      <c r="S11" s="452">
        <f t="shared" si="7"/>
        <v>1004.4987</v>
      </c>
      <c r="T11" s="445">
        <f t="shared" si="8"/>
        <v>105.88999999999987</v>
      </c>
      <c r="U11" s="444">
        <f t="shared" si="9"/>
        <v>3.3406209283323357E-2</v>
      </c>
      <c r="Y11" s="366" t="s">
        <v>174</v>
      </c>
      <c r="Z11" s="366" t="s">
        <v>216</v>
      </c>
      <c r="AA11" s="367" t="s">
        <v>592</v>
      </c>
      <c r="AB11" s="367" t="s">
        <v>573</v>
      </c>
      <c r="AC11" s="367">
        <v>1</v>
      </c>
      <c r="AD11" s="446" t="s">
        <v>543</v>
      </c>
    </row>
    <row r="12" spans="2:39" s="147" customFormat="1" ht="27" hidden="1" customHeight="1">
      <c r="B12" s="894"/>
      <c r="C12" s="895"/>
      <c r="D12" s="361">
        <v>6</v>
      </c>
      <c r="E12" s="440" t="s">
        <v>461</v>
      </c>
      <c r="F12" s="364">
        <v>6425.9823999999962</v>
      </c>
      <c r="G12" s="365">
        <v>407.74000000000007</v>
      </c>
      <c r="H12" s="442">
        <v>1204.5999999999999</v>
      </c>
      <c r="I12" s="442">
        <v>1204.5999999999999</v>
      </c>
      <c r="J12" s="444">
        <f t="shared" si="1"/>
        <v>1</v>
      </c>
      <c r="K12" s="443">
        <v>1204.5999999999999</v>
      </c>
      <c r="L12" s="444">
        <f t="shared" si="2"/>
        <v>1</v>
      </c>
      <c r="M12" s="443">
        <v>15.76</v>
      </c>
      <c r="N12" s="444">
        <f t="shared" si="3"/>
        <v>1.3083181138967294E-2</v>
      </c>
      <c r="O12" s="445">
        <f t="shared" si="4"/>
        <v>1220.3599999999999</v>
      </c>
      <c r="P12" s="444">
        <f t="shared" si="5"/>
        <v>1.0130831811389673</v>
      </c>
      <c r="Q12" s="442">
        <v>6.65</v>
      </c>
      <c r="R12" s="444">
        <f t="shared" si="6"/>
        <v>5.5205047318611991E-3</v>
      </c>
      <c r="S12" s="452">
        <f t="shared" si="7"/>
        <v>2711.4710000000005</v>
      </c>
      <c r="T12" s="445">
        <f t="shared" si="8"/>
        <v>15.759999999999991</v>
      </c>
      <c r="U12" s="444">
        <f t="shared" si="9"/>
        <v>1.3083181138967285E-2</v>
      </c>
      <c r="Y12" s="366" t="s">
        <v>174</v>
      </c>
      <c r="Z12" s="366" t="s">
        <v>216</v>
      </c>
      <c r="AA12" s="367" t="s">
        <v>480</v>
      </c>
      <c r="AB12" s="367" t="s">
        <v>481</v>
      </c>
      <c r="AC12" s="367">
        <v>1</v>
      </c>
      <c r="AD12" s="446" t="s">
        <v>463</v>
      </c>
    </row>
    <row r="13" spans="2:39" s="147" customFormat="1" ht="27" hidden="1" customHeight="1">
      <c r="B13" s="894"/>
      <c r="C13" s="895"/>
      <c r="D13" s="361">
        <v>7</v>
      </c>
      <c r="E13" s="440" t="s">
        <v>583</v>
      </c>
      <c r="F13" s="364">
        <v>6424.0567999999957</v>
      </c>
      <c r="G13" s="365">
        <v>113.68000000000004</v>
      </c>
      <c r="H13" s="442">
        <v>1680.3000000000002</v>
      </c>
      <c r="I13" s="442">
        <v>1680.3000000000002</v>
      </c>
      <c r="J13" s="444">
        <f t="shared" si="1"/>
        <v>1</v>
      </c>
      <c r="K13" s="443">
        <v>1680.3000000000002</v>
      </c>
      <c r="L13" s="444">
        <f t="shared" si="2"/>
        <v>1</v>
      </c>
      <c r="M13" s="443">
        <v>56.510000000000005</v>
      </c>
      <c r="N13" s="444">
        <f t="shared" si="3"/>
        <v>3.3630899244182583E-2</v>
      </c>
      <c r="O13" s="445">
        <f t="shared" si="4"/>
        <v>1736.8100000000002</v>
      </c>
      <c r="P13" s="444">
        <f t="shared" si="5"/>
        <v>1.0336308992441825</v>
      </c>
      <c r="Q13" s="442">
        <v>7.330000000000001</v>
      </c>
      <c r="R13" s="444">
        <f t="shared" si="6"/>
        <v>4.3623162530500503E-3</v>
      </c>
      <c r="S13" s="452">
        <f t="shared" si="7"/>
        <v>833.27440000000036</v>
      </c>
      <c r="T13" s="445">
        <f t="shared" si="8"/>
        <v>56.509999999999991</v>
      </c>
      <c r="U13" s="444">
        <f t="shared" si="9"/>
        <v>3.3630899244182576E-2</v>
      </c>
      <c r="Y13" s="366" t="s">
        <v>174</v>
      </c>
      <c r="Z13" s="366" t="s">
        <v>428</v>
      </c>
      <c r="AA13" s="367" t="s">
        <v>479</v>
      </c>
      <c r="AB13" s="367" t="s">
        <v>477</v>
      </c>
      <c r="AC13" s="367">
        <v>1</v>
      </c>
      <c r="AD13" s="446" t="s">
        <v>566</v>
      </c>
      <c r="AH13" s="370"/>
    </row>
    <row r="14" spans="2:39" s="147" customFormat="1" ht="27" hidden="1" customHeight="1">
      <c r="B14" s="894"/>
      <c r="C14" s="895"/>
      <c r="D14" s="361">
        <v>8</v>
      </c>
      <c r="E14" s="440" t="s">
        <v>464</v>
      </c>
      <c r="F14" s="364">
        <v>6088.7199999999957</v>
      </c>
      <c r="G14" s="365">
        <v>629</v>
      </c>
      <c r="H14" s="442">
        <v>292.01</v>
      </c>
      <c r="I14" s="442">
        <v>292.01</v>
      </c>
      <c r="J14" s="444">
        <f t="shared" si="1"/>
        <v>1</v>
      </c>
      <c r="K14" s="443">
        <v>292.01</v>
      </c>
      <c r="L14" s="444">
        <f t="shared" si="2"/>
        <v>1</v>
      </c>
      <c r="M14" s="443">
        <v>9.68</v>
      </c>
      <c r="N14" s="444">
        <f t="shared" si="3"/>
        <v>3.3149549672956406E-2</v>
      </c>
      <c r="O14" s="445">
        <f t="shared" si="4"/>
        <v>301.69</v>
      </c>
      <c r="P14" s="444">
        <f t="shared" si="5"/>
        <v>1.0331495496729564</v>
      </c>
      <c r="Q14" s="442">
        <v>1.45</v>
      </c>
      <c r="R14" s="444">
        <f t="shared" si="6"/>
        <v>4.9655833704325197E-3</v>
      </c>
      <c r="S14" s="452">
        <f t="shared" si="7"/>
        <v>912.05</v>
      </c>
      <c r="T14" s="445">
        <f t="shared" si="8"/>
        <v>9.6800000000000068</v>
      </c>
      <c r="U14" s="444">
        <f t="shared" si="9"/>
        <v>3.3149549672956427E-2</v>
      </c>
      <c r="Y14" s="366" t="s">
        <v>174</v>
      </c>
      <c r="Z14" s="366" t="s">
        <v>428</v>
      </c>
      <c r="AA14" s="367" t="s">
        <v>482</v>
      </c>
      <c r="AB14" s="367" t="s">
        <v>547</v>
      </c>
      <c r="AC14" s="367">
        <v>1</v>
      </c>
      <c r="AD14" s="446" t="s">
        <v>458</v>
      </c>
      <c r="AH14" s="370"/>
    </row>
    <row r="15" spans="2:39" s="147" customFormat="1" ht="27" hidden="1" customHeight="1">
      <c r="B15" s="894"/>
      <c r="C15" s="895"/>
      <c r="D15" s="361">
        <v>9</v>
      </c>
      <c r="E15" s="440" t="s">
        <v>601</v>
      </c>
      <c r="F15" s="364">
        <v>6083.0315000000028</v>
      </c>
      <c r="G15" s="365">
        <v>46.149999999999991</v>
      </c>
      <c r="H15" s="442">
        <v>4197.4199999999992</v>
      </c>
      <c r="I15" s="442">
        <v>4197.4199999999992</v>
      </c>
      <c r="J15" s="444">
        <f t="shared" si="1"/>
        <v>1</v>
      </c>
      <c r="K15" s="443">
        <v>4197.4199999999992</v>
      </c>
      <c r="L15" s="444">
        <f t="shared" si="2"/>
        <v>1</v>
      </c>
      <c r="M15" s="443">
        <v>131.81</v>
      </c>
      <c r="N15" s="444">
        <f t="shared" si="3"/>
        <v>3.1402623516350529E-2</v>
      </c>
      <c r="O15" s="445">
        <f t="shared" si="4"/>
        <v>4329.2299999999996</v>
      </c>
      <c r="P15" s="444">
        <f t="shared" si="5"/>
        <v>1.0314026235163507</v>
      </c>
      <c r="Q15" s="442">
        <v>19.11</v>
      </c>
      <c r="R15" s="444">
        <f t="shared" si="6"/>
        <v>4.5527967179839054E-3</v>
      </c>
      <c r="S15" s="452">
        <f t="shared" si="7"/>
        <v>881.92649999999981</v>
      </c>
      <c r="T15" s="445">
        <f t="shared" si="8"/>
        <v>131.8100000000004</v>
      </c>
      <c r="U15" s="444">
        <f t="shared" si="9"/>
        <v>3.140262351635062E-2</v>
      </c>
      <c r="Y15" s="366" t="s">
        <v>174</v>
      </c>
      <c r="Z15" s="366" t="s">
        <v>216</v>
      </c>
      <c r="AA15" s="367" t="s">
        <v>592</v>
      </c>
      <c r="AB15" s="367" t="s">
        <v>573</v>
      </c>
      <c r="AC15" s="367">
        <v>1</v>
      </c>
      <c r="AD15" s="446" t="s">
        <v>597</v>
      </c>
      <c r="AH15" s="370"/>
    </row>
    <row r="16" spans="2:39" s="147" customFormat="1" ht="27" hidden="1" customHeight="1">
      <c r="B16" s="894"/>
      <c r="C16" s="895"/>
      <c r="D16" s="361">
        <v>10</v>
      </c>
      <c r="E16" s="440" t="s">
        <v>619</v>
      </c>
      <c r="F16" s="364">
        <v>5839.9613999999956</v>
      </c>
      <c r="G16" s="365">
        <v>39.389999999999993</v>
      </c>
      <c r="H16" s="442">
        <v>6391.77</v>
      </c>
      <c r="I16" s="442">
        <v>6391.77</v>
      </c>
      <c r="J16" s="444">
        <f t="shared" si="1"/>
        <v>1</v>
      </c>
      <c r="K16" s="443">
        <v>6395.77</v>
      </c>
      <c r="L16" s="444">
        <f t="shared" si="2"/>
        <v>1.0006258047457903</v>
      </c>
      <c r="M16" s="443">
        <v>144.26000000000002</v>
      </c>
      <c r="N16" s="444">
        <f t="shared" si="3"/>
        <v>2.2569648156926799E-2</v>
      </c>
      <c r="O16" s="445">
        <f t="shared" si="4"/>
        <v>6540.0300000000007</v>
      </c>
      <c r="P16" s="444">
        <f t="shared" si="5"/>
        <v>1.0231954529027172</v>
      </c>
      <c r="Q16" s="442">
        <v>21.798999999999999</v>
      </c>
      <c r="R16" s="444">
        <f t="shared" si="6"/>
        <v>3.4104794133706308E-3</v>
      </c>
      <c r="S16" s="452">
        <f t="shared" si="7"/>
        <v>858.66260999999986</v>
      </c>
      <c r="T16" s="445">
        <f t="shared" si="8"/>
        <v>148.26000000000022</v>
      </c>
      <c r="U16" s="444">
        <f t="shared" si="9"/>
        <v>2.3195452902717122E-2</v>
      </c>
      <c r="Y16" s="366" t="s">
        <v>174</v>
      </c>
      <c r="Z16" s="366" t="s">
        <v>216</v>
      </c>
      <c r="AA16" s="367" t="s">
        <v>592</v>
      </c>
      <c r="AB16" s="367" t="s">
        <v>573</v>
      </c>
      <c r="AC16" s="367">
        <v>1</v>
      </c>
      <c r="AD16" s="446" t="s">
        <v>614</v>
      </c>
      <c r="AH16" s="370"/>
    </row>
    <row r="17" spans="2:39" s="147" customFormat="1" ht="27" hidden="1" customHeight="1">
      <c r="B17" s="894"/>
      <c r="C17" s="895"/>
      <c r="D17" s="361">
        <v>11</v>
      </c>
      <c r="E17" s="440" t="s">
        <v>357</v>
      </c>
      <c r="F17" s="364">
        <v>5835.0499999999984</v>
      </c>
      <c r="G17" s="365">
        <v>152.75</v>
      </c>
      <c r="H17" s="442">
        <v>1234</v>
      </c>
      <c r="I17" s="442">
        <v>1234</v>
      </c>
      <c r="J17" s="444">
        <f t="shared" si="1"/>
        <v>1</v>
      </c>
      <c r="K17" s="443">
        <v>1234</v>
      </c>
      <c r="L17" s="444">
        <f t="shared" si="2"/>
        <v>1</v>
      </c>
      <c r="M17" s="443">
        <v>38.200000000000003</v>
      </c>
      <c r="N17" s="444">
        <f t="shared" si="3"/>
        <v>3.0956239870340359E-2</v>
      </c>
      <c r="O17" s="445">
        <f t="shared" si="4"/>
        <v>1272.2</v>
      </c>
      <c r="P17" s="444">
        <f t="shared" si="5"/>
        <v>1.0309562398703405</v>
      </c>
      <c r="Q17" s="442">
        <v>6.04</v>
      </c>
      <c r="R17" s="444">
        <f t="shared" si="6"/>
        <v>4.8946515397082658E-3</v>
      </c>
      <c r="S17" s="452">
        <f t="shared" si="7"/>
        <v>922.61</v>
      </c>
      <c r="T17" s="445">
        <f t="shared" si="8"/>
        <v>38.200000000000045</v>
      </c>
      <c r="U17" s="444">
        <f t="shared" si="9"/>
        <v>3.0956239870340393E-2</v>
      </c>
      <c r="Y17" s="366" t="s">
        <v>174</v>
      </c>
      <c r="Z17" s="366" t="s">
        <v>428</v>
      </c>
      <c r="AA17" s="367" t="s">
        <v>607</v>
      </c>
      <c r="AB17" s="367" t="s">
        <v>525</v>
      </c>
      <c r="AC17" s="367">
        <v>1</v>
      </c>
      <c r="AD17" s="446" t="s">
        <v>358</v>
      </c>
      <c r="AH17" s="370"/>
    </row>
    <row r="18" spans="2:39" s="147" customFormat="1" ht="27" hidden="1" customHeight="1">
      <c r="B18" s="894"/>
      <c r="C18" s="895"/>
      <c r="D18" s="361">
        <v>12</v>
      </c>
      <c r="E18" s="440" t="s">
        <v>535</v>
      </c>
      <c r="F18" s="364">
        <v>5456.6400000000031</v>
      </c>
      <c r="G18" s="365">
        <v>896</v>
      </c>
      <c r="H18" s="442">
        <v>294.53999999999996</v>
      </c>
      <c r="I18" s="442">
        <v>294.53999999999996</v>
      </c>
      <c r="J18" s="444">
        <f t="shared" si="1"/>
        <v>1</v>
      </c>
      <c r="K18" s="443">
        <v>294.53999999999996</v>
      </c>
      <c r="L18" s="444">
        <f t="shared" si="2"/>
        <v>1</v>
      </c>
      <c r="M18" s="443">
        <v>6.09</v>
      </c>
      <c r="N18" s="444">
        <f t="shared" si="3"/>
        <v>2.0676308820533715E-2</v>
      </c>
      <c r="O18" s="445">
        <f t="shared" si="4"/>
        <v>300.62999999999994</v>
      </c>
      <c r="P18" s="444">
        <f t="shared" si="5"/>
        <v>1.0206763088205337</v>
      </c>
      <c r="Q18" s="442">
        <v>0.88</v>
      </c>
      <c r="R18" s="444">
        <f t="shared" si="6"/>
        <v>2.9877096489441166E-3</v>
      </c>
      <c r="S18" s="452">
        <f t="shared" si="7"/>
        <v>788.48</v>
      </c>
      <c r="T18" s="445">
        <f t="shared" si="8"/>
        <v>6.089999999999975</v>
      </c>
      <c r="U18" s="444">
        <f t="shared" si="9"/>
        <v>2.0676308820533632E-2</v>
      </c>
      <c r="Y18" s="366" t="s">
        <v>174</v>
      </c>
      <c r="Z18" s="366" t="s">
        <v>428</v>
      </c>
      <c r="AA18" s="367" t="s">
        <v>593</v>
      </c>
      <c r="AB18" s="367" t="s">
        <v>525</v>
      </c>
      <c r="AC18" s="367">
        <v>1</v>
      </c>
      <c r="AD18" s="446" t="s">
        <v>536</v>
      </c>
    </row>
    <row r="19" spans="2:39" s="147" customFormat="1" ht="27" hidden="1" customHeight="1">
      <c r="B19" s="894"/>
      <c r="C19" s="895"/>
      <c r="D19" s="361">
        <v>13</v>
      </c>
      <c r="E19" s="440" t="s">
        <v>600</v>
      </c>
      <c r="F19" s="364">
        <v>5426.8845000000001</v>
      </c>
      <c r="G19" s="365">
        <v>413.94999999999993</v>
      </c>
      <c r="H19" s="442">
        <v>545.73</v>
      </c>
      <c r="I19" s="442">
        <v>545.73</v>
      </c>
      <c r="J19" s="444">
        <f t="shared" si="1"/>
        <v>1</v>
      </c>
      <c r="K19" s="443">
        <v>546.43000000000006</v>
      </c>
      <c r="L19" s="444">
        <f t="shared" si="2"/>
        <v>1.0012826855771171</v>
      </c>
      <c r="M19" s="443">
        <v>12.41</v>
      </c>
      <c r="N19" s="444">
        <f t="shared" si="3"/>
        <v>2.2740182874315135E-2</v>
      </c>
      <c r="O19" s="445">
        <f t="shared" si="4"/>
        <v>558.84</v>
      </c>
      <c r="P19" s="444">
        <f t="shared" si="5"/>
        <v>1.0240228684514321</v>
      </c>
      <c r="Q19" s="442">
        <v>2.4900000000000002</v>
      </c>
      <c r="R19" s="444">
        <f t="shared" si="6"/>
        <v>4.5626958386015062E-3</v>
      </c>
      <c r="S19" s="452">
        <f t="shared" si="7"/>
        <v>1030.7355</v>
      </c>
      <c r="T19" s="445">
        <f t="shared" si="8"/>
        <v>13.110000000000014</v>
      </c>
      <c r="U19" s="444">
        <f t="shared" si="9"/>
        <v>2.4022868451432051E-2</v>
      </c>
      <c r="Y19" s="366" t="s">
        <v>174</v>
      </c>
      <c r="Z19" s="366" t="s">
        <v>428</v>
      </c>
      <c r="AA19" s="367" t="s">
        <v>607</v>
      </c>
      <c r="AB19" s="367" t="s">
        <v>525</v>
      </c>
      <c r="AC19" s="367">
        <v>1</v>
      </c>
      <c r="AD19" s="446" t="s">
        <v>597</v>
      </c>
    </row>
    <row r="20" spans="2:39" s="147" customFormat="1" ht="27" hidden="1" customHeight="1">
      <c r="B20" s="894"/>
      <c r="C20" s="895"/>
      <c r="D20" s="361">
        <v>14</v>
      </c>
      <c r="E20" s="440" t="s">
        <v>568</v>
      </c>
      <c r="F20" s="364">
        <v>5387.7824000000001</v>
      </c>
      <c r="G20" s="365">
        <v>40.04</v>
      </c>
      <c r="H20" s="442">
        <v>3995.9500000000007</v>
      </c>
      <c r="I20" s="442">
        <v>3995.9500000000007</v>
      </c>
      <c r="J20" s="444">
        <f t="shared" si="1"/>
        <v>1</v>
      </c>
      <c r="K20" s="443">
        <v>3995.9500000000007</v>
      </c>
      <c r="L20" s="444">
        <f t="shared" si="2"/>
        <v>1</v>
      </c>
      <c r="M20" s="443">
        <v>134.56000000000003</v>
      </c>
      <c r="N20" s="444">
        <f t="shared" si="3"/>
        <v>3.3674095021208973E-2</v>
      </c>
      <c r="O20" s="445">
        <f t="shared" si="4"/>
        <v>4130.5100000000011</v>
      </c>
      <c r="P20" s="444">
        <f t="shared" si="5"/>
        <v>1.0336740950212091</v>
      </c>
      <c r="Q20" s="442">
        <v>21.759999999999998</v>
      </c>
      <c r="R20" s="444">
        <f t="shared" si="6"/>
        <v>5.4455135825022824E-3</v>
      </c>
      <c r="S20" s="452">
        <f t="shared" si="7"/>
        <v>871.27039999999988</v>
      </c>
      <c r="T20" s="445">
        <f t="shared" si="8"/>
        <v>134.5600000000004</v>
      </c>
      <c r="U20" s="444">
        <f t="shared" si="9"/>
        <v>3.367409502120907E-2</v>
      </c>
      <c r="Y20" s="366" t="s">
        <v>174</v>
      </c>
      <c r="Z20" s="366" t="s">
        <v>216</v>
      </c>
      <c r="AA20" s="367" t="s">
        <v>592</v>
      </c>
      <c r="AB20" s="367" t="s">
        <v>573</v>
      </c>
      <c r="AC20" s="367">
        <v>1</v>
      </c>
      <c r="AD20" s="446" t="s">
        <v>533</v>
      </c>
    </row>
    <row r="21" spans="2:39" s="147" customFormat="1" ht="27" hidden="1" customHeight="1">
      <c r="B21" s="894"/>
      <c r="C21" s="895"/>
      <c r="D21" s="361">
        <v>15</v>
      </c>
      <c r="E21" s="440" t="s">
        <v>599</v>
      </c>
      <c r="F21" s="364">
        <v>5249.1824000000051</v>
      </c>
      <c r="G21" s="365">
        <v>153.44000000000003</v>
      </c>
      <c r="H21" s="442">
        <v>2546.5</v>
      </c>
      <c r="I21" s="442">
        <v>2546.5</v>
      </c>
      <c r="J21" s="444">
        <f t="shared" si="1"/>
        <v>1</v>
      </c>
      <c r="K21" s="443">
        <v>2546.5</v>
      </c>
      <c r="L21" s="444">
        <f t="shared" si="2"/>
        <v>1</v>
      </c>
      <c r="M21" s="443">
        <v>34.21</v>
      </c>
      <c r="N21" s="444">
        <f t="shared" si="3"/>
        <v>1.3434125269978402E-2</v>
      </c>
      <c r="O21" s="445">
        <f t="shared" si="4"/>
        <v>2580.71</v>
      </c>
      <c r="P21" s="444">
        <f t="shared" si="5"/>
        <v>1.0134341252699783</v>
      </c>
      <c r="Q21" s="442">
        <v>6.81</v>
      </c>
      <c r="R21" s="444">
        <f t="shared" si="6"/>
        <v>2.6742587865698016E-3</v>
      </c>
      <c r="S21" s="452">
        <f t="shared" si="7"/>
        <v>1044.9264000000001</v>
      </c>
      <c r="T21" s="445">
        <f t="shared" si="8"/>
        <v>34.210000000000036</v>
      </c>
      <c r="U21" s="444">
        <f t="shared" si="9"/>
        <v>1.3434125269978416E-2</v>
      </c>
      <c r="Y21" s="366" t="s">
        <v>174</v>
      </c>
      <c r="Z21" s="366" t="s">
        <v>428</v>
      </c>
      <c r="AA21" s="367" t="s">
        <v>607</v>
      </c>
      <c r="AB21" s="367" t="s">
        <v>525</v>
      </c>
      <c r="AC21" s="367">
        <v>1</v>
      </c>
      <c r="AD21" s="446" t="s">
        <v>465</v>
      </c>
    </row>
    <row r="22" spans="2:39" s="147" customFormat="1" ht="27" hidden="1" customHeight="1">
      <c r="B22" s="894"/>
      <c r="C22" s="895"/>
      <c r="D22" s="361">
        <v>16</v>
      </c>
      <c r="E22" s="440" t="s">
        <v>545</v>
      </c>
      <c r="F22" s="364">
        <v>5240.1412</v>
      </c>
      <c r="G22" s="365">
        <v>66.13</v>
      </c>
      <c r="H22" s="442">
        <v>1826.8600000000001</v>
      </c>
      <c r="I22" s="442">
        <v>1826.8600000000001</v>
      </c>
      <c r="J22" s="444">
        <f t="shared" si="1"/>
        <v>1</v>
      </c>
      <c r="K22" s="443">
        <v>1826.8600000000001</v>
      </c>
      <c r="L22" s="444">
        <f t="shared" si="2"/>
        <v>1</v>
      </c>
      <c r="M22" s="443">
        <v>79.240000000000009</v>
      </c>
      <c r="N22" s="444">
        <f t="shared" si="3"/>
        <v>4.3374971262165683E-2</v>
      </c>
      <c r="O22" s="445">
        <f t="shared" si="4"/>
        <v>1906.1000000000001</v>
      </c>
      <c r="P22" s="444">
        <f t="shared" si="5"/>
        <v>1.0433749712621656</v>
      </c>
      <c r="Q22" s="442">
        <v>12.89</v>
      </c>
      <c r="R22" s="444">
        <f t="shared" si="6"/>
        <v>7.0558225589262445E-3</v>
      </c>
      <c r="S22" s="452">
        <f t="shared" si="7"/>
        <v>852.41570000000002</v>
      </c>
      <c r="T22" s="445">
        <f t="shared" si="8"/>
        <v>79.240000000000009</v>
      </c>
      <c r="U22" s="444">
        <f t="shared" si="9"/>
        <v>4.3374971262165683E-2</v>
      </c>
      <c r="Y22" s="366" t="s">
        <v>174</v>
      </c>
      <c r="Z22" s="366" t="s">
        <v>428</v>
      </c>
      <c r="AA22" s="367" t="s">
        <v>479</v>
      </c>
      <c r="AB22" s="367" t="s">
        <v>477</v>
      </c>
      <c r="AC22" s="367">
        <v>1</v>
      </c>
      <c r="AD22" s="446" t="s">
        <v>341</v>
      </c>
    </row>
    <row r="23" spans="2:39" s="147" customFormat="1" ht="27" hidden="1" customHeight="1">
      <c r="B23" s="894"/>
      <c r="C23" s="895"/>
      <c r="D23" s="361">
        <v>17</v>
      </c>
      <c r="E23" s="440" t="s">
        <v>420</v>
      </c>
      <c r="F23" s="364">
        <v>4690.3177000000069</v>
      </c>
      <c r="G23" s="365">
        <v>157.87000000000003</v>
      </c>
      <c r="H23" s="442">
        <v>1903.27</v>
      </c>
      <c r="I23" s="442">
        <v>1903.27</v>
      </c>
      <c r="J23" s="444">
        <f t="shared" si="1"/>
        <v>1</v>
      </c>
      <c r="K23" s="443">
        <v>1903.27</v>
      </c>
      <c r="L23" s="444">
        <f t="shared" si="2"/>
        <v>1</v>
      </c>
      <c r="M23" s="443">
        <v>29.71</v>
      </c>
      <c r="N23" s="444">
        <f t="shared" si="3"/>
        <v>1.5609976514104673E-2</v>
      </c>
      <c r="O23" s="445">
        <f t="shared" si="4"/>
        <v>1932.98</v>
      </c>
      <c r="P23" s="444">
        <f t="shared" si="5"/>
        <v>1.0156099765141047</v>
      </c>
      <c r="Q23" s="442">
        <v>6.4799999999999986</v>
      </c>
      <c r="R23" s="444">
        <f t="shared" si="6"/>
        <v>3.4046667051968447E-3</v>
      </c>
      <c r="S23" s="452">
        <f t="shared" si="7"/>
        <v>1022.9976</v>
      </c>
      <c r="T23" s="445">
        <f t="shared" si="8"/>
        <v>29.710000000000036</v>
      </c>
      <c r="U23" s="444">
        <f t="shared" si="9"/>
        <v>1.5609976514104692E-2</v>
      </c>
      <c r="Y23" s="366" t="s">
        <v>174</v>
      </c>
      <c r="Z23" s="366" t="s">
        <v>428</v>
      </c>
      <c r="AA23" s="367" t="s">
        <v>541</v>
      </c>
      <c r="AB23" s="367" t="s">
        <v>542</v>
      </c>
      <c r="AC23" s="367">
        <v>1</v>
      </c>
      <c r="AD23" s="446" t="s">
        <v>340</v>
      </c>
    </row>
    <row r="24" spans="2:39" s="147" customFormat="1" ht="27" hidden="1" customHeight="1">
      <c r="B24" s="894"/>
      <c r="C24" s="895"/>
      <c r="D24" s="361">
        <v>18</v>
      </c>
      <c r="E24" s="440" t="s">
        <v>432</v>
      </c>
      <c r="F24" s="364">
        <v>4656.9709999999986</v>
      </c>
      <c r="G24" s="365">
        <v>368.13999999999993</v>
      </c>
      <c r="H24" s="442">
        <v>439.56</v>
      </c>
      <c r="I24" s="442">
        <v>439.56</v>
      </c>
      <c r="J24" s="444">
        <f t="shared" si="1"/>
        <v>1</v>
      </c>
      <c r="K24" s="443">
        <v>439.56</v>
      </c>
      <c r="L24" s="444">
        <f t="shared" si="2"/>
        <v>1</v>
      </c>
      <c r="M24" s="443">
        <v>12.649999999999999</v>
      </c>
      <c r="N24" s="444">
        <f t="shared" si="3"/>
        <v>2.8778778778778775E-2</v>
      </c>
      <c r="O24" s="445">
        <f t="shared" si="4"/>
        <v>452.21</v>
      </c>
      <c r="P24" s="444">
        <f t="shared" si="5"/>
        <v>1.0287787787787788</v>
      </c>
      <c r="Q24" s="442">
        <v>2.63</v>
      </c>
      <c r="R24" s="444">
        <f t="shared" si="6"/>
        <v>5.9832559832559834E-3</v>
      </c>
      <c r="S24" s="452">
        <f t="shared" si="7"/>
        <v>968.20819999999981</v>
      </c>
      <c r="T24" s="445">
        <f t="shared" si="8"/>
        <v>12.649999999999977</v>
      </c>
      <c r="U24" s="444">
        <f t="shared" si="9"/>
        <v>2.8778778778778727E-2</v>
      </c>
      <c r="Y24" s="366" t="s">
        <v>174</v>
      </c>
      <c r="Z24" s="366" t="s">
        <v>428</v>
      </c>
      <c r="AA24" s="367" t="s">
        <v>591</v>
      </c>
      <c r="AB24" s="367" t="s">
        <v>481</v>
      </c>
      <c r="AC24" s="367">
        <v>1</v>
      </c>
      <c r="AD24" s="446" t="s">
        <v>433</v>
      </c>
    </row>
    <row r="25" spans="2:39" s="147" customFormat="1" ht="27" hidden="1" customHeight="1">
      <c r="B25" s="894"/>
      <c r="C25" s="895"/>
      <c r="D25" s="361">
        <v>19</v>
      </c>
      <c r="E25" s="440" t="s">
        <v>620</v>
      </c>
      <c r="F25" s="364">
        <v>4565.8496000000032</v>
      </c>
      <c r="G25" s="365">
        <v>95.439999999999984</v>
      </c>
      <c r="H25" s="442">
        <v>2225.1</v>
      </c>
      <c r="I25" s="442">
        <v>2225.1</v>
      </c>
      <c r="J25" s="444">
        <f t="shared" si="1"/>
        <v>1</v>
      </c>
      <c r="K25" s="443">
        <v>2225.1</v>
      </c>
      <c r="L25" s="444">
        <f t="shared" si="2"/>
        <v>1</v>
      </c>
      <c r="M25" s="443">
        <v>47.839999999999996</v>
      </c>
      <c r="N25" s="444">
        <f t="shared" si="3"/>
        <v>2.1500157296301288E-2</v>
      </c>
      <c r="O25" s="445">
        <f t="shared" si="4"/>
        <v>2272.94</v>
      </c>
      <c r="P25" s="444">
        <f t="shared" si="5"/>
        <v>1.0215001572963014</v>
      </c>
      <c r="Q25" s="442">
        <v>8.4</v>
      </c>
      <c r="R25" s="444">
        <f t="shared" si="6"/>
        <v>3.7751112309559122E-3</v>
      </c>
      <c r="S25" s="452">
        <f t="shared" si="7"/>
        <v>801.69599999999991</v>
      </c>
      <c r="T25" s="445">
        <f t="shared" si="8"/>
        <v>47.840000000000146</v>
      </c>
      <c r="U25" s="444">
        <f t="shared" si="9"/>
        <v>2.1500157296301357E-2</v>
      </c>
      <c r="V25" s="145"/>
      <c r="W25" s="145"/>
      <c r="X25" s="145"/>
      <c r="Y25" s="366" t="s">
        <v>174</v>
      </c>
      <c r="Z25" s="366" t="s">
        <v>428</v>
      </c>
      <c r="AA25" s="367" t="s">
        <v>607</v>
      </c>
      <c r="AB25" s="367" t="s">
        <v>525</v>
      </c>
      <c r="AC25" s="367">
        <v>1</v>
      </c>
      <c r="AD25" s="446" t="s">
        <v>340</v>
      </c>
      <c r="AG25" s="371"/>
      <c r="AH25" s="370"/>
    </row>
    <row r="26" spans="2:39" s="147" customFormat="1" ht="27" hidden="1" customHeight="1">
      <c r="B26" s="896"/>
      <c r="C26" s="897"/>
      <c r="D26" s="361">
        <v>20</v>
      </c>
      <c r="E26" s="440" t="s">
        <v>470</v>
      </c>
      <c r="F26" s="364">
        <v>4428.2364000000061</v>
      </c>
      <c r="G26" s="365">
        <v>266.27999999999997</v>
      </c>
      <c r="H26" s="442">
        <v>1367.73</v>
      </c>
      <c r="I26" s="442">
        <v>1367.73</v>
      </c>
      <c r="J26" s="444">
        <f t="shared" si="1"/>
        <v>1</v>
      </c>
      <c r="K26" s="443">
        <v>1372.3700000000001</v>
      </c>
      <c r="L26" s="444">
        <f t="shared" si="2"/>
        <v>1.0033924824343987</v>
      </c>
      <c r="M26" s="443">
        <v>11.99</v>
      </c>
      <c r="N26" s="444">
        <f t="shared" si="3"/>
        <v>8.7663500837153532E-3</v>
      </c>
      <c r="O26" s="445">
        <f t="shared" si="4"/>
        <v>1384.3600000000001</v>
      </c>
      <c r="P26" s="444">
        <f t="shared" si="5"/>
        <v>1.0121588325181141</v>
      </c>
      <c r="Q26" s="442">
        <v>2.5300000000000002</v>
      </c>
      <c r="R26" s="444">
        <f t="shared" si="6"/>
        <v>1.8497802928940654E-3</v>
      </c>
      <c r="S26" s="452">
        <f t="shared" si="7"/>
        <v>673.6884</v>
      </c>
      <c r="T26" s="445">
        <f t="shared" si="8"/>
        <v>16.630000000000109</v>
      </c>
      <c r="U26" s="444">
        <f t="shared" si="9"/>
        <v>1.2158832518114036E-2</v>
      </c>
      <c r="V26" s="145"/>
      <c r="W26" s="145"/>
      <c r="X26" s="145"/>
      <c r="Y26" s="366" t="s">
        <v>174</v>
      </c>
      <c r="Z26" s="366" t="s">
        <v>428</v>
      </c>
      <c r="AA26" s="367" t="s">
        <v>480</v>
      </c>
      <c r="AB26" s="367" t="s">
        <v>574</v>
      </c>
      <c r="AC26" s="367">
        <v>1</v>
      </c>
      <c r="AD26" s="446" t="s">
        <v>471</v>
      </c>
      <c r="AG26" s="371"/>
      <c r="AH26" s="370"/>
    </row>
    <row r="27" spans="2:39" ht="17.100000000000001" hidden="1" customHeight="1">
      <c r="B27" s="898" t="s">
        <v>442</v>
      </c>
      <c r="C27" s="899"/>
      <c r="D27" s="902" t="s">
        <v>549</v>
      </c>
      <c r="E27" s="903" t="s">
        <v>550</v>
      </c>
      <c r="F27" s="953" t="s">
        <v>567</v>
      </c>
      <c r="G27" s="881" t="s">
        <v>552</v>
      </c>
      <c r="H27" s="905" t="s">
        <v>553</v>
      </c>
      <c r="I27" s="906" t="s">
        <v>554</v>
      </c>
      <c r="J27" s="907"/>
      <c r="K27" s="906" t="s">
        <v>555</v>
      </c>
      <c r="L27" s="907"/>
      <c r="M27" s="906" t="s">
        <v>556</v>
      </c>
      <c r="N27" s="907"/>
      <c r="O27" s="906" t="s">
        <v>557</v>
      </c>
      <c r="P27" s="907"/>
      <c r="Q27" s="906" t="s">
        <v>418</v>
      </c>
      <c r="R27" s="954"/>
      <c r="S27" s="907"/>
      <c r="T27" s="908" t="s">
        <v>419</v>
      </c>
      <c r="U27" s="910"/>
      <c r="Y27" s="914" t="s">
        <v>171</v>
      </c>
      <c r="Z27" s="914" t="s">
        <v>245</v>
      </c>
      <c r="AA27" s="914" t="s">
        <v>558</v>
      </c>
      <c r="AB27" s="914" t="s">
        <v>444</v>
      </c>
      <c r="AC27" s="914" t="s">
        <v>246</v>
      </c>
      <c r="AD27" s="881" t="s">
        <v>172</v>
      </c>
      <c r="AF27" s="883" t="s">
        <v>247</v>
      </c>
      <c r="AG27" s="884"/>
      <c r="AH27" s="884"/>
      <c r="AI27" s="884"/>
      <c r="AJ27" s="884"/>
      <c r="AK27" s="884"/>
      <c r="AL27" s="884"/>
      <c r="AM27" s="885"/>
    </row>
    <row r="28" spans="2:39" ht="16.5" hidden="1" customHeight="1">
      <c r="B28" s="900"/>
      <c r="C28" s="901"/>
      <c r="D28" s="902"/>
      <c r="E28" s="902"/>
      <c r="F28" s="904"/>
      <c r="G28" s="882"/>
      <c r="H28" s="882"/>
      <c r="I28" s="439" t="s">
        <v>559</v>
      </c>
      <c r="J28" s="362" t="s">
        <v>560</v>
      </c>
      <c r="K28" s="439" t="s">
        <v>559</v>
      </c>
      <c r="L28" s="362" t="s">
        <v>560</v>
      </c>
      <c r="M28" s="439" t="s">
        <v>559</v>
      </c>
      <c r="N28" s="362" t="s">
        <v>560</v>
      </c>
      <c r="O28" s="439" t="s">
        <v>559</v>
      </c>
      <c r="P28" s="362" t="s">
        <v>560</v>
      </c>
      <c r="Q28" s="439" t="s">
        <v>559</v>
      </c>
      <c r="R28" s="362" t="s">
        <v>560</v>
      </c>
      <c r="S28" s="362" t="s">
        <v>561</v>
      </c>
      <c r="T28" s="439" t="s">
        <v>559</v>
      </c>
      <c r="U28" s="362" t="s">
        <v>560</v>
      </c>
      <c r="Y28" s="915"/>
      <c r="Z28" s="915"/>
      <c r="AA28" s="915"/>
      <c r="AB28" s="915"/>
      <c r="AC28" s="915"/>
      <c r="AD28" s="882"/>
      <c r="AF28" s="886"/>
      <c r="AG28" s="887"/>
      <c r="AH28" s="887"/>
      <c r="AI28" s="887"/>
      <c r="AJ28" s="887"/>
      <c r="AK28" s="887"/>
      <c r="AL28" s="887"/>
      <c r="AM28" s="888"/>
    </row>
    <row r="29" spans="2:39" s="147" customFormat="1" ht="27" hidden="1" customHeight="1">
      <c r="B29" s="927" t="s">
        <v>625</v>
      </c>
      <c r="C29" s="893"/>
      <c r="D29" s="361">
        <v>1</v>
      </c>
      <c r="E29" s="440" t="s">
        <v>336</v>
      </c>
      <c r="F29" s="364">
        <f>IFERROR(T29*G29,"-")</f>
        <v>12264.701699999943</v>
      </c>
      <c r="G29" s="365">
        <v>147.43000000000004</v>
      </c>
      <c r="H29" s="442">
        <v>4841.42</v>
      </c>
      <c r="I29" s="442">
        <v>4841.42</v>
      </c>
      <c r="J29" s="444">
        <f>IFERROR(I29/H29,"-")</f>
        <v>1</v>
      </c>
      <c r="K29" s="443">
        <v>4841.42</v>
      </c>
      <c r="L29" s="444">
        <f>IFERROR(K29/H29,"-")</f>
        <v>1</v>
      </c>
      <c r="M29" s="443">
        <v>83.190000000000012</v>
      </c>
      <c r="N29" s="444">
        <f>IFERROR(M29/H29,"-")</f>
        <v>1.7182975242800668E-2</v>
      </c>
      <c r="O29" s="445">
        <f>IFERROR(K29+M29,"-")</f>
        <v>4924.6099999999997</v>
      </c>
      <c r="P29" s="444">
        <f>IFERROR(O29/H29,"-")</f>
        <v>1.0171829752428005</v>
      </c>
      <c r="Q29" s="442">
        <v>10.220000000000001</v>
      </c>
      <c r="R29" s="444">
        <f>IFERROR(Q29/H29,"-")</f>
        <v>2.1109509193583701E-3</v>
      </c>
      <c r="S29" s="452">
        <f>IFERROR(Q29*G29,"-")</f>
        <v>1506.7346000000005</v>
      </c>
      <c r="T29" s="445">
        <f>IFERROR(O29-H29,"-")</f>
        <v>83.1899999999996</v>
      </c>
      <c r="U29" s="444">
        <f>IFERROR(T29/H29,"-")</f>
        <v>1.7182975242800581E-2</v>
      </c>
      <c r="V29" s="145"/>
      <c r="W29" s="145"/>
      <c r="X29" s="145"/>
      <c r="Y29" s="366" t="s">
        <v>174</v>
      </c>
      <c r="Z29" s="366" t="s">
        <v>215</v>
      </c>
      <c r="AA29" s="367" t="s">
        <v>478</v>
      </c>
      <c r="AB29" s="367" t="s">
        <v>524</v>
      </c>
      <c r="AC29" s="367">
        <v>1</v>
      </c>
      <c r="AD29" s="446" t="s">
        <v>340</v>
      </c>
      <c r="AF29" s="889"/>
      <c r="AG29" s="890"/>
      <c r="AH29" s="890"/>
      <c r="AI29" s="890"/>
      <c r="AJ29" s="890"/>
      <c r="AK29" s="890"/>
      <c r="AL29" s="890"/>
      <c r="AM29" s="891"/>
    </row>
    <row r="30" spans="2:39" s="147" customFormat="1" ht="27" hidden="1" customHeight="1">
      <c r="B30" s="894"/>
      <c r="C30" s="895"/>
      <c r="D30" s="361">
        <v>2</v>
      </c>
      <c r="E30" s="440" t="s">
        <v>534</v>
      </c>
      <c r="F30" s="364">
        <f t="shared" ref="F30:F48" si="12">IFERROR(T30*G30,"-")</f>
        <v>9400.4235000000554</v>
      </c>
      <c r="G30" s="365">
        <v>39.389999999999993</v>
      </c>
      <c r="H30" s="442">
        <v>35576.85</v>
      </c>
      <c r="I30" s="442">
        <v>35576.85</v>
      </c>
      <c r="J30" s="444">
        <f t="shared" ref="J30:J48" si="13">IFERROR(I30/H30,"-")</f>
        <v>1</v>
      </c>
      <c r="K30" s="443">
        <v>35576.85</v>
      </c>
      <c r="L30" s="444">
        <f t="shared" ref="L30:L48" si="14">IFERROR(K30/H30,"-")</f>
        <v>1</v>
      </c>
      <c r="M30" s="443">
        <v>238.64999999999998</v>
      </c>
      <c r="N30" s="444">
        <f t="shared" ref="N30:N48" si="15">IFERROR(M30/H30,"-")</f>
        <v>6.7080137786228958E-3</v>
      </c>
      <c r="O30" s="445">
        <f t="shared" ref="O30:O48" si="16">IFERROR(K30+M30,"-")</f>
        <v>35815.5</v>
      </c>
      <c r="P30" s="444">
        <f t="shared" ref="P30:P48" si="17">IFERROR(O30/H30,"-")</f>
        <v>1.0067080137786228</v>
      </c>
      <c r="Q30" s="442">
        <v>37.22</v>
      </c>
      <c r="R30" s="444">
        <f t="shared" ref="R30:R48" si="18">IFERROR(Q30/H30,"-")</f>
        <v>1.0461859327062402E-3</v>
      </c>
      <c r="S30" s="452">
        <f t="shared" ref="S30:S48" si="19">IFERROR(Q30*G30,"-")</f>
        <v>1466.0957999999996</v>
      </c>
      <c r="T30" s="445">
        <f t="shared" ref="T30:T48" si="20">IFERROR(O30-H30,"-")</f>
        <v>238.65000000000146</v>
      </c>
      <c r="U30" s="444">
        <f t="shared" ref="U30:U48" si="21">IFERROR(T30/H30,"-")</f>
        <v>6.7080137786229375E-3</v>
      </c>
      <c r="V30" s="145"/>
      <c r="W30" s="145"/>
      <c r="X30" s="145"/>
      <c r="Y30" s="366" t="s">
        <v>174</v>
      </c>
      <c r="Z30" s="366" t="s">
        <v>216</v>
      </c>
      <c r="AA30" s="367" t="s">
        <v>592</v>
      </c>
      <c r="AB30" s="367" t="s">
        <v>573</v>
      </c>
      <c r="AC30" s="367">
        <v>1</v>
      </c>
      <c r="AD30" s="446" t="s">
        <v>340</v>
      </c>
      <c r="AF30" s="160" t="s">
        <v>244</v>
      </c>
      <c r="AG30" s="160" t="s">
        <v>445</v>
      </c>
      <c r="AH30" s="155" t="s">
        <v>562</v>
      </c>
      <c r="AI30" s="155" t="s">
        <v>337</v>
      </c>
      <c r="AJ30" s="155" t="s">
        <v>428</v>
      </c>
      <c r="AK30" s="155" t="s">
        <v>215</v>
      </c>
      <c r="AL30" s="155" t="s">
        <v>216</v>
      </c>
      <c r="AM30" s="155" t="s">
        <v>384</v>
      </c>
    </row>
    <row r="31" spans="2:39" s="147" customFormat="1" ht="27" hidden="1" customHeight="1">
      <c r="B31" s="894"/>
      <c r="C31" s="895"/>
      <c r="D31" s="361">
        <v>3</v>
      </c>
      <c r="E31" s="440" t="s">
        <v>631</v>
      </c>
      <c r="F31" s="364">
        <f t="shared" si="12"/>
        <v>7987.1021999999793</v>
      </c>
      <c r="G31" s="365">
        <v>43.889999999999993</v>
      </c>
      <c r="H31" s="442">
        <v>6266.0999999999985</v>
      </c>
      <c r="I31" s="442">
        <v>6266.0999999999985</v>
      </c>
      <c r="J31" s="444">
        <f t="shared" si="13"/>
        <v>1</v>
      </c>
      <c r="K31" s="443">
        <v>6266.0999999999985</v>
      </c>
      <c r="L31" s="444">
        <f t="shared" si="14"/>
        <v>1</v>
      </c>
      <c r="M31" s="443">
        <v>181.98</v>
      </c>
      <c r="N31" s="444">
        <f t="shared" si="15"/>
        <v>2.9041987839325902E-2</v>
      </c>
      <c r="O31" s="445">
        <f t="shared" si="16"/>
        <v>6448.0799999999981</v>
      </c>
      <c r="P31" s="444">
        <f t="shared" si="17"/>
        <v>1.0290419878393258</v>
      </c>
      <c r="Q31" s="442">
        <v>32.89</v>
      </c>
      <c r="R31" s="444">
        <f t="shared" si="18"/>
        <v>5.2488788879845533E-3</v>
      </c>
      <c r="S31" s="452">
        <f t="shared" si="19"/>
        <v>1443.5420999999999</v>
      </c>
      <c r="T31" s="445">
        <f t="shared" si="20"/>
        <v>181.97999999999956</v>
      </c>
      <c r="U31" s="444">
        <f t="shared" si="21"/>
        <v>2.9041987839325833E-2</v>
      </c>
      <c r="V31" s="145"/>
      <c r="W31" s="145"/>
      <c r="X31" s="145"/>
      <c r="Y31" s="366" t="s">
        <v>174</v>
      </c>
      <c r="Z31" s="366" t="s">
        <v>216</v>
      </c>
      <c r="AA31" s="367" t="s">
        <v>592</v>
      </c>
      <c r="AB31" s="367" t="s">
        <v>573</v>
      </c>
      <c r="AC31" s="367">
        <v>1</v>
      </c>
      <c r="AD31" s="446" t="s">
        <v>630</v>
      </c>
      <c r="AF31" s="374">
        <f>SUM(AC29:AC48)</f>
        <v>20</v>
      </c>
      <c r="AG31" s="369">
        <f>SUMIF($Z$29:$Z$48,TRIM(AG30),$AC$29:$AC$48)</f>
        <v>0</v>
      </c>
      <c r="AH31" s="369">
        <f t="shared" ref="AH31:AM31" si="22">SUMIF($Z$29:$Z$48,TRIM(AH30),$AC$29:$AC$48)</f>
        <v>0</v>
      </c>
      <c r="AI31" s="369">
        <f t="shared" si="22"/>
        <v>0</v>
      </c>
      <c r="AJ31" s="369">
        <f t="shared" si="22"/>
        <v>12</v>
      </c>
      <c r="AK31" s="369">
        <f t="shared" si="22"/>
        <v>1</v>
      </c>
      <c r="AL31" s="369">
        <f t="shared" si="22"/>
        <v>7</v>
      </c>
      <c r="AM31" s="369">
        <f t="shared" si="22"/>
        <v>0</v>
      </c>
    </row>
    <row r="32" spans="2:39" s="147" customFormat="1" ht="27" hidden="1" customHeight="1">
      <c r="B32" s="894"/>
      <c r="C32" s="895"/>
      <c r="D32" s="361">
        <v>4</v>
      </c>
      <c r="E32" s="440" t="s">
        <v>461</v>
      </c>
      <c r="F32" s="364">
        <f t="shared" si="12"/>
        <v>7885.691600000061</v>
      </c>
      <c r="G32" s="365">
        <v>407.74000000000007</v>
      </c>
      <c r="H32" s="442">
        <v>1125.69</v>
      </c>
      <c r="I32" s="442">
        <v>1125.69</v>
      </c>
      <c r="J32" s="444">
        <f t="shared" si="13"/>
        <v>1</v>
      </c>
      <c r="K32" s="443">
        <v>1126.3900000000001</v>
      </c>
      <c r="L32" s="444">
        <f t="shared" si="14"/>
        <v>1.0006218408265153</v>
      </c>
      <c r="M32" s="443">
        <v>18.64</v>
      </c>
      <c r="N32" s="444">
        <f t="shared" si="15"/>
        <v>1.6558732866064369E-2</v>
      </c>
      <c r="O32" s="445">
        <f t="shared" si="16"/>
        <v>1145.0300000000002</v>
      </c>
      <c r="P32" s="444">
        <f t="shared" si="17"/>
        <v>1.0171805736925799</v>
      </c>
      <c r="Q32" s="442">
        <v>2.31</v>
      </c>
      <c r="R32" s="444">
        <f t="shared" si="18"/>
        <v>2.0520747275004662E-3</v>
      </c>
      <c r="S32" s="452">
        <f t="shared" si="19"/>
        <v>941.87940000000015</v>
      </c>
      <c r="T32" s="445">
        <f t="shared" si="20"/>
        <v>19.340000000000146</v>
      </c>
      <c r="U32" s="444">
        <f t="shared" si="21"/>
        <v>1.718057369257979E-2</v>
      </c>
      <c r="V32" s="145"/>
      <c r="W32" s="145"/>
      <c r="X32" s="145"/>
      <c r="Y32" s="366" t="s">
        <v>174</v>
      </c>
      <c r="Z32" s="366" t="s">
        <v>216</v>
      </c>
      <c r="AA32" s="367" t="s">
        <v>480</v>
      </c>
      <c r="AB32" s="367" t="s">
        <v>481</v>
      </c>
      <c r="AC32" s="367">
        <v>1</v>
      </c>
      <c r="AD32" s="446" t="s">
        <v>463</v>
      </c>
      <c r="AF32" s="375"/>
      <c r="AG32" s="372">
        <f t="shared" ref="AG32:AM32" si="23">SUMIF($Z$29:$Z$48,TRIM(AG30),$F$29:$F$48)</f>
        <v>0</v>
      </c>
      <c r="AH32" s="372">
        <f t="shared" si="23"/>
        <v>0</v>
      </c>
      <c r="AI32" s="372">
        <f t="shared" si="23"/>
        <v>0</v>
      </c>
      <c r="AJ32" s="372">
        <f t="shared" si="23"/>
        <v>63700.014900000075</v>
      </c>
      <c r="AK32" s="372">
        <f t="shared" si="23"/>
        <v>12264.701699999943</v>
      </c>
      <c r="AL32" s="372">
        <f t="shared" si="23"/>
        <v>44969.139500000027</v>
      </c>
      <c r="AM32" s="372">
        <f t="shared" si="23"/>
        <v>0</v>
      </c>
    </row>
    <row r="33" spans="2:39" s="147" customFormat="1" ht="27" hidden="1" customHeight="1">
      <c r="B33" s="894"/>
      <c r="C33" s="895"/>
      <c r="D33" s="361">
        <v>5</v>
      </c>
      <c r="E33" s="440" t="s">
        <v>632</v>
      </c>
      <c r="F33" s="364">
        <f t="shared" si="12"/>
        <v>6758.8521000000665</v>
      </c>
      <c r="G33" s="365">
        <v>193.82999999999998</v>
      </c>
      <c r="H33" s="442">
        <v>2481.16</v>
      </c>
      <c r="I33" s="442">
        <v>2481.16</v>
      </c>
      <c r="J33" s="444">
        <f t="shared" si="13"/>
        <v>1</v>
      </c>
      <c r="K33" s="443">
        <v>2487.63</v>
      </c>
      <c r="L33" s="444">
        <f t="shared" si="14"/>
        <v>1.0026076512598947</v>
      </c>
      <c r="M33" s="443">
        <v>28.400000000000002</v>
      </c>
      <c r="N33" s="444">
        <f t="shared" si="15"/>
        <v>1.1446259007883411E-2</v>
      </c>
      <c r="O33" s="445">
        <f t="shared" si="16"/>
        <v>2516.0300000000002</v>
      </c>
      <c r="P33" s="444">
        <f t="shared" si="17"/>
        <v>1.0140539102677781</v>
      </c>
      <c r="Q33" s="442">
        <v>2.37</v>
      </c>
      <c r="R33" s="444">
        <f t="shared" si="18"/>
        <v>9.5519837495365079E-4</v>
      </c>
      <c r="S33" s="452">
        <f t="shared" si="19"/>
        <v>459.37709999999998</v>
      </c>
      <c r="T33" s="445">
        <f t="shared" si="20"/>
        <v>34.870000000000346</v>
      </c>
      <c r="U33" s="444">
        <f t="shared" si="21"/>
        <v>1.4053910267778115E-2</v>
      </c>
      <c r="V33" s="145"/>
      <c r="W33" s="145"/>
      <c r="X33" s="145"/>
      <c r="Y33" s="366" t="s">
        <v>174</v>
      </c>
      <c r="Z33" s="366" t="s">
        <v>428</v>
      </c>
      <c r="AA33" s="367" t="s">
        <v>592</v>
      </c>
      <c r="AB33" s="367" t="s">
        <v>573</v>
      </c>
      <c r="AC33" s="367">
        <v>1</v>
      </c>
      <c r="AD33" s="446" t="s">
        <v>636</v>
      </c>
      <c r="AF33" s="361"/>
      <c r="AG33" s="373">
        <f t="shared" ref="AG33:AM33" si="24">AG31/$AF31</f>
        <v>0</v>
      </c>
      <c r="AH33" s="373">
        <f t="shared" si="24"/>
        <v>0</v>
      </c>
      <c r="AI33" s="373">
        <f t="shared" si="24"/>
        <v>0</v>
      </c>
      <c r="AJ33" s="373">
        <f t="shared" si="24"/>
        <v>0.6</v>
      </c>
      <c r="AK33" s="373">
        <f t="shared" si="24"/>
        <v>0.05</v>
      </c>
      <c r="AL33" s="373">
        <f t="shared" si="24"/>
        <v>0.35</v>
      </c>
      <c r="AM33" s="373">
        <f t="shared" si="24"/>
        <v>0</v>
      </c>
    </row>
    <row r="34" spans="2:39" s="147" customFormat="1" ht="27" hidden="1" customHeight="1">
      <c r="B34" s="894"/>
      <c r="C34" s="895"/>
      <c r="D34" s="361">
        <v>6</v>
      </c>
      <c r="E34" s="440" t="s">
        <v>600</v>
      </c>
      <c r="F34" s="364">
        <f t="shared" si="12"/>
        <v>6118.1809999999878</v>
      </c>
      <c r="G34" s="365">
        <v>413.94999999999993</v>
      </c>
      <c r="H34" s="442">
        <v>827.88999999999987</v>
      </c>
      <c r="I34" s="442">
        <v>827.88999999999987</v>
      </c>
      <c r="J34" s="444">
        <f t="shared" si="13"/>
        <v>1</v>
      </c>
      <c r="K34" s="443">
        <v>827.88999999999987</v>
      </c>
      <c r="L34" s="444">
        <f t="shared" si="14"/>
        <v>1</v>
      </c>
      <c r="M34" s="443">
        <v>14.780000000000001</v>
      </c>
      <c r="N34" s="444">
        <f t="shared" si="15"/>
        <v>1.7852613269878852E-2</v>
      </c>
      <c r="O34" s="445">
        <f t="shared" si="16"/>
        <v>842.66999999999985</v>
      </c>
      <c r="P34" s="444">
        <f t="shared" si="17"/>
        <v>1.0178526132698789</v>
      </c>
      <c r="Q34" s="442">
        <v>3.6700000000000004</v>
      </c>
      <c r="R34" s="444">
        <f t="shared" si="18"/>
        <v>4.4329560690429901E-3</v>
      </c>
      <c r="S34" s="452">
        <f t="shared" si="19"/>
        <v>1519.1965</v>
      </c>
      <c r="T34" s="445">
        <f t="shared" si="20"/>
        <v>14.779999999999973</v>
      </c>
      <c r="U34" s="444">
        <f t="shared" si="21"/>
        <v>1.7852613269878817E-2</v>
      </c>
      <c r="V34" s="145"/>
      <c r="W34" s="145"/>
      <c r="X34" s="145"/>
      <c r="Y34" s="366" t="s">
        <v>174</v>
      </c>
      <c r="Z34" s="366" t="s">
        <v>428</v>
      </c>
      <c r="AA34" s="367" t="s">
        <v>592</v>
      </c>
      <c r="AB34" s="367" t="s">
        <v>573</v>
      </c>
      <c r="AC34" s="367">
        <v>1</v>
      </c>
      <c r="AD34" s="446" t="s">
        <v>340</v>
      </c>
    </row>
    <row r="35" spans="2:39" s="147" customFormat="1" ht="27" hidden="1" customHeight="1">
      <c r="B35" s="894"/>
      <c r="C35" s="895"/>
      <c r="D35" s="361">
        <v>7</v>
      </c>
      <c r="E35" s="440" t="s">
        <v>633</v>
      </c>
      <c r="F35" s="364">
        <f t="shared" si="12"/>
        <v>5900.5999999999995</v>
      </c>
      <c r="G35" s="365">
        <v>144.79999999999998</v>
      </c>
      <c r="H35" s="442">
        <v>2957.66</v>
      </c>
      <c r="I35" s="442">
        <v>2957.66</v>
      </c>
      <c r="J35" s="444">
        <f t="shared" si="13"/>
        <v>1</v>
      </c>
      <c r="K35" s="443">
        <v>2957.66</v>
      </c>
      <c r="L35" s="444">
        <f t="shared" si="14"/>
        <v>1</v>
      </c>
      <c r="M35" s="443">
        <v>40.75</v>
      </c>
      <c r="N35" s="444">
        <f t="shared" si="15"/>
        <v>1.3777783788535532E-2</v>
      </c>
      <c r="O35" s="445">
        <f t="shared" si="16"/>
        <v>2998.41</v>
      </c>
      <c r="P35" s="444">
        <f t="shared" si="17"/>
        <v>1.0137777837885356</v>
      </c>
      <c r="Q35" s="442">
        <v>7.4899999999999993</v>
      </c>
      <c r="R35" s="444">
        <f t="shared" si="18"/>
        <v>2.5324073761013774E-3</v>
      </c>
      <c r="S35" s="452">
        <f t="shared" si="19"/>
        <v>1084.5519999999997</v>
      </c>
      <c r="T35" s="445">
        <f t="shared" si="20"/>
        <v>40.75</v>
      </c>
      <c r="U35" s="444">
        <f t="shared" si="21"/>
        <v>1.3777783788535532E-2</v>
      </c>
      <c r="V35" s="145"/>
      <c r="W35" s="145"/>
      <c r="X35" s="145"/>
      <c r="Y35" s="366" t="s">
        <v>174</v>
      </c>
      <c r="Z35" s="366" t="s">
        <v>428</v>
      </c>
      <c r="AA35" s="367" t="s">
        <v>607</v>
      </c>
      <c r="AB35" s="367" t="s">
        <v>525</v>
      </c>
      <c r="AC35" s="367">
        <v>1</v>
      </c>
      <c r="AD35" s="446" t="s">
        <v>340</v>
      </c>
    </row>
    <row r="36" spans="2:39" s="147" customFormat="1" ht="27" hidden="1" customHeight="1">
      <c r="B36" s="894"/>
      <c r="C36" s="895"/>
      <c r="D36" s="361">
        <v>8</v>
      </c>
      <c r="E36" s="440" t="s">
        <v>583</v>
      </c>
      <c r="F36" s="364">
        <f t="shared" si="12"/>
        <v>5677.1792000000078</v>
      </c>
      <c r="G36" s="365">
        <v>113.68000000000004</v>
      </c>
      <c r="H36" s="442">
        <v>1662.5</v>
      </c>
      <c r="I36" s="442">
        <v>1662.5</v>
      </c>
      <c r="J36" s="444">
        <f t="shared" si="13"/>
        <v>1</v>
      </c>
      <c r="K36" s="443">
        <v>1662.5</v>
      </c>
      <c r="L36" s="444">
        <f t="shared" si="14"/>
        <v>1</v>
      </c>
      <c r="M36" s="443">
        <v>49.94</v>
      </c>
      <c r="N36" s="444">
        <f t="shared" si="15"/>
        <v>3.00390977443609E-2</v>
      </c>
      <c r="O36" s="445">
        <f t="shared" si="16"/>
        <v>1712.44</v>
      </c>
      <c r="P36" s="444">
        <f t="shared" si="17"/>
        <v>1.030039097744361</v>
      </c>
      <c r="Q36" s="442">
        <v>10.01</v>
      </c>
      <c r="R36" s="444">
        <f t="shared" si="18"/>
        <v>6.021052631578947E-3</v>
      </c>
      <c r="S36" s="452">
        <f t="shared" si="19"/>
        <v>1137.9368000000004</v>
      </c>
      <c r="T36" s="445">
        <f t="shared" si="20"/>
        <v>49.940000000000055</v>
      </c>
      <c r="U36" s="444">
        <f t="shared" si="21"/>
        <v>3.0039097744360935E-2</v>
      </c>
      <c r="V36" s="145"/>
      <c r="W36" s="145"/>
      <c r="X36" s="145"/>
      <c r="Y36" s="366" t="s">
        <v>174</v>
      </c>
      <c r="Z36" s="366" t="s">
        <v>428</v>
      </c>
      <c r="AA36" s="367" t="s">
        <v>479</v>
      </c>
      <c r="AB36" s="367" t="s">
        <v>477</v>
      </c>
      <c r="AC36" s="367">
        <v>1</v>
      </c>
      <c r="AD36" s="446" t="s">
        <v>566</v>
      </c>
    </row>
    <row r="37" spans="2:39" s="147" customFormat="1" ht="27" hidden="1" customHeight="1">
      <c r="B37" s="894"/>
      <c r="C37" s="895"/>
      <c r="D37" s="361">
        <v>9</v>
      </c>
      <c r="E37" s="440" t="s">
        <v>634</v>
      </c>
      <c r="F37" s="364">
        <f t="shared" si="12"/>
        <v>5449.2958000000026</v>
      </c>
      <c r="G37" s="365">
        <v>212.78</v>
      </c>
      <c r="H37" s="442">
        <v>908.13</v>
      </c>
      <c r="I37" s="442">
        <v>908.13</v>
      </c>
      <c r="J37" s="444">
        <f t="shared" si="13"/>
        <v>1</v>
      </c>
      <c r="K37" s="443">
        <v>908.13</v>
      </c>
      <c r="L37" s="444">
        <f t="shared" si="14"/>
        <v>1</v>
      </c>
      <c r="M37" s="443">
        <v>25.61</v>
      </c>
      <c r="N37" s="444">
        <f t="shared" si="15"/>
        <v>2.8200808254324822E-2</v>
      </c>
      <c r="O37" s="445">
        <f t="shared" si="16"/>
        <v>933.74</v>
      </c>
      <c r="P37" s="444">
        <f t="shared" si="17"/>
        <v>1.0282008082543248</v>
      </c>
      <c r="Q37" s="442">
        <v>7.45</v>
      </c>
      <c r="R37" s="444">
        <f t="shared" si="18"/>
        <v>8.2036712805435355E-3</v>
      </c>
      <c r="S37" s="452">
        <f t="shared" si="19"/>
        <v>1585.211</v>
      </c>
      <c r="T37" s="445">
        <f t="shared" si="20"/>
        <v>25.610000000000014</v>
      </c>
      <c r="U37" s="444">
        <f t="shared" si="21"/>
        <v>2.8200808254324836E-2</v>
      </c>
      <c r="V37" s="145"/>
      <c r="W37" s="145"/>
      <c r="X37" s="145"/>
      <c r="Y37" s="366" t="s">
        <v>174</v>
      </c>
      <c r="Z37" s="366" t="s">
        <v>428</v>
      </c>
      <c r="AA37" s="367" t="s">
        <v>541</v>
      </c>
      <c r="AB37" s="367" t="s">
        <v>542</v>
      </c>
      <c r="AC37" s="367">
        <v>1</v>
      </c>
      <c r="AD37" s="446" t="s">
        <v>630</v>
      </c>
    </row>
    <row r="38" spans="2:39" s="147" customFormat="1" ht="27" hidden="1" customHeight="1">
      <c r="B38" s="894"/>
      <c r="C38" s="895"/>
      <c r="D38" s="361">
        <v>10</v>
      </c>
      <c r="E38" s="440" t="s">
        <v>635</v>
      </c>
      <c r="F38" s="364">
        <f t="shared" si="12"/>
        <v>5348.1769999999951</v>
      </c>
      <c r="G38" s="365">
        <v>49.82</v>
      </c>
      <c r="H38" s="442">
        <v>3275.25</v>
      </c>
      <c r="I38" s="442">
        <v>3275.25</v>
      </c>
      <c r="J38" s="444">
        <f t="shared" si="13"/>
        <v>1</v>
      </c>
      <c r="K38" s="443">
        <v>3275.25</v>
      </c>
      <c r="L38" s="444">
        <f t="shared" si="14"/>
        <v>1</v>
      </c>
      <c r="M38" s="443">
        <v>107.35</v>
      </c>
      <c r="N38" s="444">
        <f t="shared" si="15"/>
        <v>3.2776123960003054E-2</v>
      </c>
      <c r="O38" s="445">
        <f t="shared" si="16"/>
        <v>3382.6</v>
      </c>
      <c r="P38" s="444">
        <f t="shared" si="17"/>
        <v>1.0327761239600031</v>
      </c>
      <c r="Q38" s="442">
        <v>21.630000000000003</v>
      </c>
      <c r="R38" s="444">
        <f t="shared" si="18"/>
        <v>6.6040760247309373E-3</v>
      </c>
      <c r="S38" s="452">
        <f t="shared" si="19"/>
        <v>1077.6066000000001</v>
      </c>
      <c r="T38" s="445">
        <f t="shared" si="20"/>
        <v>107.34999999999991</v>
      </c>
      <c r="U38" s="444">
        <f t="shared" si="21"/>
        <v>3.2776123960003026E-2</v>
      </c>
      <c r="V38" s="145"/>
      <c r="W38" s="145"/>
      <c r="X38" s="145"/>
      <c r="Y38" s="366" t="s">
        <v>174</v>
      </c>
      <c r="Z38" s="366" t="s">
        <v>428</v>
      </c>
      <c r="AA38" s="367" t="s">
        <v>541</v>
      </c>
      <c r="AB38" s="367" t="s">
        <v>542</v>
      </c>
      <c r="AC38" s="367">
        <v>1</v>
      </c>
      <c r="AD38" s="446" t="s">
        <v>616</v>
      </c>
    </row>
    <row r="39" spans="2:39" s="147" customFormat="1" ht="27" hidden="1" customHeight="1">
      <c r="B39" s="894"/>
      <c r="C39" s="895"/>
      <c r="D39" s="361">
        <v>11</v>
      </c>
      <c r="E39" s="440" t="s">
        <v>619</v>
      </c>
      <c r="F39" s="364">
        <f t="shared" si="12"/>
        <v>5212.478699999996</v>
      </c>
      <c r="G39" s="365">
        <v>39.389999999999993</v>
      </c>
      <c r="H39" s="442">
        <v>5051.83</v>
      </c>
      <c r="I39" s="442">
        <v>5051.83</v>
      </c>
      <c r="J39" s="444">
        <f t="shared" si="13"/>
        <v>1</v>
      </c>
      <c r="K39" s="443">
        <v>5051.83</v>
      </c>
      <c r="L39" s="444">
        <f t="shared" si="14"/>
        <v>1</v>
      </c>
      <c r="M39" s="443">
        <v>132.33000000000001</v>
      </c>
      <c r="N39" s="444">
        <f t="shared" si="15"/>
        <v>2.6194468143227307E-2</v>
      </c>
      <c r="O39" s="445">
        <f t="shared" si="16"/>
        <v>5184.16</v>
      </c>
      <c r="P39" s="444">
        <f t="shared" si="17"/>
        <v>1.0261944681432273</v>
      </c>
      <c r="Q39" s="442">
        <v>29.68</v>
      </c>
      <c r="R39" s="444">
        <f t="shared" si="18"/>
        <v>5.8750987266000636E-3</v>
      </c>
      <c r="S39" s="452">
        <f t="shared" si="19"/>
        <v>1169.0951999999997</v>
      </c>
      <c r="T39" s="445">
        <f t="shared" si="20"/>
        <v>132.32999999999993</v>
      </c>
      <c r="U39" s="444">
        <f t="shared" si="21"/>
        <v>2.6194468143227293E-2</v>
      </c>
      <c r="V39" s="145"/>
      <c r="W39" s="145"/>
      <c r="X39" s="145"/>
      <c r="Y39" s="366" t="s">
        <v>174</v>
      </c>
      <c r="Z39" s="366" t="s">
        <v>216</v>
      </c>
      <c r="AA39" s="367" t="s">
        <v>592</v>
      </c>
      <c r="AB39" s="367" t="s">
        <v>573</v>
      </c>
      <c r="AC39" s="367">
        <v>1</v>
      </c>
      <c r="AD39" s="446" t="s">
        <v>614</v>
      </c>
      <c r="AH39" s="370"/>
    </row>
    <row r="40" spans="2:39" s="147" customFormat="1" ht="27" hidden="1" customHeight="1">
      <c r="B40" s="894"/>
      <c r="C40" s="895"/>
      <c r="D40" s="361">
        <v>12</v>
      </c>
      <c r="E40" s="440" t="s">
        <v>386</v>
      </c>
      <c r="F40" s="364">
        <f t="shared" si="12"/>
        <v>5062.4640000000472</v>
      </c>
      <c r="G40" s="365">
        <v>127.84000000000002</v>
      </c>
      <c r="H40" s="442">
        <v>4280.3500000000004</v>
      </c>
      <c r="I40" s="442">
        <v>4280.3500000000004</v>
      </c>
      <c r="J40" s="444">
        <f t="shared" si="13"/>
        <v>1</v>
      </c>
      <c r="K40" s="443">
        <v>4280.3500000000004</v>
      </c>
      <c r="L40" s="444">
        <f t="shared" si="14"/>
        <v>1</v>
      </c>
      <c r="M40" s="443">
        <v>39.599999999999994</v>
      </c>
      <c r="N40" s="444">
        <f t="shared" si="15"/>
        <v>9.251579894167531E-3</v>
      </c>
      <c r="O40" s="445">
        <f t="shared" si="16"/>
        <v>4319.9500000000007</v>
      </c>
      <c r="P40" s="444">
        <f t="shared" si="17"/>
        <v>1.0092515798941677</v>
      </c>
      <c r="Q40" s="442">
        <v>13.71</v>
      </c>
      <c r="R40" s="444">
        <f t="shared" si="18"/>
        <v>3.2030090997231535E-3</v>
      </c>
      <c r="S40" s="452">
        <f t="shared" si="19"/>
        <v>1752.6864000000003</v>
      </c>
      <c r="T40" s="445">
        <f t="shared" si="20"/>
        <v>39.600000000000364</v>
      </c>
      <c r="U40" s="444">
        <f t="shared" si="21"/>
        <v>9.2515798941676178E-3</v>
      </c>
      <c r="V40" s="145"/>
      <c r="W40" s="145"/>
      <c r="X40" s="145"/>
      <c r="Y40" s="366" t="s">
        <v>174</v>
      </c>
      <c r="Z40" s="366" t="s">
        <v>428</v>
      </c>
      <c r="AA40" s="367" t="s">
        <v>607</v>
      </c>
      <c r="AB40" s="367" t="s">
        <v>525</v>
      </c>
      <c r="AC40" s="367">
        <v>1</v>
      </c>
      <c r="AD40" s="446" t="s">
        <v>340</v>
      </c>
    </row>
    <row r="41" spans="2:39" s="147" customFormat="1" ht="27" hidden="1" customHeight="1">
      <c r="B41" s="894"/>
      <c r="C41" s="895"/>
      <c r="D41" s="361">
        <v>13</v>
      </c>
      <c r="E41" s="440" t="s">
        <v>470</v>
      </c>
      <c r="F41" s="364">
        <f t="shared" si="12"/>
        <v>5016.7151999999778</v>
      </c>
      <c r="G41" s="365">
        <v>266.27999999999997</v>
      </c>
      <c r="H41" s="442">
        <v>1314.67</v>
      </c>
      <c r="I41" s="442">
        <v>1314.67</v>
      </c>
      <c r="J41" s="444">
        <f t="shared" si="13"/>
        <v>1</v>
      </c>
      <c r="K41" s="443">
        <v>1319.17</v>
      </c>
      <c r="L41" s="444">
        <f t="shared" si="14"/>
        <v>1.0034229122137115</v>
      </c>
      <c r="M41" s="443">
        <v>14.34</v>
      </c>
      <c r="N41" s="444">
        <f t="shared" si="15"/>
        <v>1.0907680254360409E-2</v>
      </c>
      <c r="O41" s="445">
        <f t="shared" si="16"/>
        <v>1333.51</v>
      </c>
      <c r="P41" s="444">
        <f t="shared" si="17"/>
        <v>1.0143305924680717</v>
      </c>
      <c r="Q41" s="442">
        <v>1.19</v>
      </c>
      <c r="R41" s="444">
        <f t="shared" si="18"/>
        <v>9.0517011873702136E-4</v>
      </c>
      <c r="S41" s="452">
        <f t="shared" si="19"/>
        <v>316.87319999999994</v>
      </c>
      <c r="T41" s="445">
        <f t="shared" si="20"/>
        <v>18.839999999999918</v>
      </c>
      <c r="U41" s="444">
        <f t="shared" si="21"/>
        <v>1.4330592468071772E-2</v>
      </c>
      <c r="V41" s="145"/>
      <c r="W41" s="145"/>
      <c r="X41" s="145"/>
      <c r="Y41" s="366" t="s">
        <v>174</v>
      </c>
      <c r="Z41" s="366" t="s">
        <v>428</v>
      </c>
      <c r="AA41" s="367" t="s">
        <v>607</v>
      </c>
      <c r="AB41" s="367" t="s">
        <v>525</v>
      </c>
      <c r="AC41" s="367">
        <v>1</v>
      </c>
      <c r="AD41" s="446" t="s">
        <v>471</v>
      </c>
    </row>
    <row r="42" spans="2:39" s="147" customFormat="1" ht="27" hidden="1" customHeight="1">
      <c r="B42" s="894"/>
      <c r="C42" s="895"/>
      <c r="D42" s="361">
        <v>14</v>
      </c>
      <c r="E42" s="440" t="s">
        <v>568</v>
      </c>
      <c r="F42" s="364">
        <f t="shared" si="12"/>
        <v>5011.006000000004</v>
      </c>
      <c r="G42" s="365">
        <v>40.04</v>
      </c>
      <c r="H42" s="442">
        <v>3778.71</v>
      </c>
      <c r="I42" s="442">
        <v>3778.71</v>
      </c>
      <c r="J42" s="444">
        <f t="shared" si="13"/>
        <v>1</v>
      </c>
      <c r="K42" s="443">
        <v>3778.71</v>
      </c>
      <c r="L42" s="444">
        <f t="shared" si="14"/>
        <v>1</v>
      </c>
      <c r="M42" s="443">
        <v>125.15</v>
      </c>
      <c r="N42" s="444">
        <f t="shared" si="15"/>
        <v>3.3119768386565787E-2</v>
      </c>
      <c r="O42" s="445">
        <f t="shared" si="16"/>
        <v>3903.86</v>
      </c>
      <c r="P42" s="444">
        <f t="shared" si="17"/>
        <v>1.0331197683865658</v>
      </c>
      <c r="Q42" s="442">
        <v>21.74</v>
      </c>
      <c r="R42" s="444">
        <f t="shared" si="18"/>
        <v>5.7532861743822619E-3</v>
      </c>
      <c r="S42" s="452">
        <f t="shared" si="19"/>
        <v>870.4695999999999</v>
      </c>
      <c r="T42" s="445">
        <f t="shared" si="20"/>
        <v>125.15000000000009</v>
      </c>
      <c r="U42" s="444">
        <f t="shared" si="21"/>
        <v>3.3119768386565808E-2</v>
      </c>
      <c r="V42" s="145"/>
      <c r="W42" s="145"/>
      <c r="X42" s="145"/>
      <c r="Y42" s="366" t="s">
        <v>174</v>
      </c>
      <c r="Z42" s="366" t="s">
        <v>216</v>
      </c>
      <c r="AA42" s="367" t="s">
        <v>607</v>
      </c>
      <c r="AB42" s="367" t="s">
        <v>642</v>
      </c>
      <c r="AC42" s="367">
        <v>1</v>
      </c>
      <c r="AD42" s="446" t="s">
        <v>533</v>
      </c>
    </row>
    <row r="43" spans="2:39" s="147" customFormat="1" ht="27" hidden="1" customHeight="1">
      <c r="B43" s="894"/>
      <c r="C43" s="895"/>
      <c r="D43" s="361">
        <v>15</v>
      </c>
      <c r="E43" s="440" t="s">
        <v>599</v>
      </c>
      <c r="F43" s="364">
        <f t="shared" si="12"/>
        <v>5006.747200000018</v>
      </c>
      <c r="G43" s="365">
        <v>153.44000000000003</v>
      </c>
      <c r="H43" s="442">
        <v>2031.73</v>
      </c>
      <c r="I43" s="442">
        <v>2031.73</v>
      </c>
      <c r="J43" s="444">
        <f t="shared" si="13"/>
        <v>1</v>
      </c>
      <c r="K43" s="443">
        <v>2031.73</v>
      </c>
      <c r="L43" s="444">
        <f t="shared" si="14"/>
        <v>1</v>
      </c>
      <c r="M43" s="443">
        <v>32.630000000000003</v>
      </c>
      <c r="N43" s="444">
        <f t="shared" si="15"/>
        <v>1.6060204850053897E-2</v>
      </c>
      <c r="O43" s="445">
        <f t="shared" si="16"/>
        <v>2064.36</v>
      </c>
      <c r="P43" s="444">
        <f t="shared" si="17"/>
        <v>1.016060204850054</v>
      </c>
      <c r="Q43" s="442">
        <v>6.98</v>
      </c>
      <c r="R43" s="444">
        <f t="shared" si="18"/>
        <v>3.4354958582095063E-3</v>
      </c>
      <c r="S43" s="452">
        <f t="shared" si="19"/>
        <v>1071.0112000000001</v>
      </c>
      <c r="T43" s="445">
        <f t="shared" si="20"/>
        <v>32.630000000000109</v>
      </c>
      <c r="U43" s="444">
        <f t="shared" si="21"/>
        <v>1.6060204850053949E-2</v>
      </c>
      <c r="V43" s="145"/>
      <c r="W43" s="145"/>
      <c r="X43" s="145"/>
      <c r="Y43" s="366" t="s">
        <v>174</v>
      </c>
      <c r="Z43" s="366" t="s">
        <v>428</v>
      </c>
      <c r="AA43" s="367" t="s">
        <v>607</v>
      </c>
      <c r="AB43" s="367" t="s">
        <v>642</v>
      </c>
      <c r="AC43" s="367">
        <v>1</v>
      </c>
      <c r="AD43" s="446" t="s">
        <v>465</v>
      </c>
    </row>
    <row r="44" spans="2:39" s="147" customFormat="1" ht="27" hidden="1" customHeight="1">
      <c r="B44" s="894"/>
      <c r="C44" s="895"/>
      <c r="D44" s="361">
        <v>16</v>
      </c>
      <c r="E44" s="440" t="s">
        <v>459</v>
      </c>
      <c r="F44" s="364">
        <f t="shared" si="12"/>
        <v>4906.8179999999438</v>
      </c>
      <c r="G44" s="365">
        <v>605.77999999999986</v>
      </c>
      <c r="H44" s="442">
        <v>1043.78</v>
      </c>
      <c r="I44" s="442">
        <v>1043.78</v>
      </c>
      <c r="J44" s="444">
        <f t="shared" si="13"/>
        <v>1</v>
      </c>
      <c r="K44" s="443">
        <v>1044.8799999999999</v>
      </c>
      <c r="L44" s="444">
        <f t="shared" si="14"/>
        <v>1.0010538619249265</v>
      </c>
      <c r="M44" s="443">
        <v>7.0000000000000009</v>
      </c>
      <c r="N44" s="444">
        <f t="shared" si="15"/>
        <v>6.7063940677154201E-3</v>
      </c>
      <c r="O44" s="445">
        <f t="shared" si="16"/>
        <v>1051.8799999999999</v>
      </c>
      <c r="P44" s="444">
        <f t="shared" si="17"/>
        <v>1.007760255992642</v>
      </c>
      <c r="Q44" s="442">
        <v>2.7199999999999998</v>
      </c>
      <c r="R44" s="444">
        <f t="shared" si="18"/>
        <v>2.6059131234551342E-3</v>
      </c>
      <c r="S44" s="452">
        <f t="shared" si="19"/>
        <v>1647.7215999999994</v>
      </c>
      <c r="T44" s="445">
        <f t="shared" si="20"/>
        <v>8.0999999999999091</v>
      </c>
      <c r="U44" s="444">
        <f t="shared" si="21"/>
        <v>7.7602559926420404E-3</v>
      </c>
      <c r="V44" s="145"/>
      <c r="W44" s="145"/>
      <c r="X44" s="145"/>
      <c r="Y44" s="366" t="s">
        <v>174</v>
      </c>
      <c r="Z44" s="367" t="s">
        <v>216</v>
      </c>
      <c r="AA44" s="367" t="s">
        <v>482</v>
      </c>
      <c r="AB44" s="367" t="s">
        <v>547</v>
      </c>
      <c r="AC44" s="367">
        <v>1</v>
      </c>
      <c r="AD44" s="446" t="s">
        <v>342</v>
      </c>
    </row>
    <row r="45" spans="2:39" s="147" customFormat="1" ht="27" hidden="1" customHeight="1">
      <c r="B45" s="894"/>
      <c r="C45" s="895"/>
      <c r="D45" s="361">
        <v>17</v>
      </c>
      <c r="E45" s="440" t="s">
        <v>601</v>
      </c>
      <c r="F45" s="364">
        <f t="shared" si="12"/>
        <v>4565.6194999999916</v>
      </c>
      <c r="G45" s="365">
        <v>46.149999999999991</v>
      </c>
      <c r="H45" s="442">
        <v>3553.92</v>
      </c>
      <c r="I45" s="442">
        <v>3553.92</v>
      </c>
      <c r="J45" s="444">
        <f t="shared" si="13"/>
        <v>1</v>
      </c>
      <c r="K45" s="443">
        <v>3553.92</v>
      </c>
      <c r="L45" s="444">
        <f t="shared" si="14"/>
        <v>1</v>
      </c>
      <c r="M45" s="443">
        <v>98.929999999999993</v>
      </c>
      <c r="N45" s="444">
        <f t="shared" si="15"/>
        <v>2.7836867459031151E-2</v>
      </c>
      <c r="O45" s="445">
        <f t="shared" si="16"/>
        <v>3652.85</v>
      </c>
      <c r="P45" s="444">
        <f t="shared" si="17"/>
        <v>1.027836867459031</v>
      </c>
      <c r="Q45" s="442">
        <v>23.389999999999997</v>
      </c>
      <c r="R45" s="444">
        <f t="shared" si="18"/>
        <v>6.5814649738879872E-3</v>
      </c>
      <c r="S45" s="452">
        <f t="shared" si="19"/>
        <v>1079.4484999999997</v>
      </c>
      <c r="T45" s="445">
        <f t="shared" si="20"/>
        <v>98.929999999999836</v>
      </c>
      <c r="U45" s="444">
        <f t="shared" si="21"/>
        <v>2.7836867459031106E-2</v>
      </c>
      <c r="V45" s="145"/>
      <c r="W45" s="145"/>
      <c r="X45" s="145"/>
      <c r="Y45" s="366" t="s">
        <v>174</v>
      </c>
      <c r="Z45" s="367" t="s">
        <v>216</v>
      </c>
      <c r="AA45" s="367" t="s">
        <v>592</v>
      </c>
      <c r="AB45" s="367" t="s">
        <v>573</v>
      </c>
      <c r="AC45" s="367">
        <v>1</v>
      </c>
      <c r="AD45" s="446" t="s">
        <v>597</v>
      </c>
    </row>
    <row r="46" spans="2:39" s="147" customFormat="1" ht="27" hidden="1" customHeight="1">
      <c r="B46" s="894"/>
      <c r="C46" s="895"/>
      <c r="D46" s="361">
        <v>18</v>
      </c>
      <c r="E46" s="440" t="s">
        <v>545</v>
      </c>
      <c r="F46" s="364">
        <f t="shared" si="12"/>
        <v>4532.5501999999969</v>
      </c>
      <c r="G46" s="365">
        <v>66.13</v>
      </c>
      <c r="H46" s="442">
        <v>1915.3400000000001</v>
      </c>
      <c r="I46" s="442">
        <v>1915.3400000000001</v>
      </c>
      <c r="J46" s="444">
        <f t="shared" si="13"/>
        <v>1</v>
      </c>
      <c r="K46" s="443">
        <v>1921.8000000000002</v>
      </c>
      <c r="L46" s="444">
        <f t="shared" si="14"/>
        <v>1.0033727693255505</v>
      </c>
      <c r="M46" s="443">
        <v>62.08</v>
      </c>
      <c r="N46" s="444">
        <f t="shared" si="15"/>
        <v>3.2411999958231956E-2</v>
      </c>
      <c r="O46" s="445">
        <f t="shared" si="16"/>
        <v>1983.88</v>
      </c>
      <c r="P46" s="444">
        <f t="shared" si="17"/>
        <v>1.0357847692837825</v>
      </c>
      <c r="Q46" s="442">
        <v>14.2</v>
      </c>
      <c r="R46" s="444">
        <f t="shared" si="18"/>
        <v>7.4138273100337266E-3</v>
      </c>
      <c r="S46" s="452">
        <f t="shared" si="19"/>
        <v>939.04599999999994</v>
      </c>
      <c r="T46" s="445">
        <f t="shared" si="20"/>
        <v>68.539999999999964</v>
      </c>
      <c r="U46" s="444">
        <f t="shared" si="21"/>
        <v>3.5784769283782492E-2</v>
      </c>
      <c r="V46" s="145"/>
      <c r="W46" s="145"/>
      <c r="X46" s="145"/>
      <c r="Y46" s="366" t="s">
        <v>174</v>
      </c>
      <c r="Z46" s="366" t="s">
        <v>428</v>
      </c>
      <c r="AA46" s="367" t="s">
        <v>479</v>
      </c>
      <c r="AB46" s="367" t="s">
        <v>477</v>
      </c>
      <c r="AC46" s="367">
        <v>1</v>
      </c>
      <c r="AD46" s="446" t="s">
        <v>341</v>
      </c>
    </row>
    <row r="47" spans="2:39" s="147" customFormat="1" ht="27" hidden="1" customHeight="1">
      <c r="B47" s="894"/>
      <c r="C47" s="895"/>
      <c r="D47" s="361">
        <v>19</v>
      </c>
      <c r="E47" s="440" t="s">
        <v>464</v>
      </c>
      <c r="F47" s="364">
        <f t="shared" si="12"/>
        <v>4509.9299999999921</v>
      </c>
      <c r="G47" s="365">
        <v>629</v>
      </c>
      <c r="H47" s="442">
        <v>191.45</v>
      </c>
      <c r="I47" s="442">
        <v>191.45</v>
      </c>
      <c r="J47" s="444">
        <f t="shared" si="13"/>
        <v>1</v>
      </c>
      <c r="K47" s="443">
        <v>191.45</v>
      </c>
      <c r="L47" s="444">
        <f t="shared" si="14"/>
        <v>1</v>
      </c>
      <c r="M47" s="443">
        <v>7.17</v>
      </c>
      <c r="N47" s="444">
        <f t="shared" si="15"/>
        <v>3.7451031600940196E-2</v>
      </c>
      <c r="O47" s="445">
        <f t="shared" si="16"/>
        <v>198.61999999999998</v>
      </c>
      <c r="P47" s="444">
        <f t="shared" si="17"/>
        <v>1.0374510316009402</v>
      </c>
      <c r="Q47" s="442">
        <v>1.68</v>
      </c>
      <c r="R47" s="444">
        <f t="shared" si="18"/>
        <v>8.7751371115173671E-3</v>
      </c>
      <c r="S47" s="452">
        <f t="shared" si="19"/>
        <v>1056.72</v>
      </c>
      <c r="T47" s="445">
        <f t="shared" si="20"/>
        <v>7.1699999999999875</v>
      </c>
      <c r="U47" s="444">
        <f t="shared" si="21"/>
        <v>3.7451031600940127E-2</v>
      </c>
      <c r="V47" s="145"/>
      <c r="W47" s="145"/>
      <c r="X47" s="145"/>
      <c r="Y47" s="366" t="s">
        <v>174</v>
      </c>
      <c r="Z47" s="366" t="s">
        <v>428</v>
      </c>
      <c r="AA47" s="367" t="s">
        <v>482</v>
      </c>
      <c r="AB47" s="367" t="s">
        <v>547</v>
      </c>
      <c r="AC47" s="367">
        <v>1</v>
      </c>
      <c r="AD47" s="446" t="s">
        <v>458</v>
      </c>
    </row>
    <row r="48" spans="2:39" s="147" customFormat="1" ht="27" hidden="1" customHeight="1">
      <c r="B48" s="896"/>
      <c r="C48" s="897"/>
      <c r="D48" s="361">
        <v>20</v>
      </c>
      <c r="E48" s="440" t="s">
        <v>420</v>
      </c>
      <c r="F48" s="364">
        <f t="shared" si="12"/>
        <v>4319.3231999999853</v>
      </c>
      <c r="G48" s="365">
        <v>157.87000000000003</v>
      </c>
      <c r="H48" s="442">
        <v>1811.05</v>
      </c>
      <c r="I48" s="442">
        <v>1811.05</v>
      </c>
      <c r="J48" s="444">
        <f t="shared" si="13"/>
        <v>1</v>
      </c>
      <c r="K48" s="443">
        <v>1812.0199999999998</v>
      </c>
      <c r="L48" s="444">
        <f t="shared" si="14"/>
        <v>1.0005356008945085</v>
      </c>
      <c r="M48" s="443">
        <v>26.39</v>
      </c>
      <c r="N48" s="444">
        <f t="shared" si="15"/>
        <v>1.4571657325860689E-2</v>
      </c>
      <c r="O48" s="445">
        <f t="shared" si="16"/>
        <v>1838.4099999999999</v>
      </c>
      <c r="P48" s="444">
        <f t="shared" si="17"/>
        <v>1.0151072582203693</v>
      </c>
      <c r="Q48" s="442">
        <v>6.08</v>
      </c>
      <c r="R48" s="444">
        <f t="shared" si="18"/>
        <v>3.357168493415422E-3</v>
      </c>
      <c r="S48" s="452">
        <f t="shared" si="19"/>
        <v>959.84960000000024</v>
      </c>
      <c r="T48" s="445">
        <f t="shared" si="20"/>
        <v>27.3599999999999</v>
      </c>
      <c r="U48" s="444">
        <f t="shared" si="21"/>
        <v>1.5107258220369344E-2</v>
      </c>
      <c r="V48" s="145"/>
      <c r="W48" s="145"/>
      <c r="X48" s="145"/>
      <c r="Y48" s="366" t="s">
        <v>174</v>
      </c>
      <c r="Z48" s="366" t="s">
        <v>428</v>
      </c>
      <c r="AA48" s="367" t="s">
        <v>541</v>
      </c>
      <c r="AB48" s="367" t="s">
        <v>542</v>
      </c>
      <c r="AC48" s="367">
        <v>1</v>
      </c>
      <c r="AD48" s="446" t="s">
        <v>340</v>
      </c>
    </row>
    <row r="49" spans="2:39" ht="17.100000000000001" hidden="1" customHeight="1">
      <c r="B49" s="898" t="s">
        <v>442</v>
      </c>
      <c r="C49" s="899"/>
      <c r="D49" s="902" t="s">
        <v>549</v>
      </c>
      <c r="E49" s="903" t="s">
        <v>550</v>
      </c>
      <c r="F49" s="953" t="s">
        <v>567</v>
      </c>
      <c r="G49" s="881" t="s">
        <v>552</v>
      </c>
      <c r="H49" s="905" t="s">
        <v>553</v>
      </c>
      <c r="I49" s="906" t="s">
        <v>554</v>
      </c>
      <c r="J49" s="907"/>
      <c r="K49" s="906" t="s">
        <v>555</v>
      </c>
      <c r="L49" s="907"/>
      <c r="M49" s="906" t="s">
        <v>556</v>
      </c>
      <c r="N49" s="907"/>
      <c r="O49" s="906" t="s">
        <v>557</v>
      </c>
      <c r="P49" s="907"/>
      <c r="Q49" s="906" t="s">
        <v>418</v>
      </c>
      <c r="R49" s="954"/>
      <c r="S49" s="907"/>
      <c r="T49" s="908" t="s">
        <v>419</v>
      </c>
      <c r="U49" s="910"/>
      <c r="Y49" s="914" t="s">
        <v>171</v>
      </c>
      <c r="Z49" s="914" t="s">
        <v>245</v>
      </c>
      <c r="AA49" s="914" t="s">
        <v>558</v>
      </c>
      <c r="AB49" s="914" t="s">
        <v>444</v>
      </c>
      <c r="AC49" s="914" t="s">
        <v>246</v>
      </c>
      <c r="AD49" s="881" t="s">
        <v>172</v>
      </c>
      <c r="AF49" s="883" t="s">
        <v>247</v>
      </c>
      <c r="AG49" s="884"/>
      <c r="AH49" s="884"/>
      <c r="AI49" s="884"/>
      <c r="AJ49" s="884"/>
      <c r="AK49" s="884"/>
      <c r="AL49" s="884"/>
      <c r="AM49" s="885"/>
    </row>
    <row r="50" spans="2:39" ht="16.5" hidden="1" customHeight="1">
      <c r="B50" s="900"/>
      <c r="C50" s="901"/>
      <c r="D50" s="902"/>
      <c r="E50" s="902"/>
      <c r="F50" s="904"/>
      <c r="G50" s="882"/>
      <c r="H50" s="882"/>
      <c r="I50" s="439" t="s">
        <v>559</v>
      </c>
      <c r="J50" s="362" t="s">
        <v>560</v>
      </c>
      <c r="K50" s="439" t="s">
        <v>559</v>
      </c>
      <c r="L50" s="362" t="s">
        <v>560</v>
      </c>
      <c r="M50" s="439" t="s">
        <v>559</v>
      </c>
      <c r="N50" s="362" t="s">
        <v>560</v>
      </c>
      <c r="O50" s="439" t="s">
        <v>559</v>
      </c>
      <c r="P50" s="362" t="s">
        <v>560</v>
      </c>
      <c r="Q50" s="439" t="s">
        <v>559</v>
      </c>
      <c r="R50" s="362" t="s">
        <v>560</v>
      </c>
      <c r="S50" s="362" t="s">
        <v>561</v>
      </c>
      <c r="T50" s="439" t="s">
        <v>559</v>
      </c>
      <c r="U50" s="362" t="s">
        <v>560</v>
      </c>
      <c r="Y50" s="915"/>
      <c r="Z50" s="915"/>
      <c r="AA50" s="915"/>
      <c r="AB50" s="915"/>
      <c r="AC50" s="915"/>
      <c r="AD50" s="882"/>
      <c r="AF50" s="886"/>
      <c r="AG50" s="887"/>
      <c r="AH50" s="887"/>
      <c r="AI50" s="887"/>
      <c r="AJ50" s="887"/>
      <c r="AK50" s="887"/>
      <c r="AL50" s="887"/>
      <c r="AM50" s="888"/>
    </row>
    <row r="51" spans="2:39" s="147" customFormat="1" ht="27" hidden="1" customHeight="1">
      <c r="B51" s="927" t="s">
        <v>626</v>
      </c>
      <c r="C51" s="893"/>
      <c r="D51" s="361">
        <v>1</v>
      </c>
      <c r="E51" s="440" t="s">
        <v>336</v>
      </c>
      <c r="F51" s="364">
        <f>IFERROR(T51*G51,"-")</f>
        <v>10418.878100000013</v>
      </c>
      <c r="G51" s="365">
        <v>147.43000000000004</v>
      </c>
      <c r="H51" s="442">
        <v>4946.46</v>
      </c>
      <c r="I51" s="442">
        <v>4946.46</v>
      </c>
      <c r="J51" s="444">
        <f>IFERROR(I51/H51,"-")</f>
        <v>1</v>
      </c>
      <c r="K51" s="443">
        <v>4946.46</v>
      </c>
      <c r="L51" s="444">
        <f>IFERROR(K51/H51,"-")</f>
        <v>1</v>
      </c>
      <c r="M51" s="443">
        <v>70.67</v>
      </c>
      <c r="N51" s="444">
        <f>IFERROR(M51/H51,"-")</f>
        <v>1.428698503576295E-2</v>
      </c>
      <c r="O51" s="445">
        <f>IFERROR(K51+M51,"-")</f>
        <v>5017.13</v>
      </c>
      <c r="P51" s="444">
        <f>IFERROR(O51/H51,"-")</f>
        <v>1.014286985035763</v>
      </c>
      <c r="Q51" s="442">
        <v>12.290000000000001</v>
      </c>
      <c r="R51" s="444">
        <f>IFERROR(Q51/H51,"-")</f>
        <v>2.4846051519672656E-3</v>
      </c>
      <c r="S51" s="452">
        <f>IFERROR(Q51*G51,"-")</f>
        <v>1811.9147000000005</v>
      </c>
      <c r="T51" s="445">
        <f>IFERROR(O51-H51,"-")</f>
        <v>70.670000000000073</v>
      </c>
      <c r="U51" s="444">
        <f>IFERROR(T51/H51,"-")</f>
        <v>1.4286985035762964E-2</v>
      </c>
      <c r="V51" s="145"/>
      <c r="W51" s="145"/>
      <c r="X51" s="145"/>
      <c r="Y51" s="366" t="s">
        <v>174</v>
      </c>
      <c r="Z51" s="366" t="s">
        <v>215</v>
      </c>
      <c r="AA51" s="367" t="s">
        <v>478</v>
      </c>
      <c r="AB51" s="367" t="s">
        <v>524</v>
      </c>
      <c r="AC51" s="367">
        <v>1</v>
      </c>
      <c r="AD51" s="446" t="s">
        <v>340</v>
      </c>
      <c r="AF51" s="889"/>
      <c r="AG51" s="890"/>
      <c r="AH51" s="890"/>
      <c r="AI51" s="890"/>
      <c r="AJ51" s="890"/>
      <c r="AK51" s="890"/>
      <c r="AL51" s="890"/>
      <c r="AM51" s="891"/>
    </row>
    <row r="52" spans="2:39" s="147" customFormat="1" ht="27" hidden="1" customHeight="1">
      <c r="B52" s="894"/>
      <c r="C52" s="895"/>
      <c r="D52" s="361">
        <v>2</v>
      </c>
      <c r="E52" s="440" t="s">
        <v>651</v>
      </c>
      <c r="F52" s="364">
        <f t="shared" ref="F52:F70" si="25">IFERROR(T52*G52,"-")</f>
        <v>8323.1990000000296</v>
      </c>
      <c r="G52" s="365">
        <v>655.37</v>
      </c>
      <c r="H52" s="442">
        <v>884.7600000000001</v>
      </c>
      <c r="I52" s="442">
        <v>884.7600000000001</v>
      </c>
      <c r="J52" s="444">
        <f t="shared" ref="J52:J70" si="26">IFERROR(I52/H52,"-")</f>
        <v>1</v>
      </c>
      <c r="K52" s="443">
        <v>884.7600000000001</v>
      </c>
      <c r="L52" s="444">
        <f t="shared" ref="L52:L70" si="27">IFERROR(K52/H52,"-")</f>
        <v>1</v>
      </c>
      <c r="M52" s="443">
        <v>12.7</v>
      </c>
      <c r="N52" s="444">
        <f t="shared" ref="N52:N70" si="28">IFERROR(M52/H52,"-")</f>
        <v>1.4354175143541748E-2</v>
      </c>
      <c r="O52" s="445">
        <f t="shared" ref="O52:O70" si="29">IFERROR(K52+M52,"-")</f>
        <v>897.46000000000015</v>
      </c>
      <c r="P52" s="444">
        <f t="shared" ref="P52:P70" si="30">IFERROR(O52/H52,"-")</f>
        <v>1.0143541751435419</v>
      </c>
      <c r="Q52" s="442">
        <v>3.3499999999999996</v>
      </c>
      <c r="R52" s="444">
        <f t="shared" ref="R52:R70" si="31">IFERROR(Q52/H52,"-")</f>
        <v>3.7863375378633744E-3</v>
      </c>
      <c r="S52" s="452">
        <f t="shared" ref="S52:S70" si="32">IFERROR(Q52*G52,"-")</f>
        <v>2195.4894999999997</v>
      </c>
      <c r="T52" s="445">
        <f t="shared" ref="T52:T70" si="33">IFERROR(O52-H52,"-")</f>
        <v>12.700000000000045</v>
      </c>
      <c r="U52" s="444">
        <f t="shared" ref="U52:U70" si="34">IFERROR(T52/H52,"-")</f>
        <v>1.4354175143541802E-2</v>
      </c>
      <c r="V52" s="145"/>
      <c r="W52" s="145"/>
      <c r="X52" s="145"/>
      <c r="Y52" s="366" t="s">
        <v>174</v>
      </c>
      <c r="Z52" s="366" t="s">
        <v>428</v>
      </c>
      <c r="AA52" s="367" t="s">
        <v>659</v>
      </c>
      <c r="AB52" s="367" t="s">
        <v>573</v>
      </c>
      <c r="AC52" s="367">
        <v>1</v>
      </c>
      <c r="AD52" s="446" t="s">
        <v>650</v>
      </c>
      <c r="AF52" s="160" t="s">
        <v>244</v>
      </c>
      <c r="AG52" s="160" t="s">
        <v>445</v>
      </c>
      <c r="AH52" s="155" t="s">
        <v>562</v>
      </c>
      <c r="AI52" s="155" t="s">
        <v>337</v>
      </c>
      <c r="AJ52" s="155" t="s">
        <v>428</v>
      </c>
      <c r="AK52" s="155" t="s">
        <v>215</v>
      </c>
      <c r="AL52" s="155" t="s">
        <v>216</v>
      </c>
      <c r="AM52" s="155" t="s">
        <v>384</v>
      </c>
    </row>
    <row r="53" spans="2:39" s="147" customFormat="1" ht="27" hidden="1" customHeight="1">
      <c r="B53" s="894"/>
      <c r="C53" s="895"/>
      <c r="D53" s="361">
        <v>3</v>
      </c>
      <c r="E53" s="440" t="s">
        <v>652</v>
      </c>
      <c r="F53" s="364">
        <f t="shared" si="25"/>
        <v>7860.2237999999907</v>
      </c>
      <c r="G53" s="365">
        <v>31.59</v>
      </c>
      <c r="H53" s="442">
        <v>9400.57</v>
      </c>
      <c r="I53" s="442">
        <v>9400.57</v>
      </c>
      <c r="J53" s="444">
        <f t="shared" si="26"/>
        <v>1</v>
      </c>
      <c r="K53" s="443">
        <v>9400.57</v>
      </c>
      <c r="L53" s="444">
        <f t="shared" si="27"/>
        <v>1</v>
      </c>
      <c r="M53" s="443">
        <v>248.82</v>
      </c>
      <c r="N53" s="444">
        <f t="shared" si="28"/>
        <v>2.6468607754636154E-2</v>
      </c>
      <c r="O53" s="445">
        <f t="shared" si="29"/>
        <v>9649.39</v>
      </c>
      <c r="P53" s="444">
        <f t="shared" si="30"/>
        <v>1.0264686077546361</v>
      </c>
      <c r="Q53" s="442">
        <v>43.639999999999993</v>
      </c>
      <c r="R53" s="444">
        <f t="shared" si="31"/>
        <v>4.6422716920356951E-3</v>
      </c>
      <c r="S53" s="452">
        <f t="shared" si="32"/>
        <v>1378.5875999999998</v>
      </c>
      <c r="T53" s="445">
        <f t="shared" si="33"/>
        <v>248.81999999999971</v>
      </c>
      <c r="U53" s="444">
        <f t="shared" si="34"/>
        <v>2.6468607754636126E-2</v>
      </c>
      <c r="V53" s="145"/>
      <c r="W53" s="145"/>
      <c r="X53" s="145"/>
      <c r="Y53" s="366" t="s">
        <v>174</v>
      </c>
      <c r="Z53" s="366" t="s">
        <v>216</v>
      </c>
      <c r="AA53" s="367" t="s">
        <v>479</v>
      </c>
      <c r="AB53" s="367" t="s">
        <v>477</v>
      </c>
      <c r="AC53" s="367">
        <v>1</v>
      </c>
      <c r="AD53" s="446" t="s">
        <v>650</v>
      </c>
      <c r="AF53" s="374">
        <f>SUM(AC51:AC70)</f>
        <v>20</v>
      </c>
      <c r="AG53" s="369">
        <f>SUMIF($Z$51:$Z$70,TRIM(AG52),$AC$51:$AC$70)</f>
        <v>0</v>
      </c>
      <c r="AH53" s="369">
        <f t="shared" ref="AH53:AM53" si="35">SUMIF($Z$51:$Z$70,TRIM(AH52),$AC$51:$AC$70)</f>
        <v>0</v>
      </c>
      <c r="AI53" s="369">
        <f t="shared" si="35"/>
        <v>0</v>
      </c>
      <c r="AJ53" s="369">
        <f t="shared" si="35"/>
        <v>12</v>
      </c>
      <c r="AK53" s="369">
        <f t="shared" si="35"/>
        <v>1</v>
      </c>
      <c r="AL53" s="369">
        <f t="shared" si="35"/>
        <v>7</v>
      </c>
      <c r="AM53" s="369">
        <f t="shared" si="35"/>
        <v>0</v>
      </c>
    </row>
    <row r="54" spans="2:39" s="147" customFormat="1" ht="27" hidden="1" customHeight="1">
      <c r="B54" s="894"/>
      <c r="C54" s="895"/>
      <c r="D54" s="361">
        <v>4</v>
      </c>
      <c r="E54" s="440" t="s">
        <v>459</v>
      </c>
      <c r="F54" s="364">
        <f t="shared" si="25"/>
        <v>6487.903800000021</v>
      </c>
      <c r="G54" s="365">
        <v>605.77999999999986</v>
      </c>
      <c r="H54" s="442">
        <v>1086.77</v>
      </c>
      <c r="I54" s="442">
        <v>1086.77</v>
      </c>
      <c r="J54" s="444">
        <f t="shared" si="26"/>
        <v>1</v>
      </c>
      <c r="K54" s="443">
        <v>1086.77</v>
      </c>
      <c r="L54" s="444">
        <f t="shared" si="27"/>
        <v>1</v>
      </c>
      <c r="M54" s="443">
        <v>10.709999999999999</v>
      </c>
      <c r="N54" s="444">
        <f t="shared" si="28"/>
        <v>9.8548910993126407E-3</v>
      </c>
      <c r="O54" s="445">
        <f t="shared" si="29"/>
        <v>1097.48</v>
      </c>
      <c r="P54" s="444">
        <f t="shared" si="30"/>
        <v>1.0098548910993126</v>
      </c>
      <c r="Q54" s="442">
        <v>2.6399999999999997</v>
      </c>
      <c r="R54" s="444">
        <f t="shared" si="31"/>
        <v>2.4292168536120796E-3</v>
      </c>
      <c r="S54" s="452">
        <f t="shared" si="32"/>
        <v>1599.2591999999995</v>
      </c>
      <c r="T54" s="445">
        <f t="shared" si="33"/>
        <v>10.710000000000036</v>
      </c>
      <c r="U54" s="444">
        <f t="shared" si="34"/>
        <v>9.8548910993126754E-3</v>
      </c>
      <c r="V54" s="145"/>
      <c r="W54" s="145"/>
      <c r="X54" s="145"/>
      <c r="Y54" s="366" t="s">
        <v>174</v>
      </c>
      <c r="Z54" s="366" t="s">
        <v>216</v>
      </c>
      <c r="AA54" s="367" t="s">
        <v>482</v>
      </c>
      <c r="AB54" s="367" t="s">
        <v>547</v>
      </c>
      <c r="AC54" s="367">
        <v>1</v>
      </c>
      <c r="AD54" s="446" t="s">
        <v>342</v>
      </c>
      <c r="AF54" s="375"/>
      <c r="AG54" s="372">
        <f t="shared" ref="AG54:AM54" si="36">SUMIF($Z$51:$Z$70,TRIM(AG52),$F$51:$F$70)</f>
        <v>0</v>
      </c>
      <c r="AH54" s="372">
        <f t="shared" si="36"/>
        <v>0</v>
      </c>
      <c r="AI54" s="372">
        <f t="shared" si="36"/>
        <v>0</v>
      </c>
      <c r="AJ54" s="372">
        <f t="shared" si="36"/>
        <v>60915.576099999984</v>
      </c>
      <c r="AK54" s="372">
        <f t="shared" si="36"/>
        <v>10418.878100000013</v>
      </c>
      <c r="AL54" s="372">
        <f t="shared" si="36"/>
        <v>40453.998099999946</v>
      </c>
      <c r="AM54" s="372">
        <f t="shared" si="36"/>
        <v>0</v>
      </c>
    </row>
    <row r="55" spans="2:39" s="147" customFormat="1" ht="27" hidden="1" customHeight="1">
      <c r="B55" s="894"/>
      <c r="C55" s="895"/>
      <c r="D55" s="361">
        <v>5</v>
      </c>
      <c r="E55" s="440" t="s">
        <v>653</v>
      </c>
      <c r="F55" s="364">
        <f t="shared" si="25"/>
        <v>6375.0424000000121</v>
      </c>
      <c r="G55" s="365">
        <v>40.420000000000009</v>
      </c>
      <c r="H55" s="442">
        <v>5161.1000000000004</v>
      </c>
      <c r="I55" s="442">
        <v>5161.1000000000004</v>
      </c>
      <c r="J55" s="444">
        <f t="shared" si="26"/>
        <v>1</v>
      </c>
      <c r="K55" s="443">
        <v>5161.1000000000004</v>
      </c>
      <c r="L55" s="444">
        <f t="shared" si="27"/>
        <v>1</v>
      </c>
      <c r="M55" s="443">
        <v>157.72</v>
      </c>
      <c r="N55" s="444">
        <f t="shared" si="28"/>
        <v>3.0559376877022339E-2</v>
      </c>
      <c r="O55" s="445">
        <f t="shared" si="29"/>
        <v>5318.8200000000006</v>
      </c>
      <c r="P55" s="444">
        <f t="shared" si="30"/>
        <v>1.0305593768770225</v>
      </c>
      <c r="Q55" s="442">
        <v>29.93</v>
      </c>
      <c r="R55" s="444">
        <f t="shared" si="31"/>
        <v>5.7991513437057989E-3</v>
      </c>
      <c r="S55" s="452">
        <f t="shared" si="32"/>
        <v>1209.7706000000003</v>
      </c>
      <c r="T55" s="445">
        <f t="shared" si="33"/>
        <v>157.72000000000025</v>
      </c>
      <c r="U55" s="444">
        <f t="shared" si="34"/>
        <v>3.0559376877022388E-2</v>
      </c>
      <c r="V55" s="145"/>
      <c r="W55" s="145"/>
      <c r="X55" s="145"/>
      <c r="Y55" s="366" t="s">
        <v>174</v>
      </c>
      <c r="Z55" s="366" t="s">
        <v>216</v>
      </c>
      <c r="AA55" s="367" t="s">
        <v>607</v>
      </c>
      <c r="AB55" s="367" t="s">
        <v>642</v>
      </c>
      <c r="AC55" s="367">
        <v>1</v>
      </c>
      <c r="AD55" s="446" t="s">
        <v>650</v>
      </c>
      <c r="AF55" s="361"/>
      <c r="AG55" s="373">
        <f t="shared" ref="AG55:AM55" si="37">AG53/$AF53</f>
        <v>0</v>
      </c>
      <c r="AH55" s="373">
        <f t="shared" si="37"/>
        <v>0</v>
      </c>
      <c r="AI55" s="373">
        <f t="shared" si="37"/>
        <v>0</v>
      </c>
      <c r="AJ55" s="373">
        <f t="shared" si="37"/>
        <v>0.6</v>
      </c>
      <c r="AK55" s="373">
        <f t="shared" si="37"/>
        <v>0.05</v>
      </c>
      <c r="AL55" s="373">
        <f t="shared" si="37"/>
        <v>0.35</v>
      </c>
      <c r="AM55" s="373">
        <f t="shared" si="37"/>
        <v>0</v>
      </c>
    </row>
    <row r="56" spans="2:39" s="147" customFormat="1" ht="27" hidden="1" customHeight="1">
      <c r="B56" s="894"/>
      <c r="C56" s="895"/>
      <c r="D56" s="361">
        <v>6</v>
      </c>
      <c r="E56" s="440" t="s">
        <v>534</v>
      </c>
      <c r="F56" s="364">
        <f t="shared" si="25"/>
        <v>5776.5434999999134</v>
      </c>
      <c r="G56" s="365">
        <v>39.389999999999993</v>
      </c>
      <c r="H56" s="442">
        <v>25259.64</v>
      </c>
      <c r="I56" s="442">
        <v>25259.64</v>
      </c>
      <c r="J56" s="444">
        <f t="shared" si="26"/>
        <v>1</v>
      </c>
      <c r="K56" s="443">
        <v>25270.079999999998</v>
      </c>
      <c r="L56" s="444">
        <f t="shared" si="27"/>
        <v>1.0004133075530768</v>
      </c>
      <c r="M56" s="443">
        <v>136.21</v>
      </c>
      <c r="N56" s="444">
        <f t="shared" si="28"/>
        <v>5.3923967245772314E-3</v>
      </c>
      <c r="O56" s="445">
        <f t="shared" si="29"/>
        <v>25406.289999999997</v>
      </c>
      <c r="P56" s="444">
        <f t="shared" si="30"/>
        <v>1.0058057042776538</v>
      </c>
      <c r="Q56" s="442">
        <v>36</v>
      </c>
      <c r="R56" s="444">
        <f t="shared" si="31"/>
        <v>1.4251984588853999E-3</v>
      </c>
      <c r="S56" s="452">
        <f t="shared" si="32"/>
        <v>1418.0399999999997</v>
      </c>
      <c r="T56" s="445">
        <f t="shared" si="33"/>
        <v>146.64999999999782</v>
      </c>
      <c r="U56" s="444">
        <f t="shared" si="34"/>
        <v>5.8057042776539104E-3</v>
      </c>
      <c r="V56" s="145"/>
      <c r="W56" s="145"/>
      <c r="X56" s="145"/>
      <c r="Y56" s="366" t="s">
        <v>174</v>
      </c>
      <c r="Z56" s="366" t="s">
        <v>216</v>
      </c>
      <c r="AA56" s="367" t="s">
        <v>607</v>
      </c>
      <c r="AB56" s="367" t="s">
        <v>642</v>
      </c>
      <c r="AC56" s="367">
        <v>1</v>
      </c>
      <c r="AD56" s="446" t="s">
        <v>340</v>
      </c>
    </row>
    <row r="57" spans="2:39" s="147" customFormat="1" ht="27" hidden="1" customHeight="1">
      <c r="B57" s="894"/>
      <c r="C57" s="895"/>
      <c r="D57" s="361">
        <v>7</v>
      </c>
      <c r="E57" s="440" t="s">
        <v>635</v>
      </c>
      <c r="F57" s="364">
        <f t="shared" si="25"/>
        <v>5340.2058000000025</v>
      </c>
      <c r="G57" s="365">
        <v>49.82</v>
      </c>
      <c r="H57" s="442">
        <v>3465.25</v>
      </c>
      <c r="I57" s="442">
        <v>3465.25</v>
      </c>
      <c r="J57" s="444">
        <f t="shared" si="26"/>
        <v>1</v>
      </c>
      <c r="K57" s="443">
        <v>3474</v>
      </c>
      <c r="L57" s="444">
        <f t="shared" si="27"/>
        <v>1.0025250703412452</v>
      </c>
      <c r="M57" s="443">
        <v>98.440000000000012</v>
      </c>
      <c r="N57" s="444">
        <f t="shared" si="28"/>
        <v>2.8407762787677659E-2</v>
      </c>
      <c r="O57" s="445">
        <f t="shared" si="29"/>
        <v>3572.44</v>
      </c>
      <c r="P57" s="444">
        <f t="shared" si="30"/>
        <v>1.0309328331289229</v>
      </c>
      <c r="Q57" s="442">
        <v>20.89</v>
      </c>
      <c r="R57" s="444">
        <f t="shared" si="31"/>
        <v>6.0284250775557323E-3</v>
      </c>
      <c r="S57" s="452">
        <f t="shared" si="32"/>
        <v>1040.7398000000001</v>
      </c>
      <c r="T57" s="445">
        <f t="shared" si="33"/>
        <v>107.19000000000005</v>
      </c>
      <c r="U57" s="444">
        <f t="shared" si="34"/>
        <v>3.0932833128922893E-2</v>
      </c>
      <c r="V57" s="145"/>
      <c r="W57" s="145"/>
      <c r="X57" s="145"/>
      <c r="Y57" s="366" t="s">
        <v>174</v>
      </c>
      <c r="Z57" s="366" t="s">
        <v>428</v>
      </c>
      <c r="AA57" s="367" t="s">
        <v>479</v>
      </c>
      <c r="AB57" s="367" t="s">
        <v>477</v>
      </c>
      <c r="AC57" s="367">
        <v>1</v>
      </c>
      <c r="AD57" s="446" t="s">
        <v>616</v>
      </c>
    </row>
    <row r="58" spans="2:39" s="147" customFormat="1" ht="27" hidden="1" customHeight="1">
      <c r="B58" s="894"/>
      <c r="C58" s="895"/>
      <c r="D58" s="361">
        <v>8</v>
      </c>
      <c r="E58" s="440" t="s">
        <v>600</v>
      </c>
      <c r="F58" s="364">
        <f t="shared" si="25"/>
        <v>5141.2589999999818</v>
      </c>
      <c r="G58" s="365">
        <v>413.94999999999993</v>
      </c>
      <c r="H58" s="442">
        <v>544.71</v>
      </c>
      <c r="I58" s="442">
        <v>544.71</v>
      </c>
      <c r="J58" s="444">
        <f t="shared" si="26"/>
        <v>1</v>
      </c>
      <c r="K58" s="443">
        <v>544.71</v>
      </c>
      <c r="L58" s="444">
        <f t="shared" si="27"/>
        <v>1</v>
      </c>
      <c r="M58" s="443">
        <v>12.419999999999998</v>
      </c>
      <c r="N58" s="444">
        <f t="shared" si="28"/>
        <v>2.2801123533623392E-2</v>
      </c>
      <c r="O58" s="445">
        <f t="shared" si="29"/>
        <v>557.13</v>
      </c>
      <c r="P58" s="444">
        <f t="shared" si="30"/>
        <v>1.0228011235336234</v>
      </c>
      <c r="Q58" s="442">
        <v>2.2300000000000004</v>
      </c>
      <c r="R58" s="444">
        <f t="shared" si="31"/>
        <v>4.093921536230288E-3</v>
      </c>
      <c r="S58" s="452">
        <f t="shared" si="32"/>
        <v>923.10850000000005</v>
      </c>
      <c r="T58" s="445">
        <f t="shared" si="33"/>
        <v>12.419999999999959</v>
      </c>
      <c r="U58" s="444">
        <f t="shared" si="34"/>
        <v>2.2801123533623319E-2</v>
      </c>
      <c r="V58" s="145"/>
      <c r="W58" s="145"/>
      <c r="X58" s="145"/>
      <c r="Y58" s="366" t="s">
        <v>174</v>
      </c>
      <c r="Z58" s="366" t="s">
        <v>428</v>
      </c>
      <c r="AA58" s="367" t="s">
        <v>607</v>
      </c>
      <c r="AB58" s="367" t="s">
        <v>642</v>
      </c>
      <c r="AC58" s="367">
        <v>1</v>
      </c>
      <c r="AD58" s="446" t="s">
        <v>340</v>
      </c>
    </row>
    <row r="59" spans="2:39" s="147" customFormat="1" ht="27" hidden="1" customHeight="1">
      <c r="B59" s="894"/>
      <c r="C59" s="895"/>
      <c r="D59" s="361">
        <v>9</v>
      </c>
      <c r="E59" s="440" t="s">
        <v>386</v>
      </c>
      <c r="F59" s="364">
        <f t="shared" si="25"/>
        <v>5026.6687999999631</v>
      </c>
      <c r="G59" s="365">
        <v>127.84000000000002</v>
      </c>
      <c r="H59" s="442">
        <v>4364.0199999999995</v>
      </c>
      <c r="I59" s="442">
        <v>4364.0199999999995</v>
      </c>
      <c r="J59" s="444">
        <f t="shared" si="26"/>
        <v>1</v>
      </c>
      <c r="K59" s="443">
        <v>4364.0199999999995</v>
      </c>
      <c r="L59" s="444">
        <f t="shared" si="27"/>
        <v>1</v>
      </c>
      <c r="M59" s="443">
        <v>39.319999999999993</v>
      </c>
      <c r="N59" s="444">
        <f t="shared" si="28"/>
        <v>9.0100412005444507E-3</v>
      </c>
      <c r="O59" s="445">
        <f t="shared" si="29"/>
        <v>4403.3399999999992</v>
      </c>
      <c r="P59" s="444">
        <f t="shared" si="30"/>
        <v>1.0090100412005445</v>
      </c>
      <c r="Q59" s="442">
        <v>9.2200000000000006</v>
      </c>
      <c r="R59" s="444">
        <f t="shared" si="31"/>
        <v>2.1127309224064053E-3</v>
      </c>
      <c r="S59" s="452">
        <f t="shared" si="32"/>
        <v>1178.6848000000002</v>
      </c>
      <c r="T59" s="445">
        <f t="shared" si="33"/>
        <v>39.319999999999709</v>
      </c>
      <c r="U59" s="444">
        <f t="shared" si="34"/>
        <v>9.0100412005443865E-3</v>
      </c>
      <c r="V59" s="145"/>
      <c r="W59" s="145"/>
      <c r="X59" s="145"/>
      <c r="Y59" s="366" t="s">
        <v>174</v>
      </c>
      <c r="Z59" s="366" t="s">
        <v>428</v>
      </c>
      <c r="AA59" s="367" t="s">
        <v>607</v>
      </c>
      <c r="AB59" s="367" t="s">
        <v>525</v>
      </c>
      <c r="AC59" s="367">
        <v>1</v>
      </c>
      <c r="AD59" s="446" t="s">
        <v>340</v>
      </c>
    </row>
    <row r="60" spans="2:39" s="147" customFormat="1" ht="27" hidden="1" customHeight="1">
      <c r="B60" s="894"/>
      <c r="C60" s="895"/>
      <c r="D60" s="361">
        <v>10</v>
      </c>
      <c r="E60" s="440" t="s">
        <v>461</v>
      </c>
      <c r="F60" s="364">
        <f t="shared" si="25"/>
        <v>5015.201999999982</v>
      </c>
      <c r="G60" s="365">
        <v>407.74000000000007</v>
      </c>
      <c r="H60" s="442">
        <v>1171.4499999999998</v>
      </c>
      <c r="I60" s="442">
        <v>1171.4499999999998</v>
      </c>
      <c r="J60" s="444">
        <f t="shared" si="26"/>
        <v>1</v>
      </c>
      <c r="K60" s="443">
        <v>1171.4499999999998</v>
      </c>
      <c r="L60" s="444">
        <f t="shared" si="27"/>
        <v>1</v>
      </c>
      <c r="M60" s="443">
        <v>12.299999999999999</v>
      </c>
      <c r="N60" s="444">
        <f t="shared" si="28"/>
        <v>1.0499807930342739E-2</v>
      </c>
      <c r="O60" s="445">
        <f t="shared" si="29"/>
        <v>1183.7499999999998</v>
      </c>
      <c r="P60" s="444">
        <f t="shared" si="30"/>
        <v>1.0104998079303427</v>
      </c>
      <c r="Q60" s="442">
        <v>1.8000000000000003</v>
      </c>
      <c r="R60" s="444">
        <f t="shared" si="31"/>
        <v>1.5365572580989376E-3</v>
      </c>
      <c r="S60" s="452">
        <f t="shared" si="32"/>
        <v>733.93200000000024</v>
      </c>
      <c r="T60" s="445">
        <f t="shared" si="33"/>
        <v>12.299999999999955</v>
      </c>
      <c r="U60" s="444">
        <f t="shared" si="34"/>
        <v>1.04998079303427E-2</v>
      </c>
      <c r="V60" s="145"/>
      <c r="W60" s="145"/>
      <c r="X60" s="145"/>
      <c r="Y60" s="366" t="s">
        <v>174</v>
      </c>
      <c r="Z60" s="366" t="s">
        <v>216</v>
      </c>
      <c r="AA60" s="367" t="s">
        <v>480</v>
      </c>
      <c r="AB60" s="367" t="s">
        <v>481</v>
      </c>
      <c r="AC60" s="367">
        <v>1</v>
      </c>
      <c r="AD60" s="446" t="s">
        <v>463</v>
      </c>
    </row>
    <row r="61" spans="2:39" s="147" customFormat="1" ht="27" hidden="1" customHeight="1">
      <c r="B61" s="894"/>
      <c r="C61" s="895"/>
      <c r="D61" s="361">
        <v>11</v>
      </c>
      <c r="E61" s="440" t="s">
        <v>545</v>
      </c>
      <c r="F61" s="364">
        <f t="shared" si="25"/>
        <v>4887.007000000006</v>
      </c>
      <c r="G61" s="365">
        <v>66.13</v>
      </c>
      <c r="H61" s="442">
        <v>2087.12</v>
      </c>
      <c r="I61" s="442">
        <v>2087.12</v>
      </c>
      <c r="J61" s="444">
        <f t="shared" si="26"/>
        <v>1</v>
      </c>
      <c r="K61" s="443">
        <v>2087.12</v>
      </c>
      <c r="L61" s="444">
        <f t="shared" si="27"/>
        <v>1</v>
      </c>
      <c r="M61" s="443">
        <v>73.900000000000006</v>
      </c>
      <c r="N61" s="444">
        <f t="shared" si="28"/>
        <v>3.5407643067959682E-2</v>
      </c>
      <c r="O61" s="445">
        <f t="shared" si="29"/>
        <v>2161.02</v>
      </c>
      <c r="P61" s="444">
        <f t="shared" si="30"/>
        <v>1.0354076430679597</v>
      </c>
      <c r="Q61" s="442">
        <v>14.52</v>
      </c>
      <c r="R61" s="444">
        <f t="shared" si="31"/>
        <v>6.9569550385219824E-3</v>
      </c>
      <c r="S61" s="452">
        <f t="shared" si="32"/>
        <v>960.20759999999996</v>
      </c>
      <c r="T61" s="445">
        <f t="shared" si="33"/>
        <v>73.900000000000091</v>
      </c>
      <c r="U61" s="444">
        <f t="shared" si="34"/>
        <v>3.5407643067959724E-2</v>
      </c>
      <c r="V61" s="145"/>
      <c r="W61" s="145"/>
      <c r="X61" s="145"/>
      <c r="Y61" s="366" t="s">
        <v>174</v>
      </c>
      <c r="Z61" s="366" t="s">
        <v>428</v>
      </c>
      <c r="AA61" s="367" t="s">
        <v>479</v>
      </c>
      <c r="AB61" s="367" t="s">
        <v>477</v>
      </c>
      <c r="AC61" s="367">
        <v>1</v>
      </c>
      <c r="AD61" s="446" t="s">
        <v>341</v>
      </c>
      <c r="AH61" s="370"/>
    </row>
    <row r="62" spans="2:39" s="147" customFormat="1" ht="27" hidden="1" customHeight="1">
      <c r="B62" s="894"/>
      <c r="C62" s="895"/>
      <c r="D62" s="361">
        <v>12</v>
      </c>
      <c r="E62" s="440" t="s">
        <v>357</v>
      </c>
      <c r="F62" s="364">
        <f t="shared" si="25"/>
        <v>4768.8550000000041</v>
      </c>
      <c r="G62" s="365">
        <v>152.75</v>
      </c>
      <c r="H62" s="442">
        <v>1200.21</v>
      </c>
      <c r="I62" s="442">
        <v>1200.21</v>
      </c>
      <c r="J62" s="444">
        <f t="shared" si="26"/>
        <v>1</v>
      </c>
      <c r="K62" s="443">
        <v>1200.21</v>
      </c>
      <c r="L62" s="444">
        <f t="shared" si="27"/>
        <v>1</v>
      </c>
      <c r="M62" s="443">
        <v>31.220000000000002</v>
      </c>
      <c r="N62" s="444">
        <f t="shared" si="28"/>
        <v>2.6012114546621008E-2</v>
      </c>
      <c r="O62" s="445">
        <f t="shared" si="29"/>
        <v>1231.43</v>
      </c>
      <c r="P62" s="444">
        <f t="shared" si="30"/>
        <v>1.026012114546621</v>
      </c>
      <c r="Q62" s="442">
        <v>6.7</v>
      </c>
      <c r="R62" s="444">
        <f t="shared" si="31"/>
        <v>5.5823564209596657E-3</v>
      </c>
      <c r="S62" s="452">
        <f t="shared" si="32"/>
        <v>1023.4250000000001</v>
      </c>
      <c r="T62" s="445">
        <f t="shared" si="33"/>
        <v>31.220000000000027</v>
      </c>
      <c r="U62" s="444">
        <f t="shared" si="34"/>
        <v>2.6012114546621029E-2</v>
      </c>
      <c r="V62" s="145"/>
      <c r="W62" s="145"/>
      <c r="X62" s="145"/>
      <c r="Y62" s="366" t="s">
        <v>174</v>
      </c>
      <c r="Z62" s="366" t="s">
        <v>428</v>
      </c>
      <c r="AA62" s="367" t="s">
        <v>607</v>
      </c>
      <c r="AB62" s="367" t="s">
        <v>525</v>
      </c>
      <c r="AC62" s="367">
        <v>1</v>
      </c>
      <c r="AD62" s="446" t="s">
        <v>358</v>
      </c>
    </row>
    <row r="63" spans="2:39" s="147" customFormat="1" ht="27" hidden="1" customHeight="1">
      <c r="B63" s="894"/>
      <c r="C63" s="895"/>
      <c r="D63" s="361">
        <v>13</v>
      </c>
      <c r="E63" s="440" t="s">
        <v>464</v>
      </c>
      <c r="F63" s="364">
        <f t="shared" si="25"/>
        <v>4742.6599999999953</v>
      </c>
      <c r="G63" s="365">
        <v>629</v>
      </c>
      <c r="H63" s="442">
        <v>252.04999999999998</v>
      </c>
      <c r="I63" s="442">
        <v>252.04999999999998</v>
      </c>
      <c r="J63" s="444">
        <f t="shared" si="26"/>
        <v>1</v>
      </c>
      <c r="K63" s="443">
        <v>252.04999999999998</v>
      </c>
      <c r="L63" s="444">
        <f t="shared" si="27"/>
        <v>1</v>
      </c>
      <c r="M63" s="443">
        <v>7.5400000000000009</v>
      </c>
      <c r="N63" s="444">
        <f t="shared" si="28"/>
        <v>2.9914699464391993E-2</v>
      </c>
      <c r="O63" s="445">
        <f t="shared" si="29"/>
        <v>259.58999999999997</v>
      </c>
      <c r="P63" s="444">
        <f t="shared" si="30"/>
        <v>1.029914699464392</v>
      </c>
      <c r="Q63" s="442">
        <v>1.63</v>
      </c>
      <c r="R63" s="444">
        <f t="shared" si="31"/>
        <v>6.4669708391192227E-3</v>
      </c>
      <c r="S63" s="452">
        <f t="shared" si="32"/>
        <v>1025.27</v>
      </c>
      <c r="T63" s="445">
        <f t="shared" si="33"/>
        <v>7.539999999999992</v>
      </c>
      <c r="U63" s="444">
        <f t="shared" si="34"/>
        <v>2.9914699464391955E-2</v>
      </c>
      <c r="V63" s="145"/>
      <c r="W63" s="145"/>
      <c r="X63" s="145"/>
      <c r="Y63" s="366" t="s">
        <v>174</v>
      </c>
      <c r="Z63" s="366" t="s">
        <v>428</v>
      </c>
      <c r="AA63" s="367" t="s">
        <v>482</v>
      </c>
      <c r="AB63" s="367" t="s">
        <v>547</v>
      </c>
      <c r="AC63" s="367">
        <v>1</v>
      </c>
      <c r="AD63" s="446" t="s">
        <v>458</v>
      </c>
    </row>
    <row r="64" spans="2:39" s="147" customFormat="1" ht="27" hidden="1" customHeight="1">
      <c r="B64" s="894"/>
      <c r="C64" s="895"/>
      <c r="D64" s="361">
        <v>14</v>
      </c>
      <c r="E64" s="440" t="s">
        <v>599</v>
      </c>
      <c r="F64" s="364">
        <f t="shared" si="25"/>
        <v>4725.9519999999939</v>
      </c>
      <c r="G64" s="365">
        <v>153.44000000000003</v>
      </c>
      <c r="H64" s="442">
        <v>2006.9699999999998</v>
      </c>
      <c r="I64" s="442">
        <v>2006.9699999999998</v>
      </c>
      <c r="J64" s="444">
        <f t="shared" si="26"/>
        <v>1</v>
      </c>
      <c r="K64" s="443">
        <v>2006.9699999999998</v>
      </c>
      <c r="L64" s="444">
        <f t="shared" si="27"/>
        <v>1</v>
      </c>
      <c r="M64" s="443">
        <v>30.799999999999997</v>
      </c>
      <c r="N64" s="444">
        <f t="shared" si="28"/>
        <v>1.534651738690663E-2</v>
      </c>
      <c r="O64" s="445">
        <f t="shared" si="29"/>
        <v>2037.7699999999998</v>
      </c>
      <c r="P64" s="444">
        <f t="shared" si="30"/>
        <v>1.0153465173869065</v>
      </c>
      <c r="Q64" s="442">
        <v>6.5200000000000005</v>
      </c>
      <c r="R64" s="444">
        <f t="shared" si="31"/>
        <v>3.2486783559295858E-3</v>
      </c>
      <c r="S64" s="452">
        <f t="shared" si="32"/>
        <v>1000.4288000000003</v>
      </c>
      <c r="T64" s="445">
        <f t="shared" si="33"/>
        <v>30.799999999999955</v>
      </c>
      <c r="U64" s="444">
        <f t="shared" si="34"/>
        <v>1.534651738690661E-2</v>
      </c>
      <c r="V64" s="145"/>
      <c r="W64" s="145"/>
      <c r="X64" s="145"/>
      <c r="Y64" s="366" t="s">
        <v>174</v>
      </c>
      <c r="Z64" s="366" t="s">
        <v>428</v>
      </c>
      <c r="AA64" s="367" t="s">
        <v>607</v>
      </c>
      <c r="AB64" s="367" t="s">
        <v>573</v>
      </c>
      <c r="AC64" s="367">
        <v>1</v>
      </c>
      <c r="AD64" s="446" t="s">
        <v>465</v>
      </c>
    </row>
    <row r="65" spans="2:39" s="147" customFormat="1" ht="27" hidden="1" customHeight="1">
      <c r="B65" s="894"/>
      <c r="C65" s="895"/>
      <c r="D65" s="361">
        <v>15</v>
      </c>
      <c r="E65" s="440" t="s">
        <v>583</v>
      </c>
      <c r="F65" s="364">
        <f t="shared" si="25"/>
        <v>4685.889600000005</v>
      </c>
      <c r="G65" s="365">
        <v>113.68000000000004</v>
      </c>
      <c r="H65" s="442">
        <v>1586.1000000000001</v>
      </c>
      <c r="I65" s="442">
        <v>1586.1000000000001</v>
      </c>
      <c r="J65" s="444">
        <f t="shared" si="26"/>
        <v>1</v>
      </c>
      <c r="K65" s="443">
        <v>1586.1000000000001</v>
      </c>
      <c r="L65" s="444">
        <f t="shared" si="27"/>
        <v>1</v>
      </c>
      <c r="M65" s="443">
        <v>41.22</v>
      </c>
      <c r="N65" s="444">
        <f t="shared" si="28"/>
        <v>2.5988273122753921E-2</v>
      </c>
      <c r="O65" s="445">
        <f t="shared" si="29"/>
        <v>1627.3200000000002</v>
      </c>
      <c r="P65" s="444">
        <f t="shared" si="30"/>
        <v>1.0259882731227539</v>
      </c>
      <c r="Q65" s="442">
        <v>7.88</v>
      </c>
      <c r="R65" s="444">
        <f t="shared" si="31"/>
        <v>4.9681608977996342E-3</v>
      </c>
      <c r="S65" s="452">
        <f t="shared" si="32"/>
        <v>895.79840000000024</v>
      </c>
      <c r="T65" s="445">
        <f t="shared" si="33"/>
        <v>41.220000000000027</v>
      </c>
      <c r="U65" s="444">
        <f t="shared" si="34"/>
        <v>2.5988273122753938E-2</v>
      </c>
      <c r="V65" s="145"/>
      <c r="W65" s="145"/>
      <c r="X65" s="145"/>
      <c r="Y65" s="366" t="s">
        <v>174</v>
      </c>
      <c r="Z65" s="366" t="s">
        <v>428</v>
      </c>
      <c r="AA65" s="367" t="s">
        <v>479</v>
      </c>
      <c r="AB65" s="367" t="s">
        <v>477</v>
      </c>
      <c r="AC65" s="367">
        <v>1</v>
      </c>
      <c r="AD65" s="446" t="s">
        <v>566</v>
      </c>
    </row>
    <row r="66" spans="2:39" s="147" customFormat="1" ht="27" hidden="1" customHeight="1">
      <c r="B66" s="894"/>
      <c r="C66" s="895"/>
      <c r="D66" s="361">
        <v>16</v>
      </c>
      <c r="E66" s="440" t="s">
        <v>432</v>
      </c>
      <c r="F66" s="364">
        <f t="shared" si="25"/>
        <v>4528.122000000003</v>
      </c>
      <c r="G66" s="365">
        <v>368.13999999999993</v>
      </c>
      <c r="H66" s="442">
        <v>463.78000000000003</v>
      </c>
      <c r="I66" s="442">
        <v>463.78000000000003</v>
      </c>
      <c r="J66" s="444">
        <f t="shared" si="26"/>
        <v>1</v>
      </c>
      <c r="K66" s="443">
        <v>463.78000000000003</v>
      </c>
      <c r="L66" s="444">
        <f t="shared" si="27"/>
        <v>1</v>
      </c>
      <c r="M66" s="443">
        <v>12.3</v>
      </c>
      <c r="N66" s="444">
        <f t="shared" si="28"/>
        <v>2.6521195394368018E-2</v>
      </c>
      <c r="O66" s="445">
        <f t="shared" si="29"/>
        <v>476.08000000000004</v>
      </c>
      <c r="P66" s="444">
        <f t="shared" si="30"/>
        <v>1.026521195394368</v>
      </c>
      <c r="Q66" s="442">
        <v>2.62</v>
      </c>
      <c r="R66" s="444">
        <f t="shared" si="31"/>
        <v>5.6492302384751388E-3</v>
      </c>
      <c r="S66" s="452">
        <f t="shared" si="32"/>
        <v>964.52679999999987</v>
      </c>
      <c r="T66" s="445">
        <f t="shared" si="33"/>
        <v>12.300000000000011</v>
      </c>
      <c r="U66" s="444">
        <f t="shared" si="34"/>
        <v>2.6521195394368043E-2</v>
      </c>
      <c r="V66" s="145"/>
      <c r="W66" s="145"/>
      <c r="X66" s="145"/>
      <c r="Y66" s="366" t="s">
        <v>174</v>
      </c>
      <c r="Z66" s="366" t="s">
        <v>428</v>
      </c>
      <c r="AA66" s="367" t="s">
        <v>660</v>
      </c>
      <c r="AB66" s="367" t="s">
        <v>574</v>
      </c>
      <c r="AC66" s="367">
        <v>1</v>
      </c>
      <c r="AD66" s="446" t="s">
        <v>433</v>
      </c>
    </row>
    <row r="67" spans="2:39" s="147" customFormat="1" ht="27" hidden="1" customHeight="1">
      <c r="B67" s="894"/>
      <c r="C67" s="895"/>
      <c r="D67" s="361">
        <v>17</v>
      </c>
      <c r="E67" s="440" t="s">
        <v>619</v>
      </c>
      <c r="F67" s="364">
        <f t="shared" si="25"/>
        <v>4483.369800000024</v>
      </c>
      <c r="G67" s="365">
        <v>39.389999999999993</v>
      </c>
      <c r="H67" s="442">
        <v>5930.2000000000007</v>
      </c>
      <c r="I67" s="442">
        <v>5930.2000000000007</v>
      </c>
      <c r="J67" s="444">
        <f t="shared" si="26"/>
        <v>1</v>
      </c>
      <c r="K67" s="443">
        <v>5934.8000000000011</v>
      </c>
      <c r="L67" s="444">
        <f t="shared" si="27"/>
        <v>1.000775690533203</v>
      </c>
      <c r="M67" s="443">
        <v>109.22</v>
      </c>
      <c r="N67" s="444">
        <f t="shared" si="28"/>
        <v>1.8417591312266026E-2</v>
      </c>
      <c r="O67" s="445">
        <f t="shared" si="29"/>
        <v>6044.0200000000013</v>
      </c>
      <c r="P67" s="444">
        <f t="shared" si="30"/>
        <v>1.019193281845469</v>
      </c>
      <c r="Q67" s="442">
        <v>19.830000000000002</v>
      </c>
      <c r="R67" s="444">
        <f t="shared" si="31"/>
        <v>3.3439007116117499E-3</v>
      </c>
      <c r="S67" s="452">
        <f t="shared" si="32"/>
        <v>781.10369999999989</v>
      </c>
      <c r="T67" s="445">
        <f t="shared" si="33"/>
        <v>113.82000000000062</v>
      </c>
      <c r="U67" s="444">
        <f t="shared" si="34"/>
        <v>1.9193281845469059E-2</v>
      </c>
      <c r="V67" s="145"/>
      <c r="W67" s="145"/>
      <c r="X67" s="145"/>
      <c r="Y67" s="366" t="s">
        <v>174</v>
      </c>
      <c r="Z67" s="366" t="s">
        <v>216</v>
      </c>
      <c r="AA67" s="367" t="s">
        <v>607</v>
      </c>
      <c r="AB67" s="367" t="s">
        <v>525</v>
      </c>
      <c r="AC67" s="367">
        <v>1</v>
      </c>
      <c r="AD67" s="446" t="s">
        <v>614</v>
      </c>
    </row>
    <row r="68" spans="2:39" s="147" customFormat="1" ht="27" hidden="1" customHeight="1">
      <c r="B68" s="894"/>
      <c r="C68" s="895"/>
      <c r="D68" s="361">
        <v>18</v>
      </c>
      <c r="E68" s="440" t="s">
        <v>631</v>
      </c>
      <c r="F68" s="364">
        <f t="shared" si="25"/>
        <v>4455.7127999999984</v>
      </c>
      <c r="G68" s="365">
        <v>43.889999999999993</v>
      </c>
      <c r="H68" s="442">
        <v>3631.4</v>
      </c>
      <c r="I68" s="442">
        <v>3631.4</v>
      </c>
      <c r="J68" s="444">
        <f t="shared" si="26"/>
        <v>1</v>
      </c>
      <c r="K68" s="443">
        <v>3640.3</v>
      </c>
      <c r="L68" s="444">
        <f t="shared" si="27"/>
        <v>1.0024508454039764</v>
      </c>
      <c r="M68" s="443">
        <v>92.62</v>
      </c>
      <c r="N68" s="444">
        <f t="shared" si="28"/>
        <v>2.5505314754640084E-2</v>
      </c>
      <c r="O68" s="445">
        <f t="shared" si="29"/>
        <v>3732.92</v>
      </c>
      <c r="P68" s="444">
        <f t="shared" si="30"/>
        <v>1.0279561601586165</v>
      </c>
      <c r="Q68" s="442">
        <v>33.130000000000003</v>
      </c>
      <c r="R68" s="444">
        <f t="shared" si="31"/>
        <v>9.1232031723302316E-3</v>
      </c>
      <c r="S68" s="452">
        <f t="shared" si="32"/>
        <v>1454.0756999999999</v>
      </c>
      <c r="T68" s="445">
        <f t="shared" si="33"/>
        <v>101.51999999999998</v>
      </c>
      <c r="U68" s="444">
        <f t="shared" si="34"/>
        <v>2.7956160158616506E-2</v>
      </c>
      <c r="V68" s="145"/>
      <c r="W68" s="145"/>
      <c r="X68" s="145"/>
      <c r="Y68" s="366" t="s">
        <v>174</v>
      </c>
      <c r="Z68" s="366" t="s">
        <v>216</v>
      </c>
      <c r="AA68" s="367" t="s">
        <v>607</v>
      </c>
      <c r="AB68" s="367" t="s">
        <v>525</v>
      </c>
      <c r="AC68" s="367">
        <v>1</v>
      </c>
      <c r="AD68" s="446" t="s">
        <v>630</v>
      </c>
    </row>
    <row r="69" spans="2:39" s="147" customFormat="1" ht="27" hidden="1" customHeight="1">
      <c r="B69" s="894"/>
      <c r="C69" s="895"/>
      <c r="D69" s="361">
        <v>19</v>
      </c>
      <c r="E69" s="440" t="s">
        <v>483</v>
      </c>
      <c r="F69" s="364">
        <f t="shared" si="25"/>
        <v>4409.0689999999904</v>
      </c>
      <c r="G69" s="365">
        <v>370.50999999999993</v>
      </c>
      <c r="H69" s="442">
        <v>430.84000000000003</v>
      </c>
      <c r="I69" s="442">
        <v>430.84000000000003</v>
      </c>
      <c r="J69" s="444">
        <f t="shared" si="26"/>
        <v>1</v>
      </c>
      <c r="K69" s="443">
        <v>430.84000000000003</v>
      </c>
      <c r="L69" s="444">
        <f t="shared" si="27"/>
        <v>1</v>
      </c>
      <c r="M69" s="443">
        <v>11.900000000000002</v>
      </c>
      <c r="N69" s="444">
        <f t="shared" si="28"/>
        <v>2.7620462352613503E-2</v>
      </c>
      <c r="O69" s="445">
        <f t="shared" si="29"/>
        <v>442.74</v>
      </c>
      <c r="P69" s="444">
        <f t="shared" si="30"/>
        <v>1.0276204623526135</v>
      </c>
      <c r="Q69" s="442">
        <v>2.9600000000000004</v>
      </c>
      <c r="R69" s="444">
        <f t="shared" si="31"/>
        <v>6.8702998793055432E-3</v>
      </c>
      <c r="S69" s="452">
        <f t="shared" si="32"/>
        <v>1096.7095999999999</v>
      </c>
      <c r="T69" s="445">
        <f t="shared" si="33"/>
        <v>11.899999999999977</v>
      </c>
      <c r="U69" s="444">
        <f t="shared" si="34"/>
        <v>2.7620462352613444E-2</v>
      </c>
      <c r="V69" s="145"/>
      <c r="W69" s="145"/>
      <c r="X69" s="145"/>
      <c r="Y69" s="366" t="s">
        <v>174</v>
      </c>
      <c r="Z69" s="366" t="s">
        <v>428</v>
      </c>
      <c r="AA69" s="367" t="s">
        <v>660</v>
      </c>
      <c r="AB69" s="367" t="s">
        <v>574</v>
      </c>
      <c r="AC69" s="367">
        <v>1</v>
      </c>
      <c r="AD69" s="446" t="s">
        <v>353</v>
      </c>
    </row>
    <row r="70" spans="2:39" s="147" customFormat="1" ht="27" hidden="1" customHeight="1">
      <c r="B70" s="896"/>
      <c r="C70" s="897"/>
      <c r="D70" s="361">
        <v>20</v>
      </c>
      <c r="E70" s="440" t="s">
        <v>420</v>
      </c>
      <c r="F70" s="364">
        <f t="shared" si="25"/>
        <v>4336.6889000000056</v>
      </c>
      <c r="G70" s="365">
        <v>157.87000000000003</v>
      </c>
      <c r="H70" s="442">
        <v>1809.74</v>
      </c>
      <c r="I70" s="442">
        <v>1809.74</v>
      </c>
      <c r="J70" s="444">
        <f t="shared" si="26"/>
        <v>1</v>
      </c>
      <c r="K70" s="443">
        <v>1809.74</v>
      </c>
      <c r="L70" s="444">
        <f t="shared" si="27"/>
        <v>1</v>
      </c>
      <c r="M70" s="443">
        <v>27.47</v>
      </c>
      <c r="N70" s="444">
        <f t="shared" si="28"/>
        <v>1.5178975985500678E-2</v>
      </c>
      <c r="O70" s="445">
        <f t="shared" si="29"/>
        <v>1837.21</v>
      </c>
      <c r="P70" s="444">
        <f t="shared" si="30"/>
        <v>1.0151789759855008</v>
      </c>
      <c r="Q70" s="442">
        <v>5.57</v>
      </c>
      <c r="R70" s="444">
        <f t="shared" si="31"/>
        <v>3.0777901798048342E-3</v>
      </c>
      <c r="S70" s="452">
        <f t="shared" si="32"/>
        <v>879.33590000000027</v>
      </c>
      <c r="T70" s="445">
        <f t="shared" si="33"/>
        <v>27.470000000000027</v>
      </c>
      <c r="U70" s="444">
        <f t="shared" si="34"/>
        <v>1.5178975985500694E-2</v>
      </c>
      <c r="V70" s="145"/>
      <c r="W70" s="145"/>
      <c r="X70" s="145"/>
      <c r="Y70" s="366" t="s">
        <v>174</v>
      </c>
      <c r="Z70" s="366" t="s">
        <v>428</v>
      </c>
      <c r="AA70" s="367" t="s">
        <v>541</v>
      </c>
      <c r="AB70" s="367" t="s">
        <v>542</v>
      </c>
      <c r="AC70" s="367">
        <v>1</v>
      </c>
      <c r="AD70" s="446" t="s">
        <v>340</v>
      </c>
    </row>
    <row r="71" spans="2:39" ht="17.100000000000001" hidden="1" customHeight="1">
      <c r="B71" s="898" t="s">
        <v>442</v>
      </c>
      <c r="C71" s="899"/>
      <c r="D71" s="902" t="s">
        <v>549</v>
      </c>
      <c r="E71" s="903" t="s">
        <v>550</v>
      </c>
      <c r="F71" s="953" t="s">
        <v>567</v>
      </c>
      <c r="G71" s="881" t="s">
        <v>552</v>
      </c>
      <c r="H71" s="905" t="s">
        <v>553</v>
      </c>
      <c r="I71" s="906" t="s">
        <v>554</v>
      </c>
      <c r="J71" s="907"/>
      <c r="K71" s="906" t="s">
        <v>555</v>
      </c>
      <c r="L71" s="907"/>
      <c r="M71" s="906" t="s">
        <v>556</v>
      </c>
      <c r="N71" s="907"/>
      <c r="O71" s="906" t="s">
        <v>557</v>
      </c>
      <c r="P71" s="907"/>
      <c r="Q71" s="906" t="s">
        <v>418</v>
      </c>
      <c r="R71" s="954"/>
      <c r="S71" s="907"/>
      <c r="T71" s="908" t="s">
        <v>419</v>
      </c>
      <c r="U71" s="910"/>
      <c r="Y71" s="914" t="s">
        <v>171</v>
      </c>
      <c r="Z71" s="914" t="s">
        <v>245</v>
      </c>
      <c r="AA71" s="914" t="s">
        <v>558</v>
      </c>
      <c r="AB71" s="914" t="s">
        <v>444</v>
      </c>
      <c r="AC71" s="914" t="s">
        <v>246</v>
      </c>
      <c r="AD71" s="881" t="s">
        <v>172</v>
      </c>
      <c r="AF71" s="883" t="s">
        <v>247</v>
      </c>
      <c r="AG71" s="884"/>
      <c r="AH71" s="884"/>
      <c r="AI71" s="884"/>
      <c r="AJ71" s="884"/>
      <c r="AK71" s="884"/>
      <c r="AL71" s="884"/>
      <c r="AM71" s="885"/>
    </row>
    <row r="72" spans="2:39" ht="16.5" hidden="1" customHeight="1">
      <c r="B72" s="900"/>
      <c r="C72" s="901"/>
      <c r="D72" s="902"/>
      <c r="E72" s="902"/>
      <c r="F72" s="904"/>
      <c r="G72" s="882"/>
      <c r="H72" s="882"/>
      <c r="I72" s="439" t="s">
        <v>559</v>
      </c>
      <c r="J72" s="362" t="s">
        <v>560</v>
      </c>
      <c r="K72" s="439" t="s">
        <v>559</v>
      </c>
      <c r="L72" s="362" t="s">
        <v>560</v>
      </c>
      <c r="M72" s="439" t="s">
        <v>559</v>
      </c>
      <c r="N72" s="362" t="s">
        <v>560</v>
      </c>
      <c r="O72" s="439" t="s">
        <v>559</v>
      </c>
      <c r="P72" s="362" t="s">
        <v>560</v>
      </c>
      <c r="Q72" s="439" t="s">
        <v>559</v>
      </c>
      <c r="R72" s="362" t="s">
        <v>560</v>
      </c>
      <c r="S72" s="362" t="s">
        <v>561</v>
      </c>
      <c r="T72" s="439" t="s">
        <v>559</v>
      </c>
      <c r="U72" s="362" t="s">
        <v>560</v>
      </c>
      <c r="Y72" s="915"/>
      <c r="Z72" s="915"/>
      <c r="AA72" s="915"/>
      <c r="AB72" s="915"/>
      <c r="AC72" s="915"/>
      <c r="AD72" s="882"/>
      <c r="AF72" s="886"/>
      <c r="AG72" s="887"/>
      <c r="AH72" s="887"/>
      <c r="AI72" s="887"/>
      <c r="AJ72" s="887"/>
      <c r="AK72" s="887"/>
      <c r="AL72" s="887"/>
      <c r="AM72" s="888"/>
    </row>
    <row r="73" spans="2:39" s="147" customFormat="1" ht="27" hidden="1" customHeight="1">
      <c r="B73" s="927" t="s">
        <v>627</v>
      </c>
      <c r="C73" s="893"/>
      <c r="D73" s="361">
        <v>1</v>
      </c>
      <c r="E73" s="440" t="s">
        <v>336</v>
      </c>
      <c r="F73" s="364">
        <f>IFERROR(T73*G73,"-")</f>
        <v>9627.1790000000292</v>
      </c>
      <c r="G73" s="365">
        <v>147.43000000000004</v>
      </c>
      <c r="H73" s="442">
        <v>4104.16</v>
      </c>
      <c r="I73" s="442">
        <v>4104.16</v>
      </c>
      <c r="J73" s="444">
        <f>IFERROR(I73/H73,"-")</f>
        <v>1</v>
      </c>
      <c r="K73" s="443">
        <v>4104.16</v>
      </c>
      <c r="L73" s="444">
        <f>IFERROR(K73/H73,"-")</f>
        <v>1</v>
      </c>
      <c r="M73" s="443">
        <v>65.3</v>
      </c>
      <c r="N73" s="444">
        <f>IFERROR(M73/H73,"-")</f>
        <v>1.5910685743245879E-2</v>
      </c>
      <c r="O73" s="445">
        <f>IFERROR(K73+M73,"-")</f>
        <v>4169.46</v>
      </c>
      <c r="P73" s="444">
        <f>IFERROR(O73/H73,"-")</f>
        <v>1.0159106857432458</v>
      </c>
      <c r="Q73" s="442">
        <v>9.59</v>
      </c>
      <c r="R73" s="444">
        <f>IFERROR(Q73/H73,"-")</f>
        <v>2.3366535417722505E-3</v>
      </c>
      <c r="S73" s="452">
        <f>IFERROR(Q73*G73,"-")</f>
        <v>1413.8537000000003</v>
      </c>
      <c r="T73" s="445">
        <f>IFERROR(O73-H73,"-")</f>
        <v>65.300000000000182</v>
      </c>
      <c r="U73" s="444">
        <f>IFERROR(T73/H73,"-")</f>
        <v>1.5910685743245924E-2</v>
      </c>
      <c r="V73" s="145"/>
      <c r="W73" s="145"/>
      <c r="X73" s="145"/>
      <c r="Y73" s="366" t="s">
        <v>174</v>
      </c>
      <c r="Z73" s="366" t="s">
        <v>215</v>
      </c>
      <c r="AA73" s="367" t="s">
        <v>478</v>
      </c>
      <c r="AB73" s="367" t="s">
        <v>524</v>
      </c>
      <c r="AC73" s="367">
        <v>1</v>
      </c>
      <c r="AD73" s="446" t="s">
        <v>340</v>
      </c>
      <c r="AF73" s="889"/>
      <c r="AG73" s="890"/>
      <c r="AH73" s="890"/>
      <c r="AI73" s="890"/>
      <c r="AJ73" s="890"/>
      <c r="AK73" s="890"/>
      <c r="AL73" s="890"/>
      <c r="AM73" s="891"/>
    </row>
    <row r="74" spans="2:39" s="147" customFormat="1" ht="27" hidden="1" customHeight="1">
      <c r="B74" s="894"/>
      <c r="C74" s="895"/>
      <c r="D74" s="361">
        <v>2</v>
      </c>
      <c r="E74" s="440" t="s">
        <v>534</v>
      </c>
      <c r="F74" s="364">
        <f t="shared" ref="F74:F92" si="38">IFERROR(T74*G74,"-")</f>
        <v>6189.7445999999763</v>
      </c>
      <c r="G74" s="365">
        <v>39.389999999999993</v>
      </c>
      <c r="H74" s="442">
        <v>29156.94</v>
      </c>
      <c r="I74" s="442">
        <v>29156.94</v>
      </c>
      <c r="J74" s="444">
        <f t="shared" ref="J74:J92" si="39">IFERROR(I74/H74,"-")</f>
        <v>1</v>
      </c>
      <c r="K74" s="443">
        <v>29156.94</v>
      </c>
      <c r="L74" s="444">
        <f t="shared" ref="L74:L92" si="40">IFERROR(K74/H74,"-")</f>
        <v>1</v>
      </c>
      <c r="M74" s="443">
        <v>157.14000000000001</v>
      </c>
      <c r="N74" s="444">
        <f t="shared" ref="N74:N92" si="41">IFERROR(M74/H74,"-")</f>
        <v>5.3894544489236536E-3</v>
      </c>
      <c r="O74" s="445">
        <f t="shared" ref="O74:O92" si="42">IFERROR(K74+M74,"-")</f>
        <v>29314.079999999998</v>
      </c>
      <c r="P74" s="444">
        <f t="shared" ref="P74:P92" si="43">IFERROR(O74/H74,"-")</f>
        <v>1.0053894544489237</v>
      </c>
      <c r="Q74" s="442">
        <v>38.880000000000003</v>
      </c>
      <c r="R74" s="444">
        <f t="shared" ref="R74:R92" si="44">IFERROR(Q74/H74,"-")</f>
        <v>1.3334732657130689E-3</v>
      </c>
      <c r="S74" s="452">
        <f t="shared" ref="S74:S92" si="45">IFERROR(Q74*G74,"-")</f>
        <v>1531.4831999999999</v>
      </c>
      <c r="T74" s="445">
        <f t="shared" ref="T74:T92" si="46">IFERROR(O74-H74,"-")</f>
        <v>157.13999999999942</v>
      </c>
      <c r="U74" s="444">
        <f t="shared" ref="U74:U92" si="47">IFERROR(T74/H74,"-")</f>
        <v>5.3894544489236328E-3</v>
      </c>
      <c r="V74" s="145"/>
      <c r="W74" s="145"/>
      <c r="X74" s="145"/>
      <c r="Y74" s="366" t="s">
        <v>174</v>
      </c>
      <c r="Z74" s="366" t="s">
        <v>216</v>
      </c>
      <c r="AA74" s="367" t="s">
        <v>682</v>
      </c>
      <c r="AB74" s="367" t="s">
        <v>683</v>
      </c>
      <c r="AC74" s="367">
        <v>1</v>
      </c>
      <c r="AD74" s="446" t="s">
        <v>340</v>
      </c>
      <c r="AF74" s="160" t="s">
        <v>244</v>
      </c>
      <c r="AG74" s="160" t="s">
        <v>445</v>
      </c>
      <c r="AH74" s="155" t="s">
        <v>562</v>
      </c>
      <c r="AI74" s="155" t="s">
        <v>337</v>
      </c>
      <c r="AJ74" s="155" t="s">
        <v>428</v>
      </c>
      <c r="AK74" s="155" t="s">
        <v>215</v>
      </c>
      <c r="AL74" s="155" t="s">
        <v>216</v>
      </c>
      <c r="AM74" s="155" t="s">
        <v>384</v>
      </c>
    </row>
    <row r="75" spans="2:39" s="147" customFormat="1" ht="27" hidden="1" customHeight="1">
      <c r="B75" s="894"/>
      <c r="C75" s="895"/>
      <c r="D75" s="361">
        <v>3</v>
      </c>
      <c r="E75" s="440" t="s">
        <v>633</v>
      </c>
      <c r="F75" s="364">
        <f t="shared" si="38"/>
        <v>5900.5999999999995</v>
      </c>
      <c r="G75" s="365">
        <v>144.79999999999998</v>
      </c>
      <c r="H75" s="442">
        <v>2378.71</v>
      </c>
      <c r="I75" s="442">
        <v>2378.71</v>
      </c>
      <c r="J75" s="444">
        <f t="shared" si="39"/>
        <v>1</v>
      </c>
      <c r="K75" s="443">
        <v>2378.71</v>
      </c>
      <c r="L75" s="444">
        <f t="shared" si="40"/>
        <v>1</v>
      </c>
      <c r="M75" s="443">
        <v>40.75</v>
      </c>
      <c r="N75" s="444">
        <f t="shared" si="41"/>
        <v>1.7131134102097354E-2</v>
      </c>
      <c r="O75" s="445">
        <f t="shared" si="42"/>
        <v>2419.46</v>
      </c>
      <c r="P75" s="444">
        <f t="shared" si="43"/>
        <v>1.0171311341020974</v>
      </c>
      <c r="Q75" s="442">
        <v>5.8800000000000008</v>
      </c>
      <c r="R75" s="444">
        <f t="shared" si="44"/>
        <v>2.4719280618486494E-3</v>
      </c>
      <c r="S75" s="452">
        <f t="shared" si="45"/>
        <v>851.42399999999998</v>
      </c>
      <c r="T75" s="445">
        <f t="shared" si="46"/>
        <v>40.75</v>
      </c>
      <c r="U75" s="444">
        <f t="shared" si="47"/>
        <v>1.7131134102097354E-2</v>
      </c>
      <c r="V75" s="145"/>
      <c r="W75" s="145"/>
      <c r="X75" s="145"/>
      <c r="Y75" s="366" t="s">
        <v>174</v>
      </c>
      <c r="Z75" s="366" t="s">
        <v>428</v>
      </c>
      <c r="AA75" s="367" t="s">
        <v>607</v>
      </c>
      <c r="AB75" s="367" t="s">
        <v>573</v>
      </c>
      <c r="AC75" s="367">
        <v>1</v>
      </c>
      <c r="AD75" s="446" t="s">
        <v>340</v>
      </c>
      <c r="AF75" s="374">
        <f>SUM(AC73:AC92)</f>
        <v>20</v>
      </c>
      <c r="AG75" s="369">
        <f>SUMIF($Z$73:$Z$92,TRIM(AG74),$AC$73:$AC$92)</f>
        <v>0</v>
      </c>
      <c r="AH75" s="369">
        <f t="shared" ref="AH75:AM75" si="48">SUMIF($Z$73:$Z$92,TRIM(AH74),$AC$73:$AC$92)</f>
        <v>0</v>
      </c>
      <c r="AI75" s="369">
        <f t="shared" si="48"/>
        <v>0</v>
      </c>
      <c r="AJ75" s="369">
        <f t="shared" si="48"/>
        <v>10</v>
      </c>
      <c r="AK75" s="369">
        <f t="shared" si="48"/>
        <v>1</v>
      </c>
      <c r="AL75" s="369">
        <f t="shared" si="48"/>
        <v>9</v>
      </c>
      <c r="AM75" s="369">
        <f t="shared" si="48"/>
        <v>0</v>
      </c>
    </row>
    <row r="76" spans="2:39" s="147" customFormat="1" ht="27" hidden="1" customHeight="1">
      <c r="B76" s="894"/>
      <c r="C76" s="895"/>
      <c r="D76" s="361">
        <v>4</v>
      </c>
      <c r="E76" s="440" t="s">
        <v>386</v>
      </c>
      <c r="F76" s="364">
        <f t="shared" si="38"/>
        <v>5254.2239999999892</v>
      </c>
      <c r="G76" s="365">
        <v>127.84000000000002</v>
      </c>
      <c r="H76" s="442">
        <v>3665.4800000000005</v>
      </c>
      <c r="I76" s="442">
        <v>3665.4800000000005</v>
      </c>
      <c r="J76" s="444">
        <f t="shared" si="39"/>
        <v>1</v>
      </c>
      <c r="K76" s="443">
        <v>3665.4800000000005</v>
      </c>
      <c r="L76" s="444">
        <f t="shared" si="40"/>
        <v>1</v>
      </c>
      <c r="M76" s="443">
        <v>41.1</v>
      </c>
      <c r="N76" s="444">
        <f t="shared" si="41"/>
        <v>1.1212719752938223E-2</v>
      </c>
      <c r="O76" s="445">
        <f t="shared" si="42"/>
        <v>3706.5800000000004</v>
      </c>
      <c r="P76" s="444">
        <f t="shared" si="43"/>
        <v>1.0112127197529381</v>
      </c>
      <c r="Q76" s="442">
        <v>9.5299999999999994</v>
      </c>
      <c r="R76" s="444">
        <f t="shared" si="44"/>
        <v>2.5999323417396896E-3</v>
      </c>
      <c r="S76" s="452">
        <f t="shared" si="45"/>
        <v>1218.3152</v>
      </c>
      <c r="T76" s="445">
        <f t="shared" si="46"/>
        <v>41.099999999999909</v>
      </c>
      <c r="U76" s="444">
        <f t="shared" si="47"/>
        <v>1.1212719752938197E-2</v>
      </c>
      <c r="V76" s="145"/>
      <c r="W76" s="145"/>
      <c r="X76" s="145"/>
      <c r="Y76" s="366" t="s">
        <v>174</v>
      </c>
      <c r="Z76" s="366" t="s">
        <v>428</v>
      </c>
      <c r="AA76" s="367" t="s">
        <v>607</v>
      </c>
      <c r="AB76" s="367" t="s">
        <v>525</v>
      </c>
      <c r="AC76" s="367">
        <v>1</v>
      </c>
      <c r="AD76" s="446" t="s">
        <v>340</v>
      </c>
      <c r="AF76" s="375"/>
      <c r="AG76" s="372">
        <f t="shared" ref="AG76:AM76" si="49">SUMIF($Z$73:$Z$92,TRIM(AG74),$F$73:$F$92)</f>
        <v>0</v>
      </c>
      <c r="AH76" s="372">
        <f t="shared" si="49"/>
        <v>0</v>
      </c>
      <c r="AI76" s="372">
        <f t="shared" si="49"/>
        <v>0</v>
      </c>
      <c r="AJ76" s="372">
        <f t="shared" si="49"/>
        <v>42291.047799999898</v>
      </c>
      <c r="AK76" s="372">
        <f t="shared" si="49"/>
        <v>9627.1790000000292</v>
      </c>
      <c r="AL76" s="372">
        <f t="shared" si="49"/>
        <v>39366.486830000023</v>
      </c>
      <c r="AM76" s="372">
        <f t="shared" si="49"/>
        <v>0</v>
      </c>
    </row>
    <row r="77" spans="2:39" s="147" customFormat="1" ht="27" hidden="1" customHeight="1">
      <c r="B77" s="894"/>
      <c r="C77" s="895"/>
      <c r="D77" s="361">
        <v>5</v>
      </c>
      <c r="E77" s="440" t="s">
        <v>652</v>
      </c>
      <c r="F77" s="364">
        <f t="shared" si="38"/>
        <v>5136.7551299999986</v>
      </c>
      <c r="G77" s="365">
        <v>31.59</v>
      </c>
      <c r="H77" s="442">
        <v>5557.7400000000007</v>
      </c>
      <c r="I77" s="442">
        <v>5557.7400000000007</v>
      </c>
      <c r="J77" s="444">
        <f t="shared" si="39"/>
        <v>1</v>
      </c>
      <c r="K77" s="443">
        <v>5557.7400000000007</v>
      </c>
      <c r="L77" s="444">
        <f t="shared" si="40"/>
        <v>1</v>
      </c>
      <c r="M77" s="443">
        <v>162.607</v>
      </c>
      <c r="N77" s="444">
        <f t="shared" si="41"/>
        <v>2.9257755850399619E-2</v>
      </c>
      <c r="O77" s="445">
        <f t="shared" si="42"/>
        <v>5720.3470000000007</v>
      </c>
      <c r="P77" s="444">
        <f t="shared" si="43"/>
        <v>1.0292577558503997</v>
      </c>
      <c r="Q77" s="442">
        <v>28.46</v>
      </c>
      <c r="R77" s="444">
        <f t="shared" si="44"/>
        <v>5.120786506745547E-3</v>
      </c>
      <c r="S77" s="452">
        <f t="shared" si="45"/>
        <v>899.05140000000006</v>
      </c>
      <c r="T77" s="445">
        <f t="shared" si="46"/>
        <v>162.60699999999997</v>
      </c>
      <c r="U77" s="444">
        <f t="shared" si="47"/>
        <v>2.9257755850399615E-2</v>
      </c>
      <c r="V77" s="145"/>
      <c r="W77" s="145"/>
      <c r="X77" s="145"/>
      <c r="Y77" s="366" t="s">
        <v>174</v>
      </c>
      <c r="Z77" s="366" t="s">
        <v>216</v>
      </c>
      <c r="AA77" s="367" t="s">
        <v>479</v>
      </c>
      <c r="AB77" s="367" t="s">
        <v>477</v>
      </c>
      <c r="AC77" s="367">
        <v>1</v>
      </c>
      <c r="AD77" s="446" t="s">
        <v>650</v>
      </c>
      <c r="AF77" s="361"/>
      <c r="AG77" s="373">
        <f t="shared" ref="AG77:AM77" si="50">AG75/$AF75</f>
        <v>0</v>
      </c>
      <c r="AH77" s="373">
        <f t="shared" si="50"/>
        <v>0</v>
      </c>
      <c r="AI77" s="373">
        <f t="shared" si="50"/>
        <v>0</v>
      </c>
      <c r="AJ77" s="373">
        <f t="shared" si="50"/>
        <v>0.5</v>
      </c>
      <c r="AK77" s="373">
        <f t="shared" si="50"/>
        <v>0.05</v>
      </c>
      <c r="AL77" s="373">
        <f t="shared" si="50"/>
        <v>0.45</v>
      </c>
      <c r="AM77" s="373">
        <f t="shared" si="50"/>
        <v>0</v>
      </c>
    </row>
    <row r="78" spans="2:39" s="147" customFormat="1" ht="27" hidden="1" customHeight="1">
      <c r="B78" s="894"/>
      <c r="C78" s="895"/>
      <c r="D78" s="361">
        <v>6</v>
      </c>
      <c r="E78" s="440" t="s">
        <v>461</v>
      </c>
      <c r="F78" s="364">
        <f t="shared" si="38"/>
        <v>4729.7840000000097</v>
      </c>
      <c r="G78" s="365">
        <v>407.74000000000007</v>
      </c>
      <c r="H78" s="442">
        <v>965.51</v>
      </c>
      <c r="I78" s="442">
        <v>965.51</v>
      </c>
      <c r="J78" s="444">
        <f t="shared" si="39"/>
        <v>1</v>
      </c>
      <c r="K78" s="443">
        <v>965.51</v>
      </c>
      <c r="L78" s="444">
        <f t="shared" si="40"/>
        <v>1</v>
      </c>
      <c r="M78" s="443">
        <v>11.6</v>
      </c>
      <c r="N78" s="444">
        <f t="shared" si="41"/>
        <v>1.201437582210438E-2</v>
      </c>
      <c r="O78" s="445">
        <f t="shared" si="42"/>
        <v>977.11</v>
      </c>
      <c r="P78" s="444">
        <f t="shared" si="43"/>
        <v>1.0120143758221043</v>
      </c>
      <c r="Q78" s="442">
        <v>2.84</v>
      </c>
      <c r="R78" s="444">
        <f t="shared" si="44"/>
        <v>2.9414506323083137E-3</v>
      </c>
      <c r="S78" s="452">
        <f t="shared" si="45"/>
        <v>1157.9816000000001</v>
      </c>
      <c r="T78" s="445">
        <f t="shared" si="46"/>
        <v>11.600000000000023</v>
      </c>
      <c r="U78" s="444">
        <f t="shared" si="47"/>
        <v>1.2014375822104404E-2</v>
      </c>
      <c r="V78" s="145"/>
      <c r="W78" s="145"/>
      <c r="X78" s="145"/>
      <c r="Y78" s="366" t="s">
        <v>174</v>
      </c>
      <c r="Z78" s="366" t="s">
        <v>216</v>
      </c>
      <c r="AA78" s="367" t="s">
        <v>480</v>
      </c>
      <c r="AB78" s="367" t="s">
        <v>481</v>
      </c>
      <c r="AC78" s="367">
        <v>1</v>
      </c>
      <c r="AD78" s="446" t="s">
        <v>463</v>
      </c>
    </row>
    <row r="79" spans="2:39" s="147" customFormat="1" ht="27" hidden="1" customHeight="1">
      <c r="B79" s="894"/>
      <c r="C79" s="895"/>
      <c r="D79" s="361">
        <v>7</v>
      </c>
      <c r="E79" s="440" t="s">
        <v>619</v>
      </c>
      <c r="F79" s="364">
        <f t="shared" si="38"/>
        <v>4576.7240999999831</v>
      </c>
      <c r="G79" s="365">
        <v>39.389999999999993</v>
      </c>
      <c r="H79" s="442">
        <v>5900.0300000000007</v>
      </c>
      <c r="I79" s="442">
        <v>5900.0300000000007</v>
      </c>
      <c r="J79" s="444">
        <f t="shared" si="39"/>
        <v>1</v>
      </c>
      <c r="K79" s="443">
        <v>5900.0300000000007</v>
      </c>
      <c r="L79" s="444">
        <f t="shared" si="40"/>
        <v>1</v>
      </c>
      <c r="M79" s="443">
        <v>116.19</v>
      </c>
      <c r="N79" s="444">
        <f t="shared" si="41"/>
        <v>1.9693120204473533E-2</v>
      </c>
      <c r="O79" s="445">
        <f t="shared" si="42"/>
        <v>6016.22</v>
      </c>
      <c r="P79" s="444">
        <f t="shared" si="43"/>
        <v>1.0196931202044734</v>
      </c>
      <c r="Q79" s="442">
        <v>29.81</v>
      </c>
      <c r="R79" s="444">
        <f t="shared" si="44"/>
        <v>5.0525166821185647E-3</v>
      </c>
      <c r="S79" s="452">
        <f t="shared" si="45"/>
        <v>1174.2158999999997</v>
      </c>
      <c r="T79" s="445">
        <f t="shared" si="46"/>
        <v>116.1899999999996</v>
      </c>
      <c r="U79" s="444">
        <f t="shared" si="47"/>
        <v>1.9693120204473467E-2</v>
      </c>
      <c r="V79" s="145"/>
      <c r="W79" s="145"/>
      <c r="X79" s="145"/>
      <c r="Y79" s="366" t="s">
        <v>174</v>
      </c>
      <c r="Z79" s="366" t="s">
        <v>216</v>
      </c>
      <c r="AA79" s="367" t="s">
        <v>682</v>
      </c>
      <c r="AB79" s="367" t="s">
        <v>683</v>
      </c>
      <c r="AC79" s="367">
        <v>1</v>
      </c>
      <c r="AD79" s="446" t="s">
        <v>614</v>
      </c>
    </row>
    <row r="80" spans="2:39" s="147" customFormat="1" ht="27" hidden="1" customHeight="1">
      <c r="B80" s="894"/>
      <c r="C80" s="895"/>
      <c r="D80" s="361">
        <v>8</v>
      </c>
      <c r="E80" s="440" t="s">
        <v>635</v>
      </c>
      <c r="F80" s="364">
        <f t="shared" si="38"/>
        <v>4428.4997999999932</v>
      </c>
      <c r="G80" s="365">
        <v>49.82</v>
      </c>
      <c r="H80" s="442">
        <v>3093.75</v>
      </c>
      <c r="I80" s="442">
        <v>3093.75</v>
      </c>
      <c r="J80" s="444">
        <f t="shared" si="39"/>
        <v>1</v>
      </c>
      <c r="K80" s="443">
        <v>3093.75</v>
      </c>
      <c r="L80" s="444">
        <f t="shared" si="40"/>
        <v>1</v>
      </c>
      <c r="M80" s="443">
        <v>88.89</v>
      </c>
      <c r="N80" s="444">
        <f t="shared" si="41"/>
        <v>2.8732121212121212E-2</v>
      </c>
      <c r="O80" s="445">
        <f t="shared" si="42"/>
        <v>3182.64</v>
      </c>
      <c r="P80" s="444">
        <f t="shared" si="43"/>
        <v>1.0287321212121212</v>
      </c>
      <c r="Q80" s="442">
        <v>18.049999999999997</v>
      </c>
      <c r="R80" s="444">
        <f t="shared" si="44"/>
        <v>5.8343434343434333E-3</v>
      </c>
      <c r="S80" s="452">
        <f t="shared" si="45"/>
        <v>899.25099999999986</v>
      </c>
      <c r="T80" s="445">
        <f t="shared" si="46"/>
        <v>88.889999999999873</v>
      </c>
      <c r="U80" s="444">
        <f t="shared" si="47"/>
        <v>2.8732121212121171E-2</v>
      </c>
      <c r="V80" s="145"/>
      <c r="W80" s="145"/>
      <c r="X80" s="145"/>
      <c r="Y80" s="366" t="s">
        <v>174</v>
      </c>
      <c r="Z80" s="366" t="s">
        <v>428</v>
      </c>
      <c r="AA80" s="367" t="s">
        <v>479</v>
      </c>
      <c r="AB80" s="367" t="s">
        <v>477</v>
      </c>
      <c r="AC80" s="367">
        <v>1</v>
      </c>
      <c r="AD80" s="446" t="s">
        <v>616</v>
      </c>
    </row>
    <row r="81" spans="2:39" s="147" customFormat="1" ht="27" hidden="1" customHeight="1">
      <c r="B81" s="894"/>
      <c r="C81" s="895"/>
      <c r="D81" s="361">
        <v>9</v>
      </c>
      <c r="E81" s="440" t="s">
        <v>464</v>
      </c>
      <c r="F81" s="364">
        <f t="shared" si="38"/>
        <v>4170.2699999999968</v>
      </c>
      <c r="G81" s="365">
        <v>629</v>
      </c>
      <c r="H81" s="442">
        <v>259.95</v>
      </c>
      <c r="I81" s="442">
        <v>259.95</v>
      </c>
      <c r="J81" s="444">
        <f t="shared" si="39"/>
        <v>1</v>
      </c>
      <c r="K81" s="443">
        <v>259.95</v>
      </c>
      <c r="L81" s="444">
        <f t="shared" si="40"/>
        <v>1</v>
      </c>
      <c r="M81" s="443">
        <v>6.63</v>
      </c>
      <c r="N81" s="444">
        <f t="shared" si="41"/>
        <v>2.5504904789382575E-2</v>
      </c>
      <c r="O81" s="445">
        <f t="shared" si="42"/>
        <v>266.58</v>
      </c>
      <c r="P81" s="444">
        <f t="shared" si="43"/>
        <v>1.0255049047893825</v>
      </c>
      <c r="Q81" s="442">
        <v>1.3199999999999998</v>
      </c>
      <c r="R81" s="444">
        <f t="shared" si="44"/>
        <v>5.0778995960761679E-3</v>
      </c>
      <c r="S81" s="452">
        <f t="shared" si="45"/>
        <v>830.27999999999986</v>
      </c>
      <c r="T81" s="445">
        <f t="shared" si="46"/>
        <v>6.6299999999999955</v>
      </c>
      <c r="U81" s="444">
        <f t="shared" si="47"/>
        <v>2.5504904789382558E-2</v>
      </c>
      <c r="V81" s="145"/>
      <c r="W81" s="145"/>
      <c r="X81" s="145"/>
      <c r="Y81" s="366" t="s">
        <v>174</v>
      </c>
      <c r="Z81" s="366" t="s">
        <v>428</v>
      </c>
      <c r="AA81" s="367" t="s">
        <v>482</v>
      </c>
      <c r="AB81" s="367" t="s">
        <v>547</v>
      </c>
      <c r="AC81" s="367">
        <v>1</v>
      </c>
      <c r="AD81" s="446" t="s">
        <v>458</v>
      </c>
    </row>
    <row r="82" spans="2:39" s="147" customFormat="1" ht="27" hidden="1" customHeight="1">
      <c r="B82" s="894"/>
      <c r="C82" s="895"/>
      <c r="D82" s="361">
        <v>10</v>
      </c>
      <c r="E82" s="440" t="s">
        <v>583</v>
      </c>
      <c r="F82" s="364">
        <f t="shared" si="38"/>
        <v>4159.5511999999917</v>
      </c>
      <c r="G82" s="365">
        <v>113.68000000000004</v>
      </c>
      <c r="H82" s="442">
        <v>1240.8</v>
      </c>
      <c r="I82" s="442">
        <v>1240.8</v>
      </c>
      <c r="J82" s="444">
        <f t="shared" si="39"/>
        <v>1</v>
      </c>
      <c r="K82" s="443">
        <v>1240.8</v>
      </c>
      <c r="L82" s="444">
        <f t="shared" si="40"/>
        <v>1</v>
      </c>
      <c r="M82" s="443">
        <v>36.589999999999996</v>
      </c>
      <c r="N82" s="444">
        <f t="shared" si="41"/>
        <v>2.948903932946486E-2</v>
      </c>
      <c r="O82" s="445">
        <f t="shared" si="42"/>
        <v>1277.3899999999999</v>
      </c>
      <c r="P82" s="444">
        <f t="shared" si="43"/>
        <v>1.0294890393294649</v>
      </c>
      <c r="Q82" s="442">
        <v>8.11</v>
      </c>
      <c r="R82" s="444">
        <f t="shared" si="44"/>
        <v>6.5361057382333975E-3</v>
      </c>
      <c r="S82" s="452">
        <f t="shared" si="45"/>
        <v>921.94480000000021</v>
      </c>
      <c r="T82" s="445">
        <f t="shared" si="46"/>
        <v>36.589999999999918</v>
      </c>
      <c r="U82" s="444">
        <f t="shared" si="47"/>
        <v>2.9489039329464797E-2</v>
      </c>
      <c r="V82" s="145"/>
      <c r="W82" s="145"/>
      <c r="X82" s="145"/>
      <c r="Y82" s="366" t="s">
        <v>174</v>
      </c>
      <c r="Z82" s="366" t="s">
        <v>428</v>
      </c>
      <c r="AA82" s="367" t="s">
        <v>479</v>
      </c>
      <c r="AB82" s="367" t="s">
        <v>477</v>
      </c>
      <c r="AC82" s="367">
        <v>1</v>
      </c>
      <c r="AD82" s="446" t="s">
        <v>566</v>
      </c>
    </row>
    <row r="83" spans="2:39" s="147" customFormat="1" ht="27" hidden="1" customHeight="1">
      <c r="B83" s="894"/>
      <c r="C83" s="895"/>
      <c r="D83" s="361">
        <v>11</v>
      </c>
      <c r="E83" s="440" t="s">
        <v>653</v>
      </c>
      <c r="F83" s="364">
        <f t="shared" si="38"/>
        <v>4060.5932000000025</v>
      </c>
      <c r="G83" s="365">
        <v>40.420000000000009</v>
      </c>
      <c r="H83" s="442">
        <v>3051.3</v>
      </c>
      <c r="I83" s="442">
        <v>3051.3</v>
      </c>
      <c r="J83" s="444">
        <f t="shared" si="39"/>
        <v>1</v>
      </c>
      <c r="K83" s="443">
        <v>3051.3</v>
      </c>
      <c r="L83" s="444">
        <f t="shared" si="40"/>
        <v>1</v>
      </c>
      <c r="M83" s="443">
        <v>100.46000000000001</v>
      </c>
      <c r="N83" s="444">
        <f t="shared" si="41"/>
        <v>3.2923671877560387E-2</v>
      </c>
      <c r="O83" s="445">
        <f t="shared" si="42"/>
        <v>3151.76</v>
      </c>
      <c r="P83" s="444">
        <f t="shared" si="43"/>
        <v>1.0329236718775603</v>
      </c>
      <c r="Q83" s="442">
        <v>21.44</v>
      </c>
      <c r="R83" s="444">
        <f t="shared" si="44"/>
        <v>7.0265132894176251E-3</v>
      </c>
      <c r="S83" s="452">
        <f t="shared" si="45"/>
        <v>866.6048000000003</v>
      </c>
      <c r="T83" s="445">
        <f t="shared" si="46"/>
        <v>100.46000000000004</v>
      </c>
      <c r="U83" s="444">
        <f t="shared" si="47"/>
        <v>3.2923671877560394E-2</v>
      </c>
      <c r="V83" s="145"/>
      <c r="W83" s="145"/>
      <c r="X83" s="145"/>
      <c r="Y83" s="366" t="s">
        <v>174</v>
      </c>
      <c r="Z83" s="366" t="s">
        <v>216</v>
      </c>
      <c r="AA83" s="367" t="s">
        <v>682</v>
      </c>
      <c r="AB83" s="367" t="s">
        <v>683</v>
      </c>
      <c r="AC83" s="367">
        <v>1</v>
      </c>
      <c r="AD83" s="446" t="s">
        <v>650</v>
      </c>
      <c r="AH83" s="370"/>
    </row>
    <row r="84" spans="2:39" s="147" customFormat="1" ht="27" hidden="1" customHeight="1">
      <c r="B84" s="894"/>
      <c r="C84" s="895"/>
      <c r="D84" s="361">
        <v>12</v>
      </c>
      <c r="E84" s="440" t="s">
        <v>545</v>
      </c>
      <c r="F84" s="364">
        <f t="shared" si="38"/>
        <v>3992.2680999999925</v>
      </c>
      <c r="G84" s="365">
        <v>66.13</v>
      </c>
      <c r="H84" s="442">
        <v>1744.54</v>
      </c>
      <c r="I84" s="442">
        <v>1744.54</v>
      </c>
      <c r="J84" s="444">
        <f t="shared" si="39"/>
        <v>1</v>
      </c>
      <c r="K84" s="443">
        <v>1744.54</v>
      </c>
      <c r="L84" s="444">
        <f t="shared" si="40"/>
        <v>1</v>
      </c>
      <c r="M84" s="443">
        <v>60.36999999999999</v>
      </c>
      <c r="N84" s="444">
        <f t="shared" si="41"/>
        <v>3.4605110802847734E-2</v>
      </c>
      <c r="O84" s="445">
        <f t="shared" si="42"/>
        <v>1804.9099999999999</v>
      </c>
      <c r="P84" s="444">
        <f t="shared" si="43"/>
        <v>1.0346051108028478</v>
      </c>
      <c r="Q84" s="442">
        <v>12.989999999999998</v>
      </c>
      <c r="R84" s="444">
        <f t="shared" si="44"/>
        <v>7.4460889403510375E-3</v>
      </c>
      <c r="S84" s="452">
        <f t="shared" si="45"/>
        <v>859.02869999999984</v>
      </c>
      <c r="T84" s="445">
        <f t="shared" si="46"/>
        <v>60.369999999999891</v>
      </c>
      <c r="U84" s="444">
        <f t="shared" si="47"/>
        <v>3.4605110802847679E-2</v>
      </c>
      <c r="V84" s="145"/>
      <c r="W84" s="145"/>
      <c r="X84" s="145"/>
      <c r="Y84" s="366" t="s">
        <v>174</v>
      </c>
      <c r="Z84" s="366" t="s">
        <v>428</v>
      </c>
      <c r="AA84" s="367" t="s">
        <v>479</v>
      </c>
      <c r="AB84" s="367" t="s">
        <v>477</v>
      </c>
      <c r="AC84" s="367">
        <v>1</v>
      </c>
      <c r="AD84" s="446" t="s">
        <v>341</v>
      </c>
    </row>
    <row r="85" spans="2:39" s="147" customFormat="1" ht="27" hidden="1" customHeight="1">
      <c r="B85" s="894"/>
      <c r="C85" s="895"/>
      <c r="D85" s="361">
        <v>13</v>
      </c>
      <c r="E85" s="440" t="s">
        <v>568</v>
      </c>
      <c r="F85" s="364">
        <f t="shared" si="38"/>
        <v>3841.437600000002</v>
      </c>
      <c r="G85" s="365">
        <v>40.04</v>
      </c>
      <c r="H85" s="442">
        <v>2859.09</v>
      </c>
      <c r="I85" s="442">
        <v>2859.09</v>
      </c>
      <c r="J85" s="444">
        <f t="shared" si="39"/>
        <v>1</v>
      </c>
      <c r="K85" s="443">
        <v>2859.09</v>
      </c>
      <c r="L85" s="444">
        <f t="shared" si="40"/>
        <v>1</v>
      </c>
      <c r="M85" s="443">
        <v>95.940000000000012</v>
      </c>
      <c r="N85" s="444">
        <f t="shared" si="41"/>
        <v>3.3556131496385214E-2</v>
      </c>
      <c r="O85" s="445">
        <f t="shared" si="42"/>
        <v>2955.03</v>
      </c>
      <c r="P85" s="444">
        <f t="shared" si="43"/>
        <v>1.0335561314963853</v>
      </c>
      <c r="Q85" s="442">
        <v>23.96</v>
      </c>
      <c r="R85" s="444">
        <f t="shared" si="44"/>
        <v>8.3802888331602019E-3</v>
      </c>
      <c r="S85" s="452">
        <f t="shared" si="45"/>
        <v>959.35839999999996</v>
      </c>
      <c r="T85" s="445">
        <f t="shared" si="46"/>
        <v>95.940000000000055</v>
      </c>
      <c r="U85" s="444">
        <f t="shared" si="47"/>
        <v>3.3556131496385228E-2</v>
      </c>
      <c r="V85" s="145"/>
      <c r="W85" s="145"/>
      <c r="X85" s="145"/>
      <c r="Y85" s="366" t="s">
        <v>174</v>
      </c>
      <c r="Z85" s="366" t="s">
        <v>216</v>
      </c>
      <c r="AA85" s="367" t="s">
        <v>682</v>
      </c>
      <c r="AB85" s="367" t="s">
        <v>683</v>
      </c>
      <c r="AC85" s="367">
        <v>1</v>
      </c>
      <c r="AD85" s="446" t="s">
        <v>533</v>
      </c>
    </row>
    <row r="86" spans="2:39" s="147" customFormat="1" ht="27" hidden="1" customHeight="1">
      <c r="B86" s="894"/>
      <c r="C86" s="895"/>
      <c r="D86" s="361">
        <v>14</v>
      </c>
      <c r="E86" s="440" t="s">
        <v>651</v>
      </c>
      <c r="F86" s="364">
        <f t="shared" si="38"/>
        <v>3768.3774999999255</v>
      </c>
      <c r="G86" s="365">
        <v>655.37</v>
      </c>
      <c r="H86" s="442">
        <v>523.09</v>
      </c>
      <c r="I86" s="442">
        <v>523.09</v>
      </c>
      <c r="J86" s="444">
        <f t="shared" si="39"/>
        <v>1</v>
      </c>
      <c r="K86" s="443">
        <v>523.57999999999993</v>
      </c>
      <c r="L86" s="444">
        <f t="shared" si="40"/>
        <v>1.00093674128735</v>
      </c>
      <c r="M86" s="443">
        <v>5.26</v>
      </c>
      <c r="N86" s="444">
        <f t="shared" si="41"/>
        <v>1.0055630962167121E-2</v>
      </c>
      <c r="O86" s="445">
        <f t="shared" si="42"/>
        <v>528.83999999999992</v>
      </c>
      <c r="P86" s="444">
        <f t="shared" si="43"/>
        <v>1.0109923722495171</v>
      </c>
      <c r="Q86" s="442">
        <v>1.29</v>
      </c>
      <c r="R86" s="444">
        <f t="shared" si="44"/>
        <v>2.4661148177177921E-3</v>
      </c>
      <c r="S86" s="452">
        <f t="shared" si="45"/>
        <v>845.42730000000006</v>
      </c>
      <c r="T86" s="445">
        <f t="shared" si="46"/>
        <v>5.7499999999998863</v>
      </c>
      <c r="U86" s="444">
        <f t="shared" si="47"/>
        <v>1.0992372249517074E-2</v>
      </c>
      <c r="V86" s="145"/>
      <c r="W86" s="145"/>
      <c r="X86" s="145"/>
      <c r="Y86" s="366" t="s">
        <v>174</v>
      </c>
      <c r="Z86" s="366" t="s">
        <v>428</v>
      </c>
      <c r="AA86" s="367" t="s">
        <v>659</v>
      </c>
      <c r="AB86" s="367" t="s">
        <v>684</v>
      </c>
      <c r="AC86" s="367">
        <v>1</v>
      </c>
      <c r="AD86" s="446" t="s">
        <v>650</v>
      </c>
    </row>
    <row r="87" spans="2:39" s="147" customFormat="1" ht="27" hidden="1" customHeight="1">
      <c r="B87" s="894"/>
      <c r="C87" s="895"/>
      <c r="D87" s="361">
        <v>15</v>
      </c>
      <c r="E87" s="440" t="s">
        <v>631</v>
      </c>
      <c r="F87" s="364">
        <f t="shared" si="38"/>
        <v>3734.600100000006</v>
      </c>
      <c r="G87" s="365">
        <v>43.889999999999993</v>
      </c>
      <c r="H87" s="442">
        <v>3143.3</v>
      </c>
      <c r="I87" s="442">
        <v>3143.3</v>
      </c>
      <c r="J87" s="444">
        <f t="shared" si="39"/>
        <v>1</v>
      </c>
      <c r="K87" s="443">
        <v>3143.3</v>
      </c>
      <c r="L87" s="444">
        <f t="shared" si="40"/>
        <v>1</v>
      </c>
      <c r="M87" s="443">
        <v>85.09</v>
      </c>
      <c r="N87" s="444">
        <f t="shared" si="41"/>
        <v>2.7070276461044124E-2</v>
      </c>
      <c r="O87" s="445">
        <f t="shared" si="42"/>
        <v>3228.3900000000003</v>
      </c>
      <c r="P87" s="444">
        <f t="shared" si="43"/>
        <v>1.0270702764610442</v>
      </c>
      <c r="Q87" s="442">
        <v>18.78</v>
      </c>
      <c r="R87" s="444">
        <f t="shared" si="44"/>
        <v>5.9746126682149337E-3</v>
      </c>
      <c r="S87" s="452">
        <f t="shared" si="45"/>
        <v>824.25419999999997</v>
      </c>
      <c r="T87" s="445">
        <f t="shared" si="46"/>
        <v>85.090000000000146</v>
      </c>
      <c r="U87" s="444">
        <f t="shared" si="47"/>
        <v>2.7070276461044169E-2</v>
      </c>
      <c r="V87" s="145"/>
      <c r="W87" s="145"/>
      <c r="X87" s="145"/>
      <c r="Y87" s="366" t="s">
        <v>174</v>
      </c>
      <c r="Z87" s="366" t="s">
        <v>216</v>
      </c>
      <c r="AA87" s="367" t="s">
        <v>682</v>
      </c>
      <c r="AB87" s="367" t="s">
        <v>683</v>
      </c>
      <c r="AC87" s="367">
        <v>1</v>
      </c>
      <c r="AD87" s="446" t="s">
        <v>630</v>
      </c>
    </row>
    <row r="88" spans="2:39" s="147" customFormat="1" ht="27" hidden="1" customHeight="1">
      <c r="B88" s="894"/>
      <c r="C88" s="895"/>
      <c r="D88" s="361">
        <v>16</v>
      </c>
      <c r="E88" s="440" t="s">
        <v>459</v>
      </c>
      <c r="F88" s="364">
        <f t="shared" si="38"/>
        <v>3586.2176000000431</v>
      </c>
      <c r="G88" s="365">
        <v>605.77999999999986</v>
      </c>
      <c r="H88" s="442">
        <v>796.18999999999994</v>
      </c>
      <c r="I88" s="442">
        <v>796.18999999999994</v>
      </c>
      <c r="J88" s="444">
        <f t="shared" si="39"/>
        <v>1</v>
      </c>
      <c r="K88" s="443">
        <v>796.89</v>
      </c>
      <c r="L88" s="444">
        <f t="shared" si="40"/>
        <v>1.0008791871287004</v>
      </c>
      <c r="M88" s="443">
        <v>5.2200000000000006</v>
      </c>
      <c r="N88" s="444">
        <f t="shared" si="41"/>
        <v>6.556224016880394E-3</v>
      </c>
      <c r="O88" s="445">
        <f t="shared" si="42"/>
        <v>802.11</v>
      </c>
      <c r="P88" s="444">
        <f t="shared" si="43"/>
        <v>1.007435411145581</v>
      </c>
      <c r="Q88" s="442">
        <v>1.44</v>
      </c>
      <c r="R88" s="444">
        <f t="shared" si="44"/>
        <v>1.8086135218980395E-3</v>
      </c>
      <c r="S88" s="452">
        <f t="shared" si="45"/>
        <v>872.32319999999982</v>
      </c>
      <c r="T88" s="445">
        <f t="shared" si="46"/>
        <v>5.9200000000000728</v>
      </c>
      <c r="U88" s="444">
        <f t="shared" si="47"/>
        <v>7.4354111455809209E-3</v>
      </c>
      <c r="V88" s="145"/>
      <c r="W88" s="145"/>
      <c r="X88" s="145"/>
      <c r="Y88" s="366" t="s">
        <v>174</v>
      </c>
      <c r="Z88" s="366" t="s">
        <v>216</v>
      </c>
      <c r="AA88" s="367" t="s">
        <v>482</v>
      </c>
      <c r="AB88" s="367" t="s">
        <v>547</v>
      </c>
      <c r="AC88" s="367">
        <v>1</v>
      </c>
      <c r="AD88" s="446" t="s">
        <v>342</v>
      </c>
    </row>
    <row r="89" spans="2:39" s="147" customFormat="1" ht="27" hidden="1" customHeight="1">
      <c r="B89" s="894"/>
      <c r="C89" s="895"/>
      <c r="D89" s="361">
        <v>17</v>
      </c>
      <c r="E89" s="440" t="s">
        <v>669</v>
      </c>
      <c r="F89" s="364">
        <f t="shared" si="38"/>
        <v>3580.3698000000022</v>
      </c>
      <c r="G89" s="365">
        <v>99.51</v>
      </c>
      <c r="H89" s="442">
        <v>1100.2800000000002</v>
      </c>
      <c r="I89" s="442">
        <v>1100.2800000000002</v>
      </c>
      <c r="J89" s="444">
        <f t="shared" si="39"/>
        <v>1</v>
      </c>
      <c r="K89" s="443">
        <v>1100.2800000000002</v>
      </c>
      <c r="L89" s="444">
        <f t="shared" si="40"/>
        <v>1</v>
      </c>
      <c r="M89" s="443">
        <v>35.980000000000004</v>
      </c>
      <c r="N89" s="444">
        <f t="shared" si="41"/>
        <v>3.2700767077471188E-2</v>
      </c>
      <c r="O89" s="445">
        <f t="shared" si="42"/>
        <v>1136.2600000000002</v>
      </c>
      <c r="P89" s="444">
        <f t="shared" si="43"/>
        <v>1.0327007670774713</v>
      </c>
      <c r="Q89" s="442">
        <v>8.98</v>
      </c>
      <c r="R89" s="444">
        <f t="shared" si="44"/>
        <v>8.1615588759224918E-3</v>
      </c>
      <c r="S89" s="452">
        <f t="shared" si="45"/>
        <v>893.59980000000007</v>
      </c>
      <c r="T89" s="445">
        <f t="shared" si="46"/>
        <v>35.980000000000018</v>
      </c>
      <c r="U89" s="444">
        <f t="shared" si="47"/>
        <v>3.2700767077471202E-2</v>
      </c>
      <c r="V89" s="145"/>
      <c r="W89" s="145"/>
      <c r="X89" s="145"/>
      <c r="Y89" s="366" t="s">
        <v>174</v>
      </c>
      <c r="Z89" s="366" t="s">
        <v>428</v>
      </c>
      <c r="AA89" s="367" t="s">
        <v>479</v>
      </c>
      <c r="AB89" s="367" t="s">
        <v>477</v>
      </c>
      <c r="AC89" s="367">
        <v>1</v>
      </c>
      <c r="AD89" s="446" t="s">
        <v>349</v>
      </c>
    </row>
    <row r="90" spans="2:39" s="147" customFormat="1" ht="27" hidden="1" customHeight="1">
      <c r="B90" s="894"/>
      <c r="C90" s="895"/>
      <c r="D90" s="361">
        <v>18</v>
      </c>
      <c r="E90" s="440" t="s">
        <v>599</v>
      </c>
      <c r="F90" s="364">
        <f t="shared" si="38"/>
        <v>3550.6016000000159</v>
      </c>
      <c r="G90" s="365">
        <v>153.44000000000003</v>
      </c>
      <c r="H90" s="442">
        <v>1392.6200000000001</v>
      </c>
      <c r="I90" s="442">
        <v>1392.6200000000001</v>
      </c>
      <c r="J90" s="444">
        <f t="shared" si="39"/>
        <v>1</v>
      </c>
      <c r="K90" s="443">
        <v>1395.1200000000001</v>
      </c>
      <c r="L90" s="444">
        <f t="shared" si="40"/>
        <v>1.0017951774353377</v>
      </c>
      <c r="M90" s="443">
        <v>20.64</v>
      </c>
      <c r="N90" s="444">
        <f t="shared" si="41"/>
        <v>1.4820984906148122E-2</v>
      </c>
      <c r="O90" s="445">
        <f t="shared" si="42"/>
        <v>1415.7600000000002</v>
      </c>
      <c r="P90" s="444">
        <f t="shared" si="43"/>
        <v>1.016616162341486</v>
      </c>
      <c r="Q90" s="442">
        <v>6.08</v>
      </c>
      <c r="R90" s="444">
        <f t="shared" si="44"/>
        <v>4.3658715227413072E-3</v>
      </c>
      <c r="S90" s="452">
        <f t="shared" si="45"/>
        <v>932.91520000000014</v>
      </c>
      <c r="T90" s="445">
        <f t="shared" si="46"/>
        <v>23.1400000000001</v>
      </c>
      <c r="U90" s="444">
        <f t="shared" si="47"/>
        <v>1.6616162341485902E-2</v>
      </c>
      <c r="V90" s="145"/>
      <c r="W90" s="145"/>
      <c r="X90" s="145"/>
      <c r="Y90" s="366" t="s">
        <v>174</v>
      </c>
      <c r="Z90" s="366" t="s">
        <v>428</v>
      </c>
      <c r="AA90" s="367" t="s">
        <v>607</v>
      </c>
      <c r="AB90" s="367" t="s">
        <v>525</v>
      </c>
      <c r="AC90" s="367">
        <v>1</v>
      </c>
      <c r="AD90" s="446" t="s">
        <v>465</v>
      </c>
    </row>
    <row r="91" spans="2:39" s="147" customFormat="1" ht="27" hidden="1" customHeight="1">
      <c r="B91" s="894"/>
      <c r="C91" s="895"/>
      <c r="D91" s="361">
        <v>19</v>
      </c>
      <c r="E91" s="440" t="s">
        <v>601</v>
      </c>
      <c r="F91" s="364">
        <f t="shared" si="38"/>
        <v>3510.630500000007</v>
      </c>
      <c r="G91" s="365">
        <v>46.149999999999991</v>
      </c>
      <c r="H91" s="442">
        <v>2326.14</v>
      </c>
      <c r="I91" s="442">
        <v>2326.14</v>
      </c>
      <c r="J91" s="444">
        <f t="shared" si="39"/>
        <v>1</v>
      </c>
      <c r="K91" s="443">
        <v>2326.14</v>
      </c>
      <c r="L91" s="444">
        <f t="shared" si="40"/>
        <v>1</v>
      </c>
      <c r="M91" s="443">
        <v>76.069999999999993</v>
      </c>
      <c r="N91" s="444">
        <f t="shared" si="41"/>
        <v>3.2702244920770028E-2</v>
      </c>
      <c r="O91" s="445">
        <f t="shared" si="42"/>
        <v>2402.21</v>
      </c>
      <c r="P91" s="444">
        <f t="shared" si="43"/>
        <v>1.0327022449207701</v>
      </c>
      <c r="Q91" s="442">
        <v>24.669999999999998</v>
      </c>
      <c r="R91" s="444">
        <f t="shared" si="44"/>
        <v>1.0605552546278384E-2</v>
      </c>
      <c r="S91" s="452">
        <f t="shared" si="45"/>
        <v>1138.5204999999996</v>
      </c>
      <c r="T91" s="445">
        <f t="shared" si="46"/>
        <v>76.070000000000164</v>
      </c>
      <c r="U91" s="444">
        <f t="shared" si="47"/>
        <v>3.2702244920770104E-2</v>
      </c>
      <c r="V91" s="145"/>
      <c r="W91" s="145"/>
      <c r="X91" s="145"/>
      <c r="Y91" s="366" t="s">
        <v>174</v>
      </c>
      <c r="Z91" s="366" t="s">
        <v>216</v>
      </c>
      <c r="AA91" s="367" t="s">
        <v>682</v>
      </c>
      <c r="AB91" s="367" t="s">
        <v>683</v>
      </c>
      <c r="AC91" s="367">
        <v>1</v>
      </c>
      <c r="AD91" s="446" t="s">
        <v>597</v>
      </c>
    </row>
    <row r="92" spans="2:39" s="147" customFormat="1" ht="27" hidden="1" customHeight="1">
      <c r="B92" s="896"/>
      <c r="C92" s="897"/>
      <c r="D92" s="361">
        <v>20</v>
      </c>
      <c r="E92" s="440" t="s">
        <v>432</v>
      </c>
      <c r="F92" s="364">
        <f t="shared" si="38"/>
        <v>3486.2857999999883</v>
      </c>
      <c r="G92" s="365">
        <v>368.13999999999993</v>
      </c>
      <c r="H92" s="442">
        <v>377.51000000000005</v>
      </c>
      <c r="I92" s="442">
        <v>377.51000000000005</v>
      </c>
      <c r="J92" s="444">
        <f t="shared" si="39"/>
        <v>1</v>
      </c>
      <c r="K92" s="443">
        <v>377.51000000000005</v>
      </c>
      <c r="L92" s="444">
        <f t="shared" si="40"/>
        <v>1</v>
      </c>
      <c r="M92" s="443">
        <v>9.4699999999999989</v>
      </c>
      <c r="N92" s="444">
        <f t="shared" si="41"/>
        <v>2.5085428200577461E-2</v>
      </c>
      <c r="O92" s="445">
        <f t="shared" si="42"/>
        <v>386.98</v>
      </c>
      <c r="P92" s="444">
        <f t="shared" si="43"/>
        <v>1.0250854282005775</v>
      </c>
      <c r="Q92" s="442">
        <v>2.4500000000000002</v>
      </c>
      <c r="R92" s="444">
        <f t="shared" si="44"/>
        <v>6.4898943074355644E-3</v>
      </c>
      <c r="S92" s="452">
        <f t="shared" si="45"/>
        <v>901.94299999999987</v>
      </c>
      <c r="T92" s="445">
        <f t="shared" si="46"/>
        <v>9.4699999999999704</v>
      </c>
      <c r="U92" s="444">
        <f t="shared" si="47"/>
        <v>2.5085428200577388E-2</v>
      </c>
      <c r="V92" s="145"/>
      <c r="W92" s="145"/>
      <c r="X92" s="145"/>
      <c r="Y92" s="366" t="s">
        <v>174</v>
      </c>
      <c r="Z92" s="366" t="s">
        <v>428</v>
      </c>
      <c r="AA92" s="367" t="s">
        <v>660</v>
      </c>
      <c r="AB92" s="367" t="s">
        <v>574</v>
      </c>
      <c r="AC92" s="367">
        <v>1</v>
      </c>
      <c r="AD92" s="446" t="s">
        <v>433</v>
      </c>
    </row>
    <row r="93" spans="2:39" ht="17.100000000000001" hidden="1" customHeight="1">
      <c r="B93" s="898" t="s">
        <v>442</v>
      </c>
      <c r="C93" s="899"/>
      <c r="D93" s="902" t="s">
        <v>549</v>
      </c>
      <c r="E93" s="903" t="s">
        <v>550</v>
      </c>
      <c r="F93" s="953" t="s">
        <v>567</v>
      </c>
      <c r="G93" s="881" t="s">
        <v>552</v>
      </c>
      <c r="H93" s="905" t="s">
        <v>553</v>
      </c>
      <c r="I93" s="906" t="s">
        <v>554</v>
      </c>
      <c r="J93" s="907"/>
      <c r="K93" s="906" t="s">
        <v>555</v>
      </c>
      <c r="L93" s="907"/>
      <c r="M93" s="906" t="s">
        <v>556</v>
      </c>
      <c r="N93" s="907"/>
      <c r="O93" s="906" t="s">
        <v>557</v>
      </c>
      <c r="P93" s="907"/>
      <c r="Q93" s="906" t="s">
        <v>418</v>
      </c>
      <c r="R93" s="954"/>
      <c r="S93" s="907"/>
      <c r="T93" s="908" t="s">
        <v>419</v>
      </c>
      <c r="U93" s="910"/>
      <c r="Y93" s="914" t="s">
        <v>171</v>
      </c>
      <c r="Z93" s="914" t="s">
        <v>245</v>
      </c>
      <c r="AA93" s="914" t="s">
        <v>558</v>
      </c>
      <c r="AB93" s="914" t="s">
        <v>444</v>
      </c>
      <c r="AC93" s="914" t="s">
        <v>246</v>
      </c>
      <c r="AD93" s="881" t="s">
        <v>172</v>
      </c>
      <c r="AF93" s="883" t="s">
        <v>247</v>
      </c>
      <c r="AG93" s="884"/>
      <c r="AH93" s="884"/>
      <c r="AI93" s="884"/>
      <c r="AJ93" s="884"/>
      <c r="AK93" s="884"/>
      <c r="AL93" s="884"/>
      <c r="AM93" s="885"/>
    </row>
    <row r="94" spans="2:39" ht="16.5" hidden="1" customHeight="1">
      <c r="B94" s="900"/>
      <c r="C94" s="901"/>
      <c r="D94" s="902"/>
      <c r="E94" s="902"/>
      <c r="F94" s="904"/>
      <c r="G94" s="882"/>
      <c r="H94" s="882"/>
      <c r="I94" s="439" t="s">
        <v>559</v>
      </c>
      <c r="J94" s="362" t="s">
        <v>560</v>
      </c>
      <c r="K94" s="439" t="s">
        <v>559</v>
      </c>
      <c r="L94" s="362" t="s">
        <v>560</v>
      </c>
      <c r="M94" s="439" t="s">
        <v>559</v>
      </c>
      <c r="N94" s="362" t="s">
        <v>560</v>
      </c>
      <c r="O94" s="439" t="s">
        <v>559</v>
      </c>
      <c r="P94" s="362" t="s">
        <v>560</v>
      </c>
      <c r="Q94" s="439" t="s">
        <v>559</v>
      </c>
      <c r="R94" s="362" t="s">
        <v>560</v>
      </c>
      <c r="S94" s="362" t="s">
        <v>561</v>
      </c>
      <c r="T94" s="439" t="s">
        <v>559</v>
      </c>
      <c r="U94" s="362" t="s">
        <v>560</v>
      </c>
      <c r="Y94" s="915"/>
      <c r="Z94" s="915"/>
      <c r="AA94" s="915"/>
      <c r="AB94" s="915"/>
      <c r="AC94" s="915"/>
      <c r="AD94" s="882"/>
      <c r="AF94" s="886"/>
      <c r="AG94" s="887"/>
      <c r="AH94" s="887"/>
      <c r="AI94" s="887"/>
      <c r="AJ94" s="887"/>
      <c r="AK94" s="887"/>
      <c r="AL94" s="887"/>
      <c r="AM94" s="888"/>
    </row>
    <row r="95" spans="2:39" s="147" customFormat="1" ht="27" hidden="1" customHeight="1">
      <c r="B95" s="927" t="s">
        <v>628</v>
      </c>
      <c r="C95" s="893"/>
      <c r="D95" s="361">
        <v>1</v>
      </c>
      <c r="E95" s="440" t="s">
        <v>336</v>
      </c>
      <c r="F95" s="364">
        <f>IFERROR(T95*G95,"-")</f>
        <v>12479.94949999995</v>
      </c>
      <c r="G95" s="365">
        <v>147.43000000000004</v>
      </c>
      <c r="H95" s="442">
        <v>4611.7699999999995</v>
      </c>
      <c r="I95" s="442">
        <v>4611.7699999999995</v>
      </c>
      <c r="J95" s="444">
        <f>IFERROR(I95/H95,"-")</f>
        <v>1</v>
      </c>
      <c r="K95" s="443">
        <v>4611.7699999999995</v>
      </c>
      <c r="L95" s="444">
        <f>IFERROR(K95/H95,"-")</f>
        <v>1</v>
      </c>
      <c r="M95" s="443">
        <v>84.65</v>
      </c>
      <c r="N95" s="444">
        <f>IFERROR(M95/H95,"-")</f>
        <v>1.8355208520806549E-2</v>
      </c>
      <c r="O95" s="445">
        <f>IFERROR(K95+M95,"-")</f>
        <v>4696.4199999999992</v>
      </c>
      <c r="P95" s="444">
        <f>IFERROR(O95/H95,"-")</f>
        <v>1.0183552085208065</v>
      </c>
      <c r="Q95" s="442">
        <v>9.3000000000000007</v>
      </c>
      <c r="R95" s="444">
        <f>IFERROR(Q95/H95,"-")</f>
        <v>2.0165793177023142E-3</v>
      </c>
      <c r="S95" s="452">
        <f>IFERROR(Q95*G95,"-")</f>
        <v>1371.0990000000004</v>
      </c>
      <c r="T95" s="445">
        <f>IFERROR(O95-H95,"-")</f>
        <v>84.649999999999636</v>
      </c>
      <c r="U95" s="444">
        <f>IFERROR(T95/H95,"-")</f>
        <v>1.8355208520806469E-2</v>
      </c>
      <c r="V95" s="145"/>
      <c r="W95" s="145"/>
      <c r="X95" s="145"/>
      <c r="Y95" s="366" t="s">
        <v>174</v>
      </c>
      <c r="Z95" s="366" t="s">
        <v>215</v>
      </c>
      <c r="AA95" s="367" t="s">
        <v>478</v>
      </c>
      <c r="AB95" s="367" t="s">
        <v>524</v>
      </c>
      <c r="AC95" s="367">
        <v>1</v>
      </c>
      <c r="AD95" s="446" t="s">
        <v>340</v>
      </c>
      <c r="AF95" s="889"/>
      <c r="AG95" s="890"/>
      <c r="AH95" s="890"/>
      <c r="AI95" s="890"/>
      <c r="AJ95" s="890"/>
      <c r="AK95" s="890"/>
      <c r="AL95" s="890"/>
      <c r="AM95" s="891"/>
    </row>
    <row r="96" spans="2:39" s="147" customFormat="1" ht="27" hidden="1" customHeight="1">
      <c r="B96" s="894"/>
      <c r="C96" s="895"/>
      <c r="D96" s="361">
        <v>2</v>
      </c>
      <c r="E96" s="440" t="s">
        <v>633</v>
      </c>
      <c r="F96" s="364">
        <f t="shared" ref="F96:F114" si="51">IFERROR(T96*G96,"-")</f>
        <v>8205.8160000000098</v>
      </c>
      <c r="G96" s="365">
        <v>144.79999999999998</v>
      </c>
      <c r="H96" s="442">
        <v>2814.75</v>
      </c>
      <c r="I96" s="442">
        <v>2814.75</v>
      </c>
      <c r="J96" s="444">
        <f t="shared" ref="J96:J114" si="52">IFERROR(I96/H96,"-")</f>
        <v>1</v>
      </c>
      <c r="K96" s="443">
        <v>2825.75</v>
      </c>
      <c r="L96" s="444">
        <f t="shared" ref="L96:L114" si="53">IFERROR(K96/H96,"-")</f>
        <v>1.0039079847233325</v>
      </c>
      <c r="M96" s="443">
        <v>45.67</v>
      </c>
      <c r="N96" s="444">
        <f t="shared" ref="N96:N114" si="54">IFERROR(M96/H96,"-")</f>
        <v>1.6225242028599342E-2</v>
      </c>
      <c r="O96" s="445">
        <f t="shared" ref="O96:O114" si="55">IFERROR(K96+M96,"-")</f>
        <v>2871.42</v>
      </c>
      <c r="P96" s="444">
        <f t="shared" ref="P96:P114" si="56">IFERROR(O96/H96,"-")</f>
        <v>1.0201332267519319</v>
      </c>
      <c r="Q96" s="442">
        <v>8.98</v>
      </c>
      <c r="R96" s="444">
        <f t="shared" ref="R96:R114" si="57">IFERROR(Q96/H96,"-")</f>
        <v>3.1903366195932146E-3</v>
      </c>
      <c r="S96" s="452">
        <f t="shared" ref="S96:S114" si="58">IFERROR(Q96*G96,"-")</f>
        <v>1300.3039999999999</v>
      </c>
      <c r="T96" s="445">
        <f t="shared" ref="T96:T114" si="59">IFERROR(O96-H96,"-")</f>
        <v>56.670000000000073</v>
      </c>
      <c r="U96" s="444">
        <f t="shared" ref="U96:U114" si="60">IFERROR(T96/H96,"-")</f>
        <v>2.0133226751931813E-2</v>
      </c>
      <c r="V96" s="145"/>
      <c r="W96" s="145"/>
      <c r="X96" s="145"/>
      <c r="Y96" s="366" t="s">
        <v>174</v>
      </c>
      <c r="Z96" s="366" t="s">
        <v>428</v>
      </c>
      <c r="AA96" s="367" t="s">
        <v>607</v>
      </c>
      <c r="AB96" s="367" t="s">
        <v>573</v>
      </c>
      <c r="AC96" s="367">
        <v>1</v>
      </c>
      <c r="AD96" s="446" t="s">
        <v>340</v>
      </c>
      <c r="AF96" s="160" t="s">
        <v>244</v>
      </c>
      <c r="AG96" s="160" t="s">
        <v>445</v>
      </c>
      <c r="AH96" s="155" t="s">
        <v>562</v>
      </c>
      <c r="AI96" s="155" t="s">
        <v>337</v>
      </c>
      <c r="AJ96" s="155" t="s">
        <v>428</v>
      </c>
      <c r="AK96" s="155" t="s">
        <v>215</v>
      </c>
      <c r="AL96" s="155" t="s">
        <v>216</v>
      </c>
      <c r="AM96" s="155" t="s">
        <v>384</v>
      </c>
    </row>
    <row r="97" spans="2:39" s="147" customFormat="1" ht="27" hidden="1" customHeight="1">
      <c r="B97" s="894"/>
      <c r="C97" s="895"/>
      <c r="D97" s="361">
        <v>3</v>
      </c>
      <c r="E97" s="440" t="s">
        <v>534</v>
      </c>
      <c r="F97" s="364">
        <f t="shared" si="51"/>
        <v>7618.4199000001363</v>
      </c>
      <c r="G97" s="365">
        <v>39.389999999999993</v>
      </c>
      <c r="H97" s="442">
        <v>34928.070000000007</v>
      </c>
      <c r="I97" s="442">
        <v>34928.070000000007</v>
      </c>
      <c r="J97" s="444">
        <f t="shared" si="52"/>
        <v>1</v>
      </c>
      <c r="K97" s="443">
        <v>34928.070000000007</v>
      </c>
      <c r="L97" s="444">
        <f t="shared" si="53"/>
        <v>1</v>
      </c>
      <c r="M97" s="443">
        <v>193.41000000000003</v>
      </c>
      <c r="N97" s="444">
        <f t="shared" si="54"/>
        <v>5.5373801071745441E-3</v>
      </c>
      <c r="O97" s="445">
        <f t="shared" si="55"/>
        <v>35121.48000000001</v>
      </c>
      <c r="P97" s="444">
        <f t="shared" si="56"/>
        <v>1.0055373801071747</v>
      </c>
      <c r="Q97" s="442">
        <v>35.849999999999994</v>
      </c>
      <c r="R97" s="444">
        <f t="shared" si="57"/>
        <v>1.0263951028499424E-3</v>
      </c>
      <c r="S97" s="452">
        <f t="shared" si="58"/>
        <v>1412.1314999999995</v>
      </c>
      <c r="T97" s="445">
        <f t="shared" si="59"/>
        <v>193.41000000000349</v>
      </c>
      <c r="U97" s="444">
        <f t="shared" si="60"/>
        <v>5.5373801071746439E-3</v>
      </c>
      <c r="V97" s="145"/>
      <c r="W97" s="145"/>
      <c r="X97" s="145"/>
      <c r="Y97" s="366" t="s">
        <v>174</v>
      </c>
      <c r="Z97" s="366" t="s">
        <v>216</v>
      </c>
      <c r="AA97" s="367" t="s">
        <v>682</v>
      </c>
      <c r="AB97" s="367" t="s">
        <v>701</v>
      </c>
      <c r="AC97" s="367">
        <v>1</v>
      </c>
      <c r="AD97" s="446" t="s">
        <v>340</v>
      </c>
      <c r="AF97" s="374">
        <f>SUM(AC95:AC114)</f>
        <v>20</v>
      </c>
      <c r="AG97" s="369">
        <f>SUMIF($Z$95:$Z$114,TRIM(AG96),$AC$95:$AC$114)</f>
        <v>0</v>
      </c>
      <c r="AH97" s="369">
        <f t="shared" ref="AH97:AM97" si="61">SUMIF($Z$95:$Z$114,TRIM(AH96),$AC$95:$AC$114)</f>
        <v>0</v>
      </c>
      <c r="AI97" s="369">
        <f t="shared" si="61"/>
        <v>0</v>
      </c>
      <c r="AJ97" s="369">
        <f t="shared" si="61"/>
        <v>12</v>
      </c>
      <c r="AK97" s="369">
        <f t="shared" si="61"/>
        <v>1</v>
      </c>
      <c r="AL97" s="369">
        <f t="shared" si="61"/>
        <v>7</v>
      </c>
      <c r="AM97" s="369">
        <f t="shared" si="61"/>
        <v>0</v>
      </c>
    </row>
    <row r="98" spans="2:39" s="147" customFormat="1" ht="27" hidden="1" customHeight="1">
      <c r="B98" s="894"/>
      <c r="C98" s="895"/>
      <c r="D98" s="361">
        <v>4</v>
      </c>
      <c r="E98" s="440" t="s">
        <v>692</v>
      </c>
      <c r="F98" s="364">
        <f t="shared" si="51"/>
        <v>6516.0354000000507</v>
      </c>
      <c r="G98" s="365">
        <v>625.93999999999994</v>
      </c>
      <c r="H98" s="442">
        <v>1716.9</v>
      </c>
      <c r="I98" s="442">
        <v>1716.9</v>
      </c>
      <c r="J98" s="444">
        <f t="shared" si="52"/>
        <v>1</v>
      </c>
      <c r="K98" s="443">
        <v>1716.9</v>
      </c>
      <c r="L98" s="444">
        <f t="shared" si="53"/>
        <v>1</v>
      </c>
      <c r="M98" s="443">
        <v>10.41</v>
      </c>
      <c r="N98" s="444">
        <f t="shared" si="54"/>
        <v>6.06325353835401E-3</v>
      </c>
      <c r="O98" s="445">
        <f t="shared" si="55"/>
        <v>1727.3100000000002</v>
      </c>
      <c r="P98" s="444">
        <f t="shared" si="56"/>
        <v>1.006063253538354</v>
      </c>
      <c r="Q98" s="442">
        <v>1.75</v>
      </c>
      <c r="R98" s="444">
        <f t="shared" si="57"/>
        <v>1.0192789329605684E-3</v>
      </c>
      <c r="S98" s="452">
        <f t="shared" si="58"/>
        <v>1095.395</v>
      </c>
      <c r="T98" s="445">
        <f t="shared" si="59"/>
        <v>10.410000000000082</v>
      </c>
      <c r="U98" s="444">
        <f t="shared" si="60"/>
        <v>6.0632535383540577E-3</v>
      </c>
      <c r="V98" s="145"/>
      <c r="W98" s="145"/>
      <c r="X98" s="145"/>
      <c r="Y98" s="366" t="s">
        <v>174</v>
      </c>
      <c r="Z98" s="366" t="s">
        <v>216</v>
      </c>
      <c r="AA98" s="367" t="s">
        <v>482</v>
      </c>
      <c r="AB98" s="367" t="s">
        <v>547</v>
      </c>
      <c r="AC98" s="367">
        <v>1</v>
      </c>
      <c r="AD98" s="446" t="s">
        <v>697</v>
      </c>
      <c r="AF98" s="375"/>
      <c r="AG98" s="372">
        <f t="shared" ref="AG98:AM98" si="62">SUMIF($Z$95:$Z$114,TRIM(AG96),$F$95:$F$114)</f>
        <v>0</v>
      </c>
      <c r="AH98" s="372">
        <f t="shared" si="62"/>
        <v>0</v>
      </c>
      <c r="AI98" s="372">
        <f t="shared" si="62"/>
        <v>0</v>
      </c>
      <c r="AJ98" s="372">
        <f t="shared" si="62"/>
        <v>52765.907799999972</v>
      </c>
      <c r="AK98" s="372">
        <f t="shared" si="62"/>
        <v>12479.94949999995</v>
      </c>
      <c r="AL98" s="372">
        <f t="shared" si="62"/>
        <v>36114.031800000201</v>
      </c>
      <c r="AM98" s="372">
        <f t="shared" si="62"/>
        <v>0</v>
      </c>
    </row>
    <row r="99" spans="2:39" s="147" customFormat="1" ht="27" hidden="1" customHeight="1">
      <c r="B99" s="894"/>
      <c r="C99" s="895"/>
      <c r="D99" s="361">
        <v>5</v>
      </c>
      <c r="E99" s="440" t="s">
        <v>652</v>
      </c>
      <c r="F99" s="364">
        <f t="shared" si="51"/>
        <v>5168.1240000000116</v>
      </c>
      <c r="G99" s="365">
        <v>31.59</v>
      </c>
      <c r="H99" s="442">
        <v>5645.1799999999994</v>
      </c>
      <c r="I99" s="442">
        <v>5645.1799999999994</v>
      </c>
      <c r="J99" s="444">
        <f t="shared" si="52"/>
        <v>1</v>
      </c>
      <c r="K99" s="443">
        <v>5645.1799999999994</v>
      </c>
      <c r="L99" s="444">
        <f t="shared" si="53"/>
        <v>1</v>
      </c>
      <c r="M99" s="443">
        <v>163.6</v>
      </c>
      <c r="N99" s="444">
        <f t="shared" si="54"/>
        <v>2.8980475378995889E-2</v>
      </c>
      <c r="O99" s="445">
        <f t="shared" si="55"/>
        <v>5808.78</v>
      </c>
      <c r="P99" s="444">
        <f t="shared" si="56"/>
        <v>1.028980475378996</v>
      </c>
      <c r="Q99" s="442">
        <v>31.52</v>
      </c>
      <c r="R99" s="444">
        <f t="shared" si="57"/>
        <v>5.5835243517478629E-3</v>
      </c>
      <c r="S99" s="452">
        <f t="shared" si="58"/>
        <v>995.71680000000003</v>
      </c>
      <c r="T99" s="445">
        <f t="shared" si="59"/>
        <v>163.60000000000036</v>
      </c>
      <c r="U99" s="444">
        <f t="shared" si="60"/>
        <v>2.8980475378995955E-2</v>
      </c>
      <c r="V99" s="145"/>
      <c r="W99" s="145"/>
      <c r="X99" s="145"/>
      <c r="Y99" s="366" t="s">
        <v>174</v>
      </c>
      <c r="Z99" s="366" t="s">
        <v>216</v>
      </c>
      <c r="AA99" s="367" t="s">
        <v>479</v>
      </c>
      <c r="AB99" s="367" t="s">
        <v>477</v>
      </c>
      <c r="AC99" s="367">
        <v>1</v>
      </c>
      <c r="AD99" s="446" t="s">
        <v>650</v>
      </c>
      <c r="AF99" s="361"/>
      <c r="AG99" s="373">
        <f t="shared" ref="AG99:AM99" si="63">AG97/$AF97</f>
        <v>0</v>
      </c>
      <c r="AH99" s="373">
        <f t="shared" si="63"/>
        <v>0</v>
      </c>
      <c r="AI99" s="373">
        <f t="shared" si="63"/>
        <v>0</v>
      </c>
      <c r="AJ99" s="373">
        <f t="shared" si="63"/>
        <v>0.6</v>
      </c>
      <c r="AK99" s="373">
        <f t="shared" si="63"/>
        <v>0.05</v>
      </c>
      <c r="AL99" s="373">
        <f t="shared" si="63"/>
        <v>0.35</v>
      </c>
      <c r="AM99" s="373">
        <f t="shared" si="63"/>
        <v>0</v>
      </c>
    </row>
    <row r="100" spans="2:39" s="147" customFormat="1" ht="27" hidden="1" customHeight="1">
      <c r="B100" s="894"/>
      <c r="C100" s="895"/>
      <c r="D100" s="361">
        <v>6</v>
      </c>
      <c r="E100" s="440" t="s">
        <v>386</v>
      </c>
      <c r="F100" s="364">
        <f t="shared" si="51"/>
        <v>5136.6111999999794</v>
      </c>
      <c r="G100" s="365">
        <v>127.84000000000002</v>
      </c>
      <c r="H100" s="442">
        <v>4089.3399999999997</v>
      </c>
      <c r="I100" s="442">
        <v>4089.3399999999997</v>
      </c>
      <c r="J100" s="444">
        <f t="shared" si="52"/>
        <v>1</v>
      </c>
      <c r="K100" s="443">
        <v>4089.3399999999997</v>
      </c>
      <c r="L100" s="444">
        <f t="shared" si="53"/>
        <v>1</v>
      </c>
      <c r="M100" s="443">
        <v>40.179999999999993</v>
      </c>
      <c r="N100" s="444">
        <f t="shared" si="54"/>
        <v>9.8255464206938037E-3</v>
      </c>
      <c r="O100" s="445">
        <f t="shared" si="55"/>
        <v>4129.5199999999995</v>
      </c>
      <c r="P100" s="444">
        <f t="shared" si="56"/>
        <v>1.0098255464206938</v>
      </c>
      <c r="Q100" s="442">
        <v>9.36</v>
      </c>
      <c r="R100" s="444">
        <f t="shared" si="57"/>
        <v>2.2888779118390742E-3</v>
      </c>
      <c r="S100" s="452">
        <f t="shared" si="58"/>
        <v>1196.5824</v>
      </c>
      <c r="T100" s="445">
        <f t="shared" si="59"/>
        <v>40.179999999999836</v>
      </c>
      <c r="U100" s="444">
        <f t="shared" si="60"/>
        <v>9.8255464206937638E-3</v>
      </c>
      <c r="V100" s="145"/>
      <c r="W100" s="145"/>
      <c r="X100" s="145"/>
      <c r="Y100" s="366" t="s">
        <v>174</v>
      </c>
      <c r="Z100" s="366" t="s">
        <v>428</v>
      </c>
      <c r="AA100" s="367" t="s">
        <v>702</v>
      </c>
      <c r="AB100" s="367" t="s">
        <v>703</v>
      </c>
      <c r="AC100" s="367">
        <v>1</v>
      </c>
      <c r="AD100" s="446" t="s">
        <v>340</v>
      </c>
    </row>
    <row r="101" spans="2:39" s="147" customFormat="1" ht="27" hidden="1" customHeight="1">
      <c r="B101" s="894"/>
      <c r="C101" s="895"/>
      <c r="D101" s="361">
        <v>7</v>
      </c>
      <c r="E101" s="440" t="s">
        <v>461</v>
      </c>
      <c r="F101" s="364">
        <f t="shared" si="51"/>
        <v>4746.093600000042</v>
      </c>
      <c r="G101" s="365">
        <v>407.74000000000007</v>
      </c>
      <c r="H101" s="442">
        <v>1119.06</v>
      </c>
      <c r="I101" s="442">
        <v>1119.06</v>
      </c>
      <c r="J101" s="444">
        <f t="shared" si="52"/>
        <v>1</v>
      </c>
      <c r="K101" s="443">
        <v>1119.06</v>
      </c>
      <c r="L101" s="444">
        <f t="shared" si="53"/>
        <v>1</v>
      </c>
      <c r="M101" s="443">
        <v>11.64</v>
      </c>
      <c r="N101" s="444">
        <f t="shared" si="54"/>
        <v>1.0401587046270979E-2</v>
      </c>
      <c r="O101" s="445">
        <f t="shared" si="55"/>
        <v>1130.7</v>
      </c>
      <c r="P101" s="444">
        <f t="shared" si="56"/>
        <v>1.010401587046271</v>
      </c>
      <c r="Q101" s="442">
        <v>2.67</v>
      </c>
      <c r="R101" s="444">
        <f t="shared" si="57"/>
        <v>2.3859310492734976E-3</v>
      </c>
      <c r="S101" s="452">
        <f t="shared" si="58"/>
        <v>1088.6658000000002</v>
      </c>
      <c r="T101" s="445">
        <f t="shared" si="59"/>
        <v>11.6400000000001</v>
      </c>
      <c r="U101" s="444">
        <f t="shared" si="60"/>
        <v>1.0401587046271067E-2</v>
      </c>
      <c r="V101" s="145"/>
      <c r="W101" s="145"/>
      <c r="X101" s="145"/>
      <c r="Y101" s="366" t="s">
        <v>174</v>
      </c>
      <c r="Z101" s="366" t="s">
        <v>216</v>
      </c>
      <c r="AA101" s="367" t="s">
        <v>480</v>
      </c>
      <c r="AB101" s="367" t="s">
        <v>481</v>
      </c>
      <c r="AC101" s="367">
        <v>1</v>
      </c>
      <c r="AD101" s="446" t="s">
        <v>463</v>
      </c>
    </row>
    <row r="102" spans="2:39" s="147" customFormat="1" ht="27" hidden="1" customHeight="1">
      <c r="B102" s="894"/>
      <c r="C102" s="895"/>
      <c r="D102" s="361">
        <v>8</v>
      </c>
      <c r="E102" s="440" t="s">
        <v>635</v>
      </c>
      <c r="F102" s="364">
        <f t="shared" si="51"/>
        <v>4664.6466000000055</v>
      </c>
      <c r="G102" s="365">
        <v>49.82</v>
      </c>
      <c r="H102" s="442">
        <v>3175.25</v>
      </c>
      <c r="I102" s="442">
        <v>3175.25</v>
      </c>
      <c r="J102" s="444">
        <f t="shared" si="52"/>
        <v>1</v>
      </c>
      <c r="K102" s="443">
        <v>3175.25</v>
      </c>
      <c r="L102" s="444">
        <f t="shared" si="53"/>
        <v>1</v>
      </c>
      <c r="M102" s="443">
        <v>93.63</v>
      </c>
      <c r="N102" s="444">
        <f t="shared" si="54"/>
        <v>2.9487441933706005E-2</v>
      </c>
      <c r="O102" s="445">
        <f t="shared" si="55"/>
        <v>3268.88</v>
      </c>
      <c r="P102" s="444">
        <f t="shared" si="56"/>
        <v>1.0294874419337061</v>
      </c>
      <c r="Q102" s="442">
        <v>19.990000000000002</v>
      </c>
      <c r="R102" s="444">
        <f t="shared" si="57"/>
        <v>6.2955672781670738E-3</v>
      </c>
      <c r="S102" s="452">
        <f t="shared" si="58"/>
        <v>995.90180000000009</v>
      </c>
      <c r="T102" s="445">
        <f t="shared" si="59"/>
        <v>93.630000000000109</v>
      </c>
      <c r="U102" s="444">
        <f t="shared" si="60"/>
        <v>2.9487441933706043E-2</v>
      </c>
      <c r="V102" s="145"/>
      <c r="W102" s="145"/>
      <c r="X102" s="145"/>
      <c r="Y102" s="366" t="s">
        <v>174</v>
      </c>
      <c r="Z102" s="366" t="s">
        <v>428</v>
      </c>
      <c r="AA102" s="367" t="s">
        <v>479</v>
      </c>
      <c r="AB102" s="367" t="s">
        <v>477</v>
      </c>
      <c r="AC102" s="367">
        <v>1</v>
      </c>
      <c r="AD102" s="446" t="s">
        <v>616</v>
      </c>
    </row>
    <row r="103" spans="2:39" s="147" customFormat="1" ht="27" hidden="1" customHeight="1">
      <c r="B103" s="894"/>
      <c r="C103" s="895"/>
      <c r="D103" s="361">
        <v>9</v>
      </c>
      <c r="E103" s="440" t="s">
        <v>619</v>
      </c>
      <c r="F103" s="364">
        <f t="shared" si="51"/>
        <v>4363.6241999999538</v>
      </c>
      <c r="G103" s="365">
        <v>39.389999999999993</v>
      </c>
      <c r="H103" s="442">
        <v>7006.3500000000013</v>
      </c>
      <c r="I103" s="442">
        <v>7006.3500000000013</v>
      </c>
      <c r="J103" s="444">
        <f t="shared" si="52"/>
        <v>1</v>
      </c>
      <c r="K103" s="443">
        <v>7015.13</v>
      </c>
      <c r="L103" s="444">
        <f t="shared" si="53"/>
        <v>1.0012531489291856</v>
      </c>
      <c r="M103" s="443">
        <v>102.00000000000001</v>
      </c>
      <c r="N103" s="444">
        <f t="shared" si="54"/>
        <v>1.455822218416151E-2</v>
      </c>
      <c r="O103" s="445">
        <f t="shared" si="55"/>
        <v>7117.13</v>
      </c>
      <c r="P103" s="444">
        <f t="shared" si="56"/>
        <v>1.015811371113347</v>
      </c>
      <c r="Q103" s="442">
        <v>31.970000000000002</v>
      </c>
      <c r="R103" s="444">
        <f t="shared" si="57"/>
        <v>4.5630035610553276E-3</v>
      </c>
      <c r="S103" s="452">
        <f t="shared" si="58"/>
        <v>1259.2982999999999</v>
      </c>
      <c r="T103" s="445">
        <f t="shared" si="59"/>
        <v>110.77999999999884</v>
      </c>
      <c r="U103" s="444">
        <f t="shared" si="60"/>
        <v>1.581137111334701E-2</v>
      </c>
      <c r="V103" s="145"/>
      <c r="W103" s="145"/>
      <c r="X103" s="145"/>
      <c r="Y103" s="366" t="s">
        <v>174</v>
      </c>
      <c r="Z103" s="366" t="s">
        <v>216</v>
      </c>
      <c r="AA103" s="367" t="s">
        <v>682</v>
      </c>
      <c r="AB103" s="367" t="s">
        <v>683</v>
      </c>
      <c r="AC103" s="367">
        <v>1</v>
      </c>
      <c r="AD103" s="446" t="s">
        <v>614</v>
      </c>
      <c r="AH103" s="370"/>
    </row>
    <row r="104" spans="2:39" s="147" customFormat="1" ht="27" hidden="1" customHeight="1">
      <c r="B104" s="894"/>
      <c r="C104" s="895"/>
      <c r="D104" s="361">
        <v>10</v>
      </c>
      <c r="E104" s="440" t="s">
        <v>695</v>
      </c>
      <c r="F104" s="364">
        <f t="shared" si="51"/>
        <v>4259.2104000000018</v>
      </c>
      <c r="G104" s="365">
        <v>351.42</v>
      </c>
      <c r="H104" s="442">
        <v>483.08999999999992</v>
      </c>
      <c r="I104" s="442">
        <v>483.08999999999992</v>
      </c>
      <c r="J104" s="444">
        <f t="shared" si="52"/>
        <v>1</v>
      </c>
      <c r="K104" s="443">
        <v>483.08999999999992</v>
      </c>
      <c r="L104" s="444">
        <f t="shared" si="53"/>
        <v>1</v>
      </c>
      <c r="M104" s="443">
        <v>12.119999999999997</v>
      </c>
      <c r="N104" s="444">
        <f t="shared" si="54"/>
        <v>2.508849282742346E-2</v>
      </c>
      <c r="O104" s="445">
        <f t="shared" si="55"/>
        <v>495.20999999999992</v>
      </c>
      <c r="P104" s="444">
        <f t="shared" si="56"/>
        <v>1.0250884928274235</v>
      </c>
      <c r="Q104" s="442">
        <v>1.5399999999999998</v>
      </c>
      <c r="R104" s="444">
        <f t="shared" si="57"/>
        <v>3.1878117949036412E-3</v>
      </c>
      <c r="S104" s="452">
        <f t="shared" si="58"/>
        <v>541.18679999999995</v>
      </c>
      <c r="T104" s="445">
        <f t="shared" si="59"/>
        <v>12.120000000000005</v>
      </c>
      <c r="U104" s="444">
        <f t="shared" si="60"/>
        <v>2.5088492827423474E-2</v>
      </c>
      <c r="V104" s="145"/>
      <c r="W104" s="145"/>
      <c r="X104" s="145"/>
      <c r="Y104" s="366" t="s">
        <v>174</v>
      </c>
      <c r="Z104" s="366" t="s">
        <v>428</v>
      </c>
      <c r="AA104" s="367" t="s">
        <v>704</v>
      </c>
      <c r="AB104" s="367" t="s">
        <v>684</v>
      </c>
      <c r="AC104" s="367">
        <v>1</v>
      </c>
      <c r="AD104" s="446" t="s">
        <v>664</v>
      </c>
      <c r="AH104" s="370"/>
    </row>
    <row r="105" spans="2:39" s="147" customFormat="1" ht="27" hidden="1" customHeight="1">
      <c r="B105" s="894"/>
      <c r="C105" s="895"/>
      <c r="D105" s="361">
        <v>11</v>
      </c>
      <c r="E105" s="440" t="s">
        <v>696</v>
      </c>
      <c r="F105" s="364">
        <f t="shared" si="51"/>
        <v>4127.3453999999929</v>
      </c>
      <c r="G105" s="365">
        <v>98.060000000000016</v>
      </c>
      <c r="H105" s="442">
        <v>1507.1899999999998</v>
      </c>
      <c r="I105" s="442">
        <v>1507.1899999999998</v>
      </c>
      <c r="J105" s="444">
        <f t="shared" si="52"/>
        <v>1</v>
      </c>
      <c r="K105" s="443">
        <v>1507.1899999999998</v>
      </c>
      <c r="L105" s="444">
        <f t="shared" si="53"/>
        <v>1</v>
      </c>
      <c r="M105" s="443">
        <v>42.089999999999996</v>
      </c>
      <c r="N105" s="444">
        <f t="shared" si="54"/>
        <v>2.7926140698916527E-2</v>
      </c>
      <c r="O105" s="445">
        <f t="shared" si="55"/>
        <v>1549.2799999999997</v>
      </c>
      <c r="P105" s="444">
        <f t="shared" si="56"/>
        <v>1.0279261406989164</v>
      </c>
      <c r="Q105" s="442">
        <v>8.7899999999999991</v>
      </c>
      <c r="R105" s="444">
        <f t="shared" si="57"/>
        <v>5.8320450639932587E-3</v>
      </c>
      <c r="S105" s="452">
        <f t="shared" si="58"/>
        <v>861.94740000000002</v>
      </c>
      <c r="T105" s="445">
        <f t="shared" si="59"/>
        <v>42.089999999999918</v>
      </c>
      <c r="U105" s="444">
        <f t="shared" si="60"/>
        <v>2.7926140698916475E-2</v>
      </c>
      <c r="V105" s="145"/>
      <c r="W105" s="145"/>
      <c r="X105" s="145"/>
      <c r="Y105" s="366" t="s">
        <v>174</v>
      </c>
      <c r="Z105" s="366" t="s">
        <v>428</v>
      </c>
      <c r="AA105" s="367" t="s">
        <v>479</v>
      </c>
      <c r="AB105" s="367" t="s">
        <v>477</v>
      </c>
      <c r="AC105" s="367">
        <v>1</v>
      </c>
      <c r="AD105" s="446" t="s">
        <v>664</v>
      </c>
      <c r="AH105" s="370"/>
    </row>
    <row r="106" spans="2:39" s="147" customFormat="1" ht="27" hidden="1" customHeight="1">
      <c r="B106" s="894"/>
      <c r="C106" s="895"/>
      <c r="D106" s="361">
        <v>12</v>
      </c>
      <c r="E106" s="440" t="s">
        <v>653</v>
      </c>
      <c r="F106" s="364">
        <f t="shared" si="51"/>
        <v>3978.5405999999944</v>
      </c>
      <c r="G106" s="365">
        <v>40.420000000000009</v>
      </c>
      <c r="H106" s="442">
        <v>3099.3199999999997</v>
      </c>
      <c r="I106" s="442">
        <v>3099.3199999999997</v>
      </c>
      <c r="J106" s="444">
        <f t="shared" si="52"/>
        <v>1</v>
      </c>
      <c r="K106" s="443">
        <v>3099.3199999999997</v>
      </c>
      <c r="L106" s="444">
        <f t="shared" si="53"/>
        <v>1</v>
      </c>
      <c r="M106" s="443">
        <v>98.43</v>
      </c>
      <c r="N106" s="444">
        <f t="shared" si="54"/>
        <v>3.1758579301266091E-2</v>
      </c>
      <c r="O106" s="445">
        <f t="shared" si="55"/>
        <v>3197.7499999999995</v>
      </c>
      <c r="P106" s="444">
        <f t="shared" si="56"/>
        <v>1.031758579301266</v>
      </c>
      <c r="Q106" s="442">
        <v>25.94</v>
      </c>
      <c r="R106" s="444">
        <f t="shared" si="57"/>
        <v>8.3695778428816651E-3</v>
      </c>
      <c r="S106" s="452">
        <f t="shared" si="58"/>
        <v>1048.4948000000002</v>
      </c>
      <c r="T106" s="445">
        <f t="shared" si="59"/>
        <v>98.429999999999836</v>
      </c>
      <c r="U106" s="444">
        <f t="shared" si="60"/>
        <v>3.1758579301266035E-2</v>
      </c>
      <c r="V106" s="145"/>
      <c r="W106" s="145"/>
      <c r="X106" s="145"/>
      <c r="Y106" s="366" t="s">
        <v>174</v>
      </c>
      <c r="Z106" s="366" t="s">
        <v>428</v>
      </c>
      <c r="AA106" s="367" t="s">
        <v>682</v>
      </c>
      <c r="AB106" s="367" t="s">
        <v>683</v>
      </c>
      <c r="AC106" s="367">
        <v>1</v>
      </c>
      <c r="AD106" s="446" t="s">
        <v>650</v>
      </c>
      <c r="AH106" s="370"/>
    </row>
    <row r="107" spans="2:39" s="147" customFormat="1" ht="27" hidden="1" customHeight="1">
      <c r="B107" s="894"/>
      <c r="C107" s="895"/>
      <c r="D107" s="361">
        <v>13</v>
      </c>
      <c r="E107" s="440" t="s">
        <v>583</v>
      </c>
      <c r="F107" s="364">
        <f t="shared" si="51"/>
        <v>3877.62479999999</v>
      </c>
      <c r="G107" s="365">
        <v>113.68000000000004</v>
      </c>
      <c r="H107" s="442">
        <v>1279.5999999999999</v>
      </c>
      <c r="I107" s="442">
        <v>1279.5999999999999</v>
      </c>
      <c r="J107" s="444">
        <f t="shared" si="52"/>
        <v>1</v>
      </c>
      <c r="K107" s="443">
        <v>1279.5999999999999</v>
      </c>
      <c r="L107" s="444">
        <f t="shared" si="53"/>
        <v>1</v>
      </c>
      <c r="M107" s="443">
        <v>34.11</v>
      </c>
      <c r="N107" s="444">
        <f t="shared" si="54"/>
        <v>2.6656767739918725E-2</v>
      </c>
      <c r="O107" s="445">
        <f t="shared" si="55"/>
        <v>1313.7099999999998</v>
      </c>
      <c r="P107" s="444">
        <f t="shared" si="56"/>
        <v>1.0266567677399185</v>
      </c>
      <c r="Q107" s="442">
        <v>8.75</v>
      </c>
      <c r="R107" s="444">
        <f t="shared" si="57"/>
        <v>6.8380743982494538E-3</v>
      </c>
      <c r="S107" s="452">
        <f t="shared" si="58"/>
        <v>994.70000000000027</v>
      </c>
      <c r="T107" s="445">
        <f t="shared" si="59"/>
        <v>34.1099999999999</v>
      </c>
      <c r="U107" s="444">
        <f t="shared" si="60"/>
        <v>2.6656767739918649E-2</v>
      </c>
      <c r="V107" s="145"/>
      <c r="W107" s="145"/>
      <c r="X107" s="145"/>
      <c r="Y107" s="366" t="s">
        <v>174</v>
      </c>
      <c r="Z107" s="366" t="s">
        <v>428</v>
      </c>
      <c r="AA107" s="367" t="s">
        <v>479</v>
      </c>
      <c r="AB107" s="367" t="s">
        <v>477</v>
      </c>
      <c r="AC107" s="367">
        <v>1</v>
      </c>
      <c r="AD107" s="446" t="s">
        <v>566</v>
      </c>
      <c r="AH107" s="370"/>
    </row>
    <row r="108" spans="2:39" s="147" customFormat="1" ht="27" hidden="1" customHeight="1">
      <c r="B108" s="894"/>
      <c r="C108" s="895"/>
      <c r="D108" s="361">
        <v>14</v>
      </c>
      <c r="E108" s="440" t="s">
        <v>631</v>
      </c>
      <c r="F108" s="364">
        <f t="shared" si="51"/>
        <v>3869.7813000000028</v>
      </c>
      <c r="G108" s="365">
        <v>43.889999999999993</v>
      </c>
      <c r="H108" s="442">
        <v>3500.59</v>
      </c>
      <c r="I108" s="442">
        <v>3500.59</v>
      </c>
      <c r="J108" s="444">
        <f t="shared" si="52"/>
        <v>1</v>
      </c>
      <c r="K108" s="443">
        <v>3500.59</v>
      </c>
      <c r="L108" s="444">
        <f t="shared" si="53"/>
        <v>1</v>
      </c>
      <c r="M108" s="443">
        <v>88.17</v>
      </c>
      <c r="N108" s="444">
        <f t="shared" si="54"/>
        <v>2.5187182732053739E-2</v>
      </c>
      <c r="O108" s="445">
        <f t="shared" si="55"/>
        <v>3588.76</v>
      </c>
      <c r="P108" s="444">
        <f t="shared" si="56"/>
        <v>1.0251871827320538</v>
      </c>
      <c r="Q108" s="442">
        <v>22.84</v>
      </c>
      <c r="R108" s="444">
        <f t="shared" si="57"/>
        <v>6.5246144221402678E-3</v>
      </c>
      <c r="S108" s="452">
        <f t="shared" si="58"/>
        <v>1002.4475999999999</v>
      </c>
      <c r="T108" s="445">
        <f t="shared" si="59"/>
        <v>88.170000000000073</v>
      </c>
      <c r="U108" s="444">
        <f t="shared" si="60"/>
        <v>2.518718273205376E-2</v>
      </c>
      <c r="V108" s="145"/>
      <c r="W108" s="145"/>
      <c r="X108" s="145"/>
      <c r="Y108" s="366" t="s">
        <v>174</v>
      </c>
      <c r="Z108" s="366" t="s">
        <v>216</v>
      </c>
      <c r="AA108" s="367" t="s">
        <v>682</v>
      </c>
      <c r="AB108" s="367" t="s">
        <v>683</v>
      </c>
      <c r="AC108" s="367">
        <v>1</v>
      </c>
      <c r="AD108" s="446" t="s">
        <v>630</v>
      </c>
      <c r="AF108" s="918" t="s">
        <v>247</v>
      </c>
      <c r="AG108" s="919"/>
      <c r="AH108" s="919"/>
      <c r="AI108" s="919"/>
      <c r="AJ108" s="919"/>
      <c r="AK108" s="919"/>
      <c r="AL108" s="919"/>
      <c r="AM108" s="920"/>
    </row>
    <row r="109" spans="2:39" s="147" customFormat="1" ht="27" hidden="1" customHeight="1">
      <c r="B109" s="894"/>
      <c r="C109" s="895"/>
      <c r="D109" s="361">
        <v>15</v>
      </c>
      <c r="E109" s="440" t="s">
        <v>544</v>
      </c>
      <c r="F109" s="364">
        <f t="shared" si="51"/>
        <v>3831.9534000000067</v>
      </c>
      <c r="G109" s="365">
        <v>62.43</v>
      </c>
      <c r="H109" s="442">
        <v>2296.34</v>
      </c>
      <c r="I109" s="442">
        <v>2296.34</v>
      </c>
      <c r="J109" s="444">
        <f t="shared" si="52"/>
        <v>1</v>
      </c>
      <c r="K109" s="443">
        <v>2296.34</v>
      </c>
      <c r="L109" s="444">
        <f t="shared" si="53"/>
        <v>1</v>
      </c>
      <c r="M109" s="443">
        <v>61.379999999999995</v>
      </c>
      <c r="N109" s="444">
        <f t="shared" si="54"/>
        <v>2.6729491277424071E-2</v>
      </c>
      <c r="O109" s="445">
        <f t="shared" si="55"/>
        <v>2357.7200000000003</v>
      </c>
      <c r="P109" s="444">
        <f t="shared" si="56"/>
        <v>1.0267294912774241</v>
      </c>
      <c r="Q109" s="442">
        <v>25.980000000000004</v>
      </c>
      <c r="R109" s="444">
        <f t="shared" si="57"/>
        <v>1.1313655643328079E-2</v>
      </c>
      <c r="S109" s="452">
        <f t="shared" si="58"/>
        <v>1621.9314000000002</v>
      </c>
      <c r="T109" s="445">
        <f t="shared" si="59"/>
        <v>61.380000000000109</v>
      </c>
      <c r="U109" s="444">
        <f t="shared" si="60"/>
        <v>2.6729491277424119E-2</v>
      </c>
      <c r="V109" s="145"/>
      <c r="W109" s="145"/>
      <c r="X109" s="145"/>
      <c r="Y109" s="366" t="s">
        <v>174</v>
      </c>
      <c r="Z109" s="366" t="s">
        <v>216</v>
      </c>
      <c r="AA109" s="367" t="s">
        <v>682</v>
      </c>
      <c r="AB109" s="367" t="s">
        <v>683</v>
      </c>
      <c r="AC109" s="367">
        <v>1</v>
      </c>
      <c r="AD109" s="446" t="s">
        <v>543</v>
      </c>
      <c r="AF109" s="921"/>
      <c r="AG109" s="922"/>
      <c r="AH109" s="922"/>
      <c r="AI109" s="922"/>
      <c r="AJ109" s="922"/>
      <c r="AK109" s="922"/>
      <c r="AL109" s="922"/>
      <c r="AM109" s="923"/>
    </row>
    <row r="110" spans="2:39" s="147" customFormat="1" ht="27" hidden="1" customHeight="1">
      <c r="B110" s="894"/>
      <c r="C110" s="895"/>
      <c r="D110" s="361">
        <v>16</v>
      </c>
      <c r="E110" s="440" t="s">
        <v>432</v>
      </c>
      <c r="F110" s="364">
        <f t="shared" si="51"/>
        <v>3813.9304000000043</v>
      </c>
      <c r="G110" s="365">
        <v>368.13999999999993</v>
      </c>
      <c r="H110" s="442">
        <v>416.59000000000003</v>
      </c>
      <c r="I110" s="442">
        <v>416.59000000000003</v>
      </c>
      <c r="J110" s="444">
        <f t="shared" si="52"/>
        <v>1</v>
      </c>
      <c r="K110" s="443">
        <v>416.59000000000003</v>
      </c>
      <c r="L110" s="444">
        <f t="shared" si="53"/>
        <v>1</v>
      </c>
      <c r="M110" s="443">
        <v>10.36</v>
      </c>
      <c r="N110" s="444">
        <f t="shared" si="54"/>
        <v>2.4868575817950499E-2</v>
      </c>
      <c r="O110" s="445">
        <f t="shared" si="55"/>
        <v>426.95000000000005</v>
      </c>
      <c r="P110" s="444">
        <f t="shared" si="56"/>
        <v>1.0248685758179505</v>
      </c>
      <c r="Q110" s="442">
        <v>2.75</v>
      </c>
      <c r="R110" s="444">
        <f t="shared" si="57"/>
        <v>6.6012146234907219E-3</v>
      </c>
      <c r="S110" s="452">
        <f t="shared" si="58"/>
        <v>1012.3849999999998</v>
      </c>
      <c r="T110" s="445">
        <f t="shared" si="59"/>
        <v>10.360000000000014</v>
      </c>
      <c r="U110" s="444">
        <f t="shared" si="60"/>
        <v>2.4868575817950534E-2</v>
      </c>
      <c r="V110" s="145"/>
      <c r="W110" s="145"/>
      <c r="X110" s="145"/>
      <c r="Y110" s="366" t="s">
        <v>174</v>
      </c>
      <c r="Z110" s="366" t="s">
        <v>428</v>
      </c>
      <c r="AA110" s="367" t="s">
        <v>704</v>
      </c>
      <c r="AB110" s="367" t="s">
        <v>684</v>
      </c>
      <c r="AC110" s="367">
        <v>1</v>
      </c>
      <c r="AD110" s="446" t="s">
        <v>433</v>
      </c>
      <c r="AF110" s="924"/>
      <c r="AG110" s="925"/>
      <c r="AH110" s="925"/>
      <c r="AI110" s="925"/>
      <c r="AJ110" s="925"/>
      <c r="AK110" s="925"/>
      <c r="AL110" s="925"/>
      <c r="AM110" s="926"/>
    </row>
    <row r="111" spans="2:39" s="147" customFormat="1" ht="27" hidden="1" customHeight="1">
      <c r="B111" s="894"/>
      <c r="C111" s="895"/>
      <c r="D111" s="361">
        <v>17</v>
      </c>
      <c r="E111" s="440" t="s">
        <v>545</v>
      </c>
      <c r="F111" s="364">
        <f t="shared" si="51"/>
        <v>3768.7487000000006</v>
      </c>
      <c r="G111" s="365">
        <v>66.13</v>
      </c>
      <c r="H111" s="442">
        <v>1931.02</v>
      </c>
      <c r="I111" s="442">
        <v>1931.02</v>
      </c>
      <c r="J111" s="444">
        <f t="shared" si="52"/>
        <v>1</v>
      </c>
      <c r="K111" s="443">
        <v>1931.02</v>
      </c>
      <c r="L111" s="444">
        <f t="shared" si="53"/>
        <v>1</v>
      </c>
      <c r="M111" s="443">
        <v>56.99</v>
      </c>
      <c r="N111" s="444">
        <f t="shared" si="54"/>
        <v>2.9512899918177959E-2</v>
      </c>
      <c r="O111" s="445">
        <f t="shared" si="55"/>
        <v>1988.01</v>
      </c>
      <c r="P111" s="444">
        <f t="shared" si="56"/>
        <v>1.029512899918178</v>
      </c>
      <c r="Q111" s="442">
        <v>15.62</v>
      </c>
      <c r="R111" s="444">
        <f t="shared" si="57"/>
        <v>8.0889892388478629E-3</v>
      </c>
      <c r="S111" s="452">
        <f t="shared" si="58"/>
        <v>1032.9505999999999</v>
      </c>
      <c r="T111" s="445">
        <f t="shared" si="59"/>
        <v>56.990000000000009</v>
      </c>
      <c r="U111" s="444">
        <f t="shared" si="60"/>
        <v>2.9512899918177963E-2</v>
      </c>
      <c r="V111" s="145"/>
      <c r="W111" s="145"/>
      <c r="X111" s="145"/>
      <c r="Y111" s="366" t="s">
        <v>174</v>
      </c>
      <c r="Z111" s="366" t="s">
        <v>428</v>
      </c>
      <c r="AA111" s="367" t="s">
        <v>479</v>
      </c>
      <c r="AB111" s="367" t="s">
        <v>477</v>
      </c>
      <c r="AC111" s="367">
        <v>1</v>
      </c>
      <c r="AD111" s="446" t="s">
        <v>341</v>
      </c>
      <c r="AF111" s="160" t="s">
        <v>244</v>
      </c>
      <c r="AG111" s="160" t="s">
        <v>445</v>
      </c>
      <c r="AH111" s="155" t="s">
        <v>383</v>
      </c>
      <c r="AI111" s="155" t="s">
        <v>337</v>
      </c>
      <c r="AJ111" s="155" t="s">
        <v>428</v>
      </c>
      <c r="AK111" s="155" t="s">
        <v>215</v>
      </c>
      <c r="AL111" s="155" t="s">
        <v>216</v>
      </c>
      <c r="AM111" s="155" t="s">
        <v>384</v>
      </c>
    </row>
    <row r="112" spans="2:39" s="147" customFormat="1" ht="27" hidden="1" customHeight="1">
      <c r="B112" s="894"/>
      <c r="C112" s="895"/>
      <c r="D112" s="361">
        <v>18</v>
      </c>
      <c r="E112" s="440" t="s">
        <v>470</v>
      </c>
      <c r="F112" s="364">
        <f t="shared" si="51"/>
        <v>3727.9199999999996</v>
      </c>
      <c r="G112" s="365">
        <v>266.27999999999997</v>
      </c>
      <c r="H112" s="442">
        <v>1257.02</v>
      </c>
      <c r="I112" s="442">
        <v>1257.02</v>
      </c>
      <c r="J112" s="444">
        <f t="shared" si="52"/>
        <v>1</v>
      </c>
      <c r="K112" s="443">
        <v>1257.02</v>
      </c>
      <c r="L112" s="444">
        <f t="shared" si="53"/>
        <v>1</v>
      </c>
      <c r="M112" s="443">
        <v>14</v>
      </c>
      <c r="N112" s="444">
        <f t="shared" si="54"/>
        <v>1.1137452069179488E-2</v>
      </c>
      <c r="O112" s="445">
        <f t="shared" si="55"/>
        <v>1271.02</v>
      </c>
      <c r="P112" s="444">
        <f t="shared" si="56"/>
        <v>1.0111374520691796</v>
      </c>
      <c r="Q112" s="442">
        <v>3.2700000000000005</v>
      </c>
      <c r="R112" s="444">
        <f t="shared" si="57"/>
        <v>2.6013905904440663E-3</v>
      </c>
      <c r="S112" s="452">
        <f t="shared" si="58"/>
        <v>870.73560000000009</v>
      </c>
      <c r="T112" s="445">
        <f t="shared" si="59"/>
        <v>14</v>
      </c>
      <c r="U112" s="444">
        <f t="shared" si="60"/>
        <v>1.1137452069179488E-2</v>
      </c>
      <c r="V112" s="145"/>
      <c r="W112" s="145"/>
      <c r="X112" s="145"/>
      <c r="Y112" s="366" t="s">
        <v>174</v>
      </c>
      <c r="Z112" s="366" t="s">
        <v>428</v>
      </c>
      <c r="AA112" s="367" t="s">
        <v>659</v>
      </c>
      <c r="AB112" s="367" t="s">
        <v>684</v>
      </c>
      <c r="AC112" s="367">
        <v>1</v>
      </c>
      <c r="AD112" s="446" t="s">
        <v>471</v>
      </c>
      <c r="AE112" s="453" t="s">
        <v>610</v>
      </c>
      <c r="AF112" s="374">
        <f>AF31+AF53+AF7+AF75+AF97</f>
        <v>100</v>
      </c>
      <c r="AG112" s="374">
        <f>AG31+AG53+AG7+AG75+AG97</f>
        <v>0</v>
      </c>
      <c r="AH112" s="374">
        <f t="shared" ref="AH112:AM113" si="64">AH31+AH53+AH7+AH75+AH97</f>
        <v>0</v>
      </c>
      <c r="AI112" s="374">
        <f t="shared" si="64"/>
        <v>0</v>
      </c>
      <c r="AJ112" s="374">
        <f t="shared" si="64"/>
        <v>58</v>
      </c>
      <c r="AK112" s="374">
        <f t="shared" si="64"/>
        <v>5</v>
      </c>
      <c r="AL112" s="374">
        <f t="shared" si="64"/>
        <v>37</v>
      </c>
      <c r="AM112" s="374">
        <f t="shared" si="64"/>
        <v>0</v>
      </c>
    </row>
    <row r="113" spans="2:39" s="147" customFormat="1" ht="27" hidden="1" customHeight="1">
      <c r="B113" s="894"/>
      <c r="C113" s="895"/>
      <c r="D113" s="361">
        <v>19</v>
      </c>
      <c r="E113" s="440" t="s">
        <v>483</v>
      </c>
      <c r="F113" s="364">
        <f t="shared" si="51"/>
        <v>3627.2929000000067</v>
      </c>
      <c r="G113" s="365">
        <v>370.50999999999993</v>
      </c>
      <c r="H113" s="442">
        <v>386.56</v>
      </c>
      <c r="I113" s="442">
        <v>386.56</v>
      </c>
      <c r="J113" s="444">
        <f t="shared" si="52"/>
        <v>1</v>
      </c>
      <c r="K113" s="443">
        <v>386.56</v>
      </c>
      <c r="L113" s="444">
        <f t="shared" si="53"/>
        <v>1</v>
      </c>
      <c r="M113" s="443">
        <v>9.7899999999999991</v>
      </c>
      <c r="N113" s="444">
        <f t="shared" si="54"/>
        <v>2.5325951986754965E-2</v>
      </c>
      <c r="O113" s="445">
        <f t="shared" si="55"/>
        <v>396.35</v>
      </c>
      <c r="P113" s="444">
        <f t="shared" si="56"/>
        <v>1.025325951986755</v>
      </c>
      <c r="Q113" s="442">
        <v>2.68</v>
      </c>
      <c r="R113" s="444">
        <f t="shared" si="57"/>
        <v>6.9329470198675504E-3</v>
      </c>
      <c r="S113" s="452">
        <f t="shared" si="58"/>
        <v>992.96679999999992</v>
      </c>
      <c r="T113" s="445">
        <f t="shared" si="59"/>
        <v>9.7900000000000205</v>
      </c>
      <c r="U113" s="444">
        <f t="shared" si="60"/>
        <v>2.5325951986755021E-2</v>
      </c>
      <c r="V113" s="145"/>
      <c r="W113" s="145"/>
      <c r="X113" s="145"/>
      <c r="Y113" s="366" t="s">
        <v>174</v>
      </c>
      <c r="Z113" s="366" t="s">
        <v>428</v>
      </c>
      <c r="AA113" s="367" t="s">
        <v>704</v>
      </c>
      <c r="AB113" s="367" t="s">
        <v>684</v>
      </c>
      <c r="AC113" s="367">
        <v>1</v>
      </c>
      <c r="AD113" s="446" t="s">
        <v>353</v>
      </c>
      <c r="AF113" s="375"/>
      <c r="AG113" s="374">
        <f>AG32+AG54+AG8+AG76+AG98</f>
        <v>0</v>
      </c>
      <c r="AH113" s="374">
        <f t="shared" si="64"/>
        <v>0</v>
      </c>
      <c r="AI113" s="374">
        <f t="shared" si="64"/>
        <v>0</v>
      </c>
      <c r="AJ113" s="374">
        <f t="shared" si="64"/>
        <v>289451.13219999993</v>
      </c>
      <c r="AK113" s="374">
        <f t="shared" si="64"/>
        <v>61171.655599999933</v>
      </c>
      <c r="AL113" s="374">
        <f t="shared" si="64"/>
        <v>214304.63423000017</v>
      </c>
      <c r="AM113" s="374">
        <f t="shared" si="64"/>
        <v>0</v>
      </c>
    </row>
    <row r="114" spans="2:39" s="147" customFormat="1" ht="27" hidden="1" customHeight="1">
      <c r="B114" s="896"/>
      <c r="C114" s="897"/>
      <c r="D114" s="361">
        <v>20</v>
      </c>
      <c r="E114" s="440" t="s">
        <v>599</v>
      </c>
      <c r="F114" s="364">
        <f t="shared" si="51"/>
        <v>3578.220799999991</v>
      </c>
      <c r="G114" s="365">
        <v>153.44000000000003</v>
      </c>
      <c r="H114" s="442">
        <v>1698.1799999999998</v>
      </c>
      <c r="I114" s="442">
        <v>1698.1799999999998</v>
      </c>
      <c r="J114" s="444">
        <f t="shared" si="52"/>
        <v>1</v>
      </c>
      <c r="K114" s="443">
        <v>1698.1799999999998</v>
      </c>
      <c r="L114" s="444">
        <f t="shared" si="53"/>
        <v>1</v>
      </c>
      <c r="M114" s="443">
        <v>23.320000000000004</v>
      </c>
      <c r="N114" s="444">
        <f t="shared" si="54"/>
        <v>1.3732348749838065E-2</v>
      </c>
      <c r="O114" s="445">
        <f t="shared" si="55"/>
        <v>1721.4999999999998</v>
      </c>
      <c r="P114" s="444">
        <f t="shared" si="56"/>
        <v>1.013732348749838</v>
      </c>
      <c r="Q114" s="442">
        <v>5.62</v>
      </c>
      <c r="R114" s="444">
        <f t="shared" si="57"/>
        <v>3.3094253848237527E-3</v>
      </c>
      <c r="S114" s="452">
        <f t="shared" si="58"/>
        <v>862.33280000000013</v>
      </c>
      <c r="T114" s="445">
        <f t="shared" si="59"/>
        <v>23.319999999999936</v>
      </c>
      <c r="U114" s="444">
        <f t="shared" si="60"/>
        <v>1.3732348749838025E-2</v>
      </c>
      <c r="V114" s="145"/>
      <c r="W114" s="145"/>
      <c r="X114" s="145"/>
      <c r="Y114" s="366" t="s">
        <v>174</v>
      </c>
      <c r="Z114" s="366" t="s">
        <v>428</v>
      </c>
      <c r="AA114" s="367" t="s">
        <v>607</v>
      </c>
      <c r="AB114" s="367" t="s">
        <v>705</v>
      </c>
      <c r="AC114" s="367">
        <v>1</v>
      </c>
      <c r="AD114" s="446" t="s">
        <v>465</v>
      </c>
      <c r="AF114" s="361"/>
      <c r="AG114" s="373">
        <f>AG112/$AF112</f>
        <v>0</v>
      </c>
      <c r="AH114" s="373">
        <f t="shared" ref="AH114:AM114" si="65">AH112/$AF112</f>
        <v>0</v>
      </c>
      <c r="AI114" s="373">
        <f t="shared" si="65"/>
        <v>0</v>
      </c>
      <c r="AJ114" s="373">
        <f t="shared" si="65"/>
        <v>0.57999999999999996</v>
      </c>
      <c r="AK114" s="373">
        <f t="shared" si="65"/>
        <v>0.05</v>
      </c>
      <c r="AL114" s="373">
        <f t="shared" si="65"/>
        <v>0.37</v>
      </c>
      <c r="AM114" s="373">
        <f t="shared" si="65"/>
        <v>0</v>
      </c>
    </row>
    <row r="115" spans="2:39" ht="17.100000000000001" customHeight="1">
      <c r="B115" s="898" t="s">
        <v>442</v>
      </c>
      <c r="C115" s="899"/>
      <c r="D115" s="902" t="s">
        <v>549</v>
      </c>
      <c r="E115" s="903" t="s">
        <v>550</v>
      </c>
      <c r="F115" s="953" t="s">
        <v>567</v>
      </c>
      <c r="G115" s="881" t="s">
        <v>552</v>
      </c>
      <c r="H115" s="905" t="s">
        <v>553</v>
      </c>
      <c r="I115" s="906" t="s">
        <v>554</v>
      </c>
      <c r="J115" s="907"/>
      <c r="K115" s="906" t="s">
        <v>555</v>
      </c>
      <c r="L115" s="907"/>
      <c r="M115" s="906" t="s">
        <v>556</v>
      </c>
      <c r="N115" s="907"/>
      <c r="O115" s="906" t="s">
        <v>557</v>
      </c>
      <c r="P115" s="907"/>
      <c r="Q115" s="906" t="s">
        <v>418</v>
      </c>
      <c r="R115" s="954"/>
      <c r="S115" s="907"/>
      <c r="T115" s="908" t="s">
        <v>743</v>
      </c>
      <c r="U115" s="909"/>
      <c r="V115" s="911" t="s">
        <v>742</v>
      </c>
      <c r="W115" s="912"/>
      <c r="X115" s="913"/>
      <c r="Y115" s="914" t="s">
        <v>171</v>
      </c>
      <c r="Z115" s="914" t="s">
        <v>245</v>
      </c>
      <c r="AA115" s="914" t="s">
        <v>558</v>
      </c>
      <c r="AB115" s="914" t="s">
        <v>444</v>
      </c>
      <c r="AC115" s="914" t="s">
        <v>246</v>
      </c>
      <c r="AD115" s="881" t="s">
        <v>172</v>
      </c>
      <c r="AF115" s="883" t="s">
        <v>247</v>
      </c>
      <c r="AG115" s="884"/>
      <c r="AH115" s="884"/>
      <c r="AI115" s="884"/>
      <c r="AJ115" s="884"/>
      <c r="AK115" s="884"/>
      <c r="AL115" s="884"/>
      <c r="AM115" s="885"/>
    </row>
    <row r="116" spans="2:39" ht="16.5" customHeight="1">
      <c r="B116" s="900"/>
      <c r="C116" s="901"/>
      <c r="D116" s="902"/>
      <c r="E116" s="902"/>
      <c r="F116" s="904"/>
      <c r="G116" s="882"/>
      <c r="H116" s="882"/>
      <c r="I116" s="439" t="s">
        <v>559</v>
      </c>
      <c r="J116" s="362" t="s">
        <v>560</v>
      </c>
      <c r="K116" s="439" t="s">
        <v>559</v>
      </c>
      <c r="L116" s="362" t="s">
        <v>560</v>
      </c>
      <c r="M116" s="439" t="s">
        <v>559</v>
      </c>
      <c r="N116" s="362" t="s">
        <v>560</v>
      </c>
      <c r="O116" s="439" t="s">
        <v>559</v>
      </c>
      <c r="P116" s="362" t="s">
        <v>560</v>
      </c>
      <c r="Q116" s="439" t="s">
        <v>559</v>
      </c>
      <c r="R116" s="362" t="s">
        <v>560</v>
      </c>
      <c r="S116" s="362" t="s">
        <v>561</v>
      </c>
      <c r="T116" s="439" t="s">
        <v>559</v>
      </c>
      <c r="U116" s="362" t="s">
        <v>560</v>
      </c>
      <c r="V116" s="439" t="s">
        <v>559</v>
      </c>
      <c r="W116" s="362" t="s">
        <v>560</v>
      </c>
      <c r="X116" s="362" t="s">
        <v>561</v>
      </c>
      <c r="Y116" s="915"/>
      <c r="Z116" s="915"/>
      <c r="AA116" s="915"/>
      <c r="AB116" s="915"/>
      <c r="AC116" s="915"/>
      <c r="AD116" s="882"/>
      <c r="AF116" s="886"/>
      <c r="AG116" s="887"/>
      <c r="AH116" s="887"/>
      <c r="AI116" s="887"/>
      <c r="AJ116" s="887"/>
      <c r="AK116" s="887"/>
      <c r="AL116" s="887"/>
      <c r="AM116" s="888"/>
    </row>
    <row r="117" spans="2:39" s="147" customFormat="1" ht="27" customHeight="1">
      <c r="B117" s="927" t="s">
        <v>736</v>
      </c>
      <c r="C117" s="893"/>
      <c r="D117" s="361">
        <v>1</v>
      </c>
      <c r="E117" s="440" t="s">
        <v>336</v>
      </c>
      <c r="F117" s="364">
        <f>IFERROR(T117*G117,"-")</f>
        <v>9270.3984000000182</v>
      </c>
      <c r="G117" s="365">
        <v>147.43000000000004</v>
      </c>
      <c r="H117" s="442">
        <v>4268.05</v>
      </c>
      <c r="I117" s="442">
        <v>4268.05</v>
      </c>
      <c r="J117" s="444">
        <f>IFERROR(I117/H117,"-")</f>
        <v>1</v>
      </c>
      <c r="K117" s="443">
        <v>4268.05</v>
      </c>
      <c r="L117" s="444">
        <f>IFERROR(K117/H117,"-")</f>
        <v>1</v>
      </c>
      <c r="M117" s="443">
        <v>62.88000000000001</v>
      </c>
      <c r="N117" s="444">
        <f>IFERROR(M117/H117,"-")</f>
        <v>1.4732723374843314E-2</v>
      </c>
      <c r="O117" s="445">
        <f>IFERROR(K117+M117,"-")</f>
        <v>4330.93</v>
      </c>
      <c r="P117" s="444">
        <f>IFERROR(O117/H117,"-")</f>
        <v>1.0147327233748433</v>
      </c>
      <c r="Q117" s="442">
        <v>6.74</v>
      </c>
      <c r="R117" s="444">
        <f>IFERROR(Q117/H117,"-")</f>
        <v>1.5791755016928105E-3</v>
      </c>
      <c r="S117" s="452">
        <f>IFERROR(Q117*G117,"-")</f>
        <v>993.67820000000029</v>
      </c>
      <c r="T117" s="445">
        <f>IFERROR(O117-H117,"-")</f>
        <v>62.880000000000109</v>
      </c>
      <c r="U117" s="444">
        <f>IFERROR(T117/H117,"-")</f>
        <v>1.4732723374843338E-2</v>
      </c>
      <c r="V117" s="459">
        <f>T117-Q117</f>
        <v>56.140000000000107</v>
      </c>
      <c r="W117" s="460">
        <f>IFERROR(V117/H117,"-")</f>
        <v>1.3153547873150527E-2</v>
      </c>
      <c r="X117" s="461">
        <f>IFERROR(V117*G117,"-")</f>
        <v>8276.7202000000179</v>
      </c>
      <c r="Y117" s="366" t="s">
        <v>174</v>
      </c>
      <c r="Z117" s="366" t="s">
        <v>215</v>
      </c>
      <c r="AA117" s="367" t="s">
        <v>478</v>
      </c>
      <c r="AB117" s="367" t="s">
        <v>524</v>
      </c>
      <c r="AC117" s="367">
        <v>1</v>
      </c>
      <c r="AD117" s="446" t="s">
        <v>340</v>
      </c>
      <c r="AF117" s="889"/>
      <c r="AG117" s="890"/>
      <c r="AH117" s="890"/>
      <c r="AI117" s="890"/>
      <c r="AJ117" s="890"/>
      <c r="AK117" s="890"/>
      <c r="AL117" s="890"/>
      <c r="AM117" s="891"/>
    </row>
    <row r="118" spans="2:39" s="147" customFormat="1" ht="27" customHeight="1">
      <c r="B118" s="894"/>
      <c r="C118" s="895"/>
      <c r="D118" s="361">
        <v>2</v>
      </c>
      <c r="E118" s="440" t="s">
        <v>534</v>
      </c>
      <c r="F118" s="364">
        <f t="shared" ref="F118:F136" si="66">IFERROR(T118*G118,"-")</f>
        <v>7055.1429000000217</v>
      </c>
      <c r="G118" s="365">
        <v>39.389999999999993</v>
      </c>
      <c r="H118" s="442">
        <v>34169.370000000003</v>
      </c>
      <c r="I118" s="442">
        <v>34169.370000000003</v>
      </c>
      <c r="J118" s="444">
        <f t="shared" ref="J118:J136" si="67">IFERROR(I118/H118,"-")</f>
        <v>1</v>
      </c>
      <c r="K118" s="443">
        <v>34169.370000000003</v>
      </c>
      <c r="L118" s="444">
        <f t="shared" ref="L118:L136" si="68">IFERROR(K118/H118,"-")</f>
        <v>1</v>
      </c>
      <c r="M118" s="443">
        <v>179.10999999999999</v>
      </c>
      <c r="N118" s="444">
        <f t="shared" ref="N118:N136" si="69">IFERROR(M118/H118,"-")</f>
        <v>5.2418291586880288E-3</v>
      </c>
      <c r="O118" s="445">
        <f t="shared" ref="O118:O136" si="70">IFERROR(K118+M118,"-")</f>
        <v>34348.480000000003</v>
      </c>
      <c r="P118" s="444">
        <f t="shared" ref="P118:P136" si="71">IFERROR(O118/H118,"-")</f>
        <v>1.005241829158688</v>
      </c>
      <c r="Q118" s="442">
        <v>38.01</v>
      </c>
      <c r="R118" s="444">
        <f t="shared" ref="R118:R136" si="72">IFERROR(Q118/H118,"-")</f>
        <v>1.1123997896361564E-3</v>
      </c>
      <c r="S118" s="452">
        <f t="shared" ref="S118:S136" si="73">IFERROR(Q118*G118,"-")</f>
        <v>1497.2138999999997</v>
      </c>
      <c r="T118" s="445">
        <f t="shared" ref="T118:T136" si="74">IFERROR(O118-H118,"-")</f>
        <v>179.11000000000058</v>
      </c>
      <c r="U118" s="444">
        <f t="shared" ref="U118:U136" si="75">IFERROR(T118/H118,"-")</f>
        <v>5.2418291586880461E-3</v>
      </c>
      <c r="V118" s="459">
        <f t="shared" ref="V118:V136" si="76">T118-Q118</f>
        <v>141.10000000000059</v>
      </c>
      <c r="W118" s="460">
        <f t="shared" ref="W118:W136" si="77">IFERROR(V118/H118,"-")</f>
        <v>4.1294293690518902E-3</v>
      </c>
      <c r="X118" s="461">
        <f t="shared" ref="X118:X136" si="78">IFERROR(V118*G118,"-")</f>
        <v>5557.9290000000219</v>
      </c>
      <c r="Y118" s="366" t="s">
        <v>174</v>
      </c>
      <c r="Z118" s="366" t="s">
        <v>216</v>
      </c>
      <c r="AA118" s="367" t="s">
        <v>756</v>
      </c>
      <c r="AB118" s="367" t="s">
        <v>757</v>
      </c>
      <c r="AC118" s="367">
        <v>1</v>
      </c>
      <c r="AD118" s="446" t="s">
        <v>340</v>
      </c>
      <c r="AF118" s="160" t="s">
        <v>244</v>
      </c>
      <c r="AG118" s="160" t="s">
        <v>445</v>
      </c>
      <c r="AH118" s="155" t="s">
        <v>562</v>
      </c>
      <c r="AI118" s="155" t="s">
        <v>337</v>
      </c>
      <c r="AJ118" s="155" t="s">
        <v>428</v>
      </c>
      <c r="AK118" s="155" t="s">
        <v>215</v>
      </c>
      <c r="AL118" s="155" t="s">
        <v>216</v>
      </c>
      <c r="AM118" s="155" t="s">
        <v>384</v>
      </c>
    </row>
    <row r="119" spans="2:39" s="147" customFormat="1" ht="27" customHeight="1">
      <c r="B119" s="894"/>
      <c r="C119" s="895"/>
      <c r="D119" s="361">
        <v>3</v>
      </c>
      <c r="E119" s="440" t="s">
        <v>633</v>
      </c>
      <c r="F119" s="364">
        <f t="shared" si="66"/>
        <v>7024.2480000000305</v>
      </c>
      <c r="G119" s="365">
        <v>144.79999999999998</v>
      </c>
      <c r="H119" s="442">
        <v>2683.3800000000006</v>
      </c>
      <c r="I119" s="442">
        <v>2683.3800000000006</v>
      </c>
      <c r="J119" s="444">
        <f t="shared" si="67"/>
        <v>1</v>
      </c>
      <c r="K119" s="443">
        <v>2683.3800000000006</v>
      </c>
      <c r="L119" s="444">
        <f t="shared" si="68"/>
        <v>1</v>
      </c>
      <c r="M119" s="443">
        <v>48.510000000000005</v>
      </c>
      <c r="N119" s="444">
        <f t="shared" si="69"/>
        <v>1.8077946470496164E-2</v>
      </c>
      <c r="O119" s="445">
        <f t="shared" si="70"/>
        <v>2731.8900000000008</v>
      </c>
      <c r="P119" s="444">
        <f t="shared" si="71"/>
        <v>1.0180779464704963</v>
      </c>
      <c r="Q119" s="442">
        <v>7.4500000000000011</v>
      </c>
      <c r="R119" s="444">
        <f t="shared" si="72"/>
        <v>2.7763492311934945E-3</v>
      </c>
      <c r="S119" s="452">
        <f t="shared" si="73"/>
        <v>1078.76</v>
      </c>
      <c r="T119" s="445">
        <f t="shared" si="74"/>
        <v>48.510000000000218</v>
      </c>
      <c r="U119" s="444">
        <f t="shared" si="75"/>
        <v>1.8077946470496244E-2</v>
      </c>
      <c r="V119" s="459">
        <f t="shared" si="76"/>
        <v>41.060000000000215</v>
      </c>
      <c r="W119" s="460">
        <f t="shared" si="77"/>
        <v>1.5301597239302748E-2</v>
      </c>
      <c r="X119" s="461">
        <f t="shared" si="78"/>
        <v>5945.4880000000303</v>
      </c>
      <c r="Y119" s="366" t="s">
        <v>174</v>
      </c>
      <c r="Z119" s="366" t="s">
        <v>428</v>
      </c>
      <c r="AA119" s="367" t="s">
        <v>482</v>
      </c>
      <c r="AB119" s="367" t="s">
        <v>525</v>
      </c>
      <c r="AC119" s="367">
        <v>1</v>
      </c>
      <c r="AD119" s="446" t="s">
        <v>340</v>
      </c>
      <c r="AF119" s="374">
        <f>SUM(AC117:AC136)</f>
        <v>20</v>
      </c>
      <c r="AG119" s="369">
        <f>SUMIF($Z$117:$Z$136,TRIM(AG118),$AC$117:$AC$136)</f>
        <v>0</v>
      </c>
      <c r="AH119" s="369">
        <f t="shared" ref="AH119:AM119" si="79">SUMIF($Z$117:$Z$136,TRIM(AH118),$AC$117:$AC$136)</f>
        <v>0</v>
      </c>
      <c r="AI119" s="369">
        <f t="shared" si="79"/>
        <v>0</v>
      </c>
      <c r="AJ119" s="369">
        <f t="shared" si="79"/>
        <v>12</v>
      </c>
      <c r="AK119" s="369">
        <f t="shared" si="79"/>
        <v>1</v>
      </c>
      <c r="AL119" s="369">
        <f t="shared" si="79"/>
        <v>7</v>
      </c>
      <c r="AM119" s="369">
        <f t="shared" si="79"/>
        <v>0</v>
      </c>
    </row>
    <row r="120" spans="2:39" s="147" customFormat="1" ht="27" customHeight="1">
      <c r="B120" s="894"/>
      <c r="C120" s="895"/>
      <c r="D120" s="361">
        <v>4</v>
      </c>
      <c r="E120" s="440" t="s">
        <v>386</v>
      </c>
      <c r="F120" s="364">
        <f t="shared" si="66"/>
        <v>6308.9039999999895</v>
      </c>
      <c r="G120" s="365">
        <v>127.84000000000002</v>
      </c>
      <c r="H120" s="442">
        <v>3963.8499999999995</v>
      </c>
      <c r="I120" s="442">
        <v>3963.8499999999995</v>
      </c>
      <c r="J120" s="444">
        <f t="shared" si="67"/>
        <v>1</v>
      </c>
      <c r="K120" s="443">
        <v>3963.8499999999995</v>
      </c>
      <c r="L120" s="444">
        <f t="shared" si="68"/>
        <v>1</v>
      </c>
      <c r="M120" s="443">
        <v>49.35</v>
      </c>
      <c r="N120" s="444">
        <f t="shared" si="69"/>
        <v>1.2450017028898674E-2</v>
      </c>
      <c r="O120" s="445">
        <f t="shared" si="70"/>
        <v>4013.1999999999994</v>
      </c>
      <c r="P120" s="444">
        <f t="shared" si="71"/>
        <v>1.0124500170288986</v>
      </c>
      <c r="Q120" s="442">
        <v>8.5</v>
      </c>
      <c r="R120" s="444">
        <f t="shared" si="72"/>
        <v>2.1443798327383731E-3</v>
      </c>
      <c r="S120" s="452">
        <f t="shared" si="73"/>
        <v>1086.6400000000001</v>
      </c>
      <c r="T120" s="445">
        <f t="shared" si="74"/>
        <v>49.349999999999909</v>
      </c>
      <c r="U120" s="444">
        <f t="shared" si="75"/>
        <v>1.245001702889865E-2</v>
      </c>
      <c r="V120" s="459">
        <f t="shared" si="76"/>
        <v>40.849999999999909</v>
      </c>
      <c r="W120" s="460">
        <f t="shared" si="77"/>
        <v>1.0305637196160277E-2</v>
      </c>
      <c r="X120" s="461">
        <f t="shared" si="78"/>
        <v>5222.2639999999892</v>
      </c>
      <c r="Y120" s="366" t="s">
        <v>174</v>
      </c>
      <c r="Z120" s="366" t="s">
        <v>428</v>
      </c>
      <c r="AA120" s="367" t="s">
        <v>758</v>
      </c>
      <c r="AB120" s="367" t="s">
        <v>759</v>
      </c>
      <c r="AC120" s="367">
        <v>1</v>
      </c>
      <c r="AD120" s="446" t="s">
        <v>340</v>
      </c>
      <c r="AF120" s="375" t="s">
        <v>11</v>
      </c>
      <c r="AG120" s="372">
        <f t="shared" ref="AG120:AM120" si="80">SUMIF($Z$117:$Z$136,TRIM(AG118),$F$117:$F$136)</f>
        <v>0</v>
      </c>
      <c r="AH120" s="372">
        <f t="shared" si="80"/>
        <v>0</v>
      </c>
      <c r="AI120" s="372">
        <f t="shared" si="80"/>
        <v>0</v>
      </c>
      <c r="AJ120" s="372">
        <f t="shared" si="80"/>
        <v>57234.067640000016</v>
      </c>
      <c r="AK120" s="372">
        <f t="shared" si="80"/>
        <v>9270.3984000000182</v>
      </c>
      <c r="AL120" s="372">
        <f t="shared" si="80"/>
        <v>34878.453199999967</v>
      </c>
      <c r="AM120" s="372">
        <f t="shared" si="80"/>
        <v>0</v>
      </c>
    </row>
    <row r="121" spans="2:39" s="147" customFormat="1" ht="27" customHeight="1">
      <c r="B121" s="894"/>
      <c r="C121" s="895"/>
      <c r="D121" s="361">
        <v>5</v>
      </c>
      <c r="E121" s="440" t="s">
        <v>692</v>
      </c>
      <c r="F121" s="364">
        <f t="shared" si="66"/>
        <v>6284.4375999999766</v>
      </c>
      <c r="G121" s="365">
        <v>625.93999999999994</v>
      </c>
      <c r="H121" s="442">
        <v>1394.8700000000001</v>
      </c>
      <c r="I121" s="442">
        <v>1394.8700000000001</v>
      </c>
      <c r="J121" s="444">
        <f t="shared" si="67"/>
        <v>1</v>
      </c>
      <c r="K121" s="443">
        <v>1394.8700000000001</v>
      </c>
      <c r="L121" s="444">
        <f t="shared" si="68"/>
        <v>1</v>
      </c>
      <c r="M121" s="443">
        <v>10.039999999999999</v>
      </c>
      <c r="N121" s="444">
        <f t="shared" si="69"/>
        <v>7.197803379526406E-3</v>
      </c>
      <c r="O121" s="445">
        <f t="shared" si="70"/>
        <v>1404.91</v>
      </c>
      <c r="P121" s="444">
        <f t="shared" si="71"/>
        <v>1.0071978033795264</v>
      </c>
      <c r="Q121" s="442">
        <v>1.51</v>
      </c>
      <c r="R121" s="444">
        <f t="shared" si="72"/>
        <v>1.0825381576777763E-3</v>
      </c>
      <c r="S121" s="452">
        <f t="shared" si="73"/>
        <v>945.16939999999988</v>
      </c>
      <c r="T121" s="445">
        <f t="shared" si="74"/>
        <v>10.039999999999964</v>
      </c>
      <c r="U121" s="444">
        <f t="shared" si="75"/>
        <v>7.1978033795263808E-3</v>
      </c>
      <c r="V121" s="459">
        <f t="shared" si="76"/>
        <v>8.5299999999999638</v>
      </c>
      <c r="W121" s="460">
        <f t="shared" si="77"/>
        <v>6.1152652218486045E-3</v>
      </c>
      <c r="X121" s="461">
        <f t="shared" si="78"/>
        <v>5339.2681999999768</v>
      </c>
      <c r="Y121" s="366" t="s">
        <v>174</v>
      </c>
      <c r="Z121" s="366" t="s">
        <v>216</v>
      </c>
      <c r="AA121" s="367" t="s">
        <v>482</v>
      </c>
      <c r="AB121" s="367" t="s">
        <v>760</v>
      </c>
      <c r="AC121" s="367">
        <v>1</v>
      </c>
      <c r="AD121" s="446" t="s">
        <v>697</v>
      </c>
      <c r="AF121" s="361" t="s">
        <v>563</v>
      </c>
      <c r="AG121" s="373">
        <f t="shared" ref="AG121:AM121" si="81">AG119/$AF119</f>
        <v>0</v>
      </c>
      <c r="AH121" s="373">
        <f t="shared" si="81"/>
        <v>0</v>
      </c>
      <c r="AI121" s="373">
        <f t="shared" si="81"/>
        <v>0</v>
      </c>
      <c r="AJ121" s="373">
        <f t="shared" si="81"/>
        <v>0.6</v>
      </c>
      <c r="AK121" s="373">
        <f t="shared" si="81"/>
        <v>0.05</v>
      </c>
      <c r="AL121" s="373">
        <f t="shared" si="81"/>
        <v>0.35</v>
      </c>
      <c r="AM121" s="373">
        <f t="shared" si="81"/>
        <v>0</v>
      </c>
    </row>
    <row r="122" spans="2:39" s="147" customFormat="1" ht="27" customHeight="1">
      <c r="B122" s="894"/>
      <c r="C122" s="895"/>
      <c r="D122" s="361">
        <v>6</v>
      </c>
      <c r="E122" s="440" t="s">
        <v>740</v>
      </c>
      <c r="F122" s="364">
        <f t="shared" si="66"/>
        <v>5978.4000000000124</v>
      </c>
      <c r="G122" s="365">
        <v>705</v>
      </c>
      <c r="H122" s="442">
        <v>285.52</v>
      </c>
      <c r="I122" s="442">
        <v>285.52</v>
      </c>
      <c r="J122" s="444">
        <f t="shared" si="67"/>
        <v>1</v>
      </c>
      <c r="K122" s="443">
        <v>285.52</v>
      </c>
      <c r="L122" s="444">
        <f t="shared" si="68"/>
        <v>1</v>
      </c>
      <c r="M122" s="443">
        <v>8.48</v>
      </c>
      <c r="N122" s="444">
        <f t="shared" si="69"/>
        <v>2.9700196133370695E-2</v>
      </c>
      <c r="O122" s="445">
        <f t="shared" si="70"/>
        <v>294</v>
      </c>
      <c r="P122" s="444">
        <f t="shared" si="71"/>
        <v>1.0297001961333707</v>
      </c>
      <c r="Q122" s="442">
        <v>1.37</v>
      </c>
      <c r="R122" s="444">
        <f t="shared" si="72"/>
        <v>4.7982628187167283E-3</v>
      </c>
      <c r="S122" s="452">
        <f t="shared" si="73"/>
        <v>965.85</v>
      </c>
      <c r="T122" s="445">
        <f t="shared" si="74"/>
        <v>8.4800000000000182</v>
      </c>
      <c r="U122" s="444">
        <f t="shared" si="75"/>
        <v>2.9700196133370757E-2</v>
      </c>
      <c r="V122" s="459">
        <f t="shared" si="76"/>
        <v>7.1100000000000181</v>
      </c>
      <c r="W122" s="460">
        <f t="shared" si="77"/>
        <v>2.490193331465403E-2</v>
      </c>
      <c r="X122" s="461">
        <f t="shared" si="78"/>
        <v>5012.5500000000129</v>
      </c>
      <c r="Y122" s="366" t="s">
        <v>174</v>
      </c>
      <c r="Z122" s="366" t="s">
        <v>428</v>
      </c>
      <c r="AA122" s="367" t="s">
        <v>482</v>
      </c>
      <c r="AB122" s="367" t="s">
        <v>760</v>
      </c>
      <c r="AC122" s="367">
        <v>1</v>
      </c>
      <c r="AD122" s="446" t="s">
        <v>710</v>
      </c>
    </row>
    <row r="123" spans="2:39" s="147" customFormat="1" ht="27" customHeight="1">
      <c r="B123" s="894"/>
      <c r="C123" s="895"/>
      <c r="D123" s="361">
        <v>7</v>
      </c>
      <c r="E123" s="440" t="s">
        <v>738</v>
      </c>
      <c r="F123" s="364">
        <f t="shared" si="66"/>
        <v>5136.0867999999909</v>
      </c>
      <c r="G123" s="365">
        <v>91.13</v>
      </c>
      <c r="H123" s="442">
        <v>1903.5200000000002</v>
      </c>
      <c r="I123" s="442">
        <v>1903.5200000000002</v>
      </c>
      <c r="J123" s="444">
        <f t="shared" si="67"/>
        <v>1</v>
      </c>
      <c r="K123" s="443">
        <v>1903.5200000000002</v>
      </c>
      <c r="L123" s="444">
        <f t="shared" si="68"/>
        <v>1</v>
      </c>
      <c r="M123" s="443">
        <v>56.36</v>
      </c>
      <c r="N123" s="444">
        <f t="shared" si="69"/>
        <v>2.960830461460872E-2</v>
      </c>
      <c r="O123" s="445">
        <f t="shared" si="70"/>
        <v>1959.88</v>
      </c>
      <c r="P123" s="444">
        <f t="shared" si="71"/>
        <v>1.0296083046146087</v>
      </c>
      <c r="Q123" s="442">
        <v>12.909999999999998</v>
      </c>
      <c r="R123" s="444">
        <f t="shared" si="72"/>
        <v>6.7821719761284342E-3</v>
      </c>
      <c r="S123" s="452">
        <f t="shared" si="73"/>
        <v>1176.4882999999998</v>
      </c>
      <c r="T123" s="445">
        <f t="shared" si="74"/>
        <v>56.3599999999999</v>
      </c>
      <c r="U123" s="444">
        <f t="shared" si="75"/>
        <v>2.9608304614608668E-2</v>
      </c>
      <c r="V123" s="459">
        <f t="shared" si="76"/>
        <v>43.449999999999903</v>
      </c>
      <c r="W123" s="460">
        <f t="shared" si="77"/>
        <v>2.2826132638480236E-2</v>
      </c>
      <c r="X123" s="461">
        <f t="shared" si="78"/>
        <v>3959.598499999991</v>
      </c>
      <c r="Y123" s="366" t="s">
        <v>174</v>
      </c>
      <c r="Z123" s="366" t="s">
        <v>428</v>
      </c>
      <c r="AA123" s="367" t="s">
        <v>761</v>
      </c>
      <c r="AB123" s="367" t="s">
        <v>762</v>
      </c>
      <c r="AC123" s="367">
        <v>1</v>
      </c>
      <c r="AD123" s="446" t="s">
        <v>710</v>
      </c>
    </row>
    <row r="124" spans="2:39" s="147" customFormat="1" ht="27" customHeight="1">
      <c r="B124" s="894"/>
      <c r="C124" s="895"/>
      <c r="D124" s="361">
        <v>8</v>
      </c>
      <c r="E124" s="440" t="s">
        <v>619</v>
      </c>
      <c r="F124" s="364">
        <f t="shared" si="66"/>
        <v>4779.5826000000052</v>
      </c>
      <c r="G124" s="365">
        <v>39.389999999999993</v>
      </c>
      <c r="H124" s="442">
        <v>6291.2999999999993</v>
      </c>
      <c r="I124" s="442">
        <v>6291.2999999999993</v>
      </c>
      <c r="J124" s="444">
        <f t="shared" si="67"/>
        <v>1</v>
      </c>
      <c r="K124" s="443">
        <v>6291.2999999999993</v>
      </c>
      <c r="L124" s="444">
        <f t="shared" si="68"/>
        <v>1</v>
      </c>
      <c r="M124" s="443">
        <v>121.34</v>
      </c>
      <c r="N124" s="444">
        <f t="shared" si="69"/>
        <v>1.9286951822357862E-2</v>
      </c>
      <c r="O124" s="445">
        <f t="shared" si="70"/>
        <v>6412.6399999999994</v>
      </c>
      <c r="P124" s="444">
        <f t="shared" si="71"/>
        <v>1.019286951822358</v>
      </c>
      <c r="Q124" s="442">
        <v>38.270000000000003</v>
      </c>
      <c r="R124" s="444">
        <f t="shared" si="72"/>
        <v>6.0830035127875017E-3</v>
      </c>
      <c r="S124" s="452">
        <f t="shared" si="73"/>
        <v>1507.4552999999999</v>
      </c>
      <c r="T124" s="445">
        <f t="shared" si="74"/>
        <v>121.34000000000015</v>
      </c>
      <c r="U124" s="444">
        <f t="shared" si="75"/>
        <v>1.9286951822357883E-2</v>
      </c>
      <c r="V124" s="459">
        <f t="shared" si="76"/>
        <v>83.070000000000135</v>
      </c>
      <c r="W124" s="460">
        <f t="shared" si="77"/>
        <v>1.3203948309570382E-2</v>
      </c>
      <c r="X124" s="461">
        <f t="shared" si="78"/>
        <v>3272.1273000000047</v>
      </c>
      <c r="Y124" s="366" t="s">
        <v>174</v>
      </c>
      <c r="Z124" s="366" t="s">
        <v>216</v>
      </c>
      <c r="AA124" s="367" t="s">
        <v>756</v>
      </c>
      <c r="AB124" s="367" t="s">
        <v>757</v>
      </c>
      <c r="AC124" s="367">
        <v>1</v>
      </c>
      <c r="AD124" s="446" t="s">
        <v>614</v>
      </c>
    </row>
    <row r="125" spans="2:39" s="147" customFormat="1" ht="27" customHeight="1">
      <c r="B125" s="894"/>
      <c r="C125" s="895"/>
      <c r="D125" s="361">
        <v>9</v>
      </c>
      <c r="E125" s="440" t="s">
        <v>620</v>
      </c>
      <c r="F125" s="364">
        <f t="shared" si="66"/>
        <v>4616.4327999999887</v>
      </c>
      <c r="G125" s="365">
        <v>95.439999999999984</v>
      </c>
      <c r="H125" s="442">
        <v>1968.5900000000001</v>
      </c>
      <c r="I125" s="442">
        <v>1968.5900000000001</v>
      </c>
      <c r="J125" s="444">
        <f t="shared" si="67"/>
        <v>1</v>
      </c>
      <c r="K125" s="443">
        <v>1968.5900000000001</v>
      </c>
      <c r="L125" s="444">
        <f t="shared" si="68"/>
        <v>1</v>
      </c>
      <c r="M125" s="443">
        <v>48.370000000000005</v>
      </c>
      <c r="N125" s="444">
        <f t="shared" si="69"/>
        <v>2.4570885760874534E-2</v>
      </c>
      <c r="O125" s="445">
        <f t="shared" si="70"/>
        <v>2016.96</v>
      </c>
      <c r="P125" s="444">
        <f t="shared" si="71"/>
        <v>1.0245708857608744</v>
      </c>
      <c r="Q125" s="442">
        <v>10.59</v>
      </c>
      <c r="R125" s="444">
        <f t="shared" si="72"/>
        <v>5.3794848089241537E-3</v>
      </c>
      <c r="S125" s="452">
        <f t="shared" si="73"/>
        <v>1010.7095999999998</v>
      </c>
      <c r="T125" s="445">
        <f t="shared" si="74"/>
        <v>48.369999999999891</v>
      </c>
      <c r="U125" s="444">
        <f t="shared" si="75"/>
        <v>2.4570885760874479E-2</v>
      </c>
      <c r="V125" s="459">
        <f t="shared" si="76"/>
        <v>37.779999999999887</v>
      </c>
      <c r="W125" s="460">
        <f t="shared" si="77"/>
        <v>1.9191400951950321E-2</v>
      </c>
      <c r="X125" s="461">
        <f t="shared" si="78"/>
        <v>3605.7231999999885</v>
      </c>
      <c r="Y125" s="366" t="s">
        <v>174</v>
      </c>
      <c r="Z125" s="366" t="s">
        <v>428</v>
      </c>
      <c r="AA125" s="367" t="s">
        <v>482</v>
      </c>
      <c r="AB125" s="367" t="s">
        <v>760</v>
      </c>
      <c r="AC125" s="367">
        <v>1</v>
      </c>
      <c r="AD125" s="446" t="s">
        <v>340</v>
      </c>
      <c r="AH125" s="370"/>
    </row>
    <row r="126" spans="2:39" s="147" customFormat="1" ht="27" customHeight="1">
      <c r="B126" s="894"/>
      <c r="C126" s="895"/>
      <c r="D126" s="361">
        <v>10</v>
      </c>
      <c r="E126" s="440" t="s">
        <v>652</v>
      </c>
      <c r="F126" s="364">
        <f t="shared" si="66"/>
        <v>4258.0160999999989</v>
      </c>
      <c r="G126" s="365">
        <v>31.59</v>
      </c>
      <c r="H126" s="442">
        <v>4718.01</v>
      </c>
      <c r="I126" s="442">
        <v>4718.01</v>
      </c>
      <c r="J126" s="444">
        <f t="shared" si="67"/>
        <v>1</v>
      </c>
      <c r="K126" s="443">
        <v>4718.01</v>
      </c>
      <c r="L126" s="444">
        <f t="shared" si="68"/>
        <v>1</v>
      </c>
      <c r="M126" s="443">
        <v>134.79000000000002</v>
      </c>
      <c r="N126" s="444">
        <f t="shared" si="69"/>
        <v>2.8569248475522523E-2</v>
      </c>
      <c r="O126" s="445">
        <f t="shared" si="70"/>
        <v>4852.8</v>
      </c>
      <c r="P126" s="444">
        <f t="shared" si="71"/>
        <v>1.0285692484755224</v>
      </c>
      <c r="Q126" s="442">
        <v>31.68</v>
      </c>
      <c r="R126" s="444">
        <f t="shared" si="72"/>
        <v>6.7146953906413931E-3</v>
      </c>
      <c r="S126" s="452">
        <f t="shared" si="73"/>
        <v>1000.7712</v>
      </c>
      <c r="T126" s="445">
        <f t="shared" si="74"/>
        <v>134.78999999999996</v>
      </c>
      <c r="U126" s="444">
        <f t="shared" si="75"/>
        <v>2.8569248475522509E-2</v>
      </c>
      <c r="V126" s="459">
        <f t="shared" si="76"/>
        <v>103.10999999999996</v>
      </c>
      <c r="W126" s="460">
        <f t="shared" si="77"/>
        <v>2.1854553084881115E-2</v>
      </c>
      <c r="X126" s="461">
        <f t="shared" si="78"/>
        <v>3257.2448999999988</v>
      </c>
      <c r="Y126" s="366" t="s">
        <v>174</v>
      </c>
      <c r="Z126" s="366" t="s">
        <v>216</v>
      </c>
      <c r="AA126" s="367" t="s">
        <v>479</v>
      </c>
      <c r="AB126" s="367" t="s">
        <v>477</v>
      </c>
      <c r="AC126" s="367">
        <v>1</v>
      </c>
      <c r="AD126" s="446" t="s">
        <v>650</v>
      </c>
      <c r="AH126" s="370"/>
    </row>
    <row r="127" spans="2:39" s="147" customFormat="1" ht="27" customHeight="1">
      <c r="B127" s="894"/>
      <c r="C127" s="895"/>
      <c r="D127" s="361">
        <v>11</v>
      </c>
      <c r="E127" s="440" t="s">
        <v>461</v>
      </c>
      <c r="F127" s="364">
        <f t="shared" si="66"/>
        <v>4224.1863999999596</v>
      </c>
      <c r="G127" s="365">
        <v>407.74000000000007</v>
      </c>
      <c r="H127" s="442">
        <v>1081.02</v>
      </c>
      <c r="I127" s="442">
        <v>1081.02</v>
      </c>
      <c r="J127" s="444">
        <f t="shared" si="67"/>
        <v>1</v>
      </c>
      <c r="K127" s="443">
        <v>1081.02</v>
      </c>
      <c r="L127" s="444">
        <f t="shared" si="68"/>
        <v>1</v>
      </c>
      <c r="M127" s="443">
        <v>10.36</v>
      </c>
      <c r="N127" s="444">
        <f t="shared" si="69"/>
        <v>9.5835414700930592E-3</v>
      </c>
      <c r="O127" s="445">
        <f t="shared" si="70"/>
        <v>1091.3799999999999</v>
      </c>
      <c r="P127" s="444">
        <f t="shared" si="71"/>
        <v>1.0095835414700929</v>
      </c>
      <c r="Q127" s="442">
        <v>2.5100000000000002</v>
      </c>
      <c r="R127" s="444">
        <f t="shared" si="72"/>
        <v>2.3218811862870253E-3</v>
      </c>
      <c r="S127" s="452">
        <f t="shared" si="73"/>
        <v>1023.4274000000003</v>
      </c>
      <c r="T127" s="445">
        <f t="shared" si="74"/>
        <v>10.3599999999999</v>
      </c>
      <c r="U127" s="444">
        <f t="shared" si="75"/>
        <v>9.5835414700929673E-3</v>
      </c>
      <c r="V127" s="459">
        <f t="shared" si="76"/>
        <v>7.8499999999999002</v>
      </c>
      <c r="W127" s="460">
        <f t="shared" si="77"/>
        <v>7.2616602838059428E-3</v>
      </c>
      <c r="X127" s="461">
        <f t="shared" si="78"/>
        <v>3200.75899999996</v>
      </c>
      <c r="Y127" s="366" t="s">
        <v>174</v>
      </c>
      <c r="Z127" s="366" t="s">
        <v>216</v>
      </c>
      <c r="AA127" s="367" t="s">
        <v>480</v>
      </c>
      <c r="AB127" s="367" t="s">
        <v>481</v>
      </c>
      <c r="AC127" s="367">
        <v>1</v>
      </c>
      <c r="AD127" s="446" t="s">
        <v>463</v>
      </c>
      <c r="AH127" s="370"/>
    </row>
    <row r="128" spans="2:39" s="147" customFormat="1" ht="27" customHeight="1">
      <c r="B128" s="894"/>
      <c r="C128" s="895"/>
      <c r="D128" s="361">
        <v>12</v>
      </c>
      <c r="E128" s="440" t="s">
        <v>695</v>
      </c>
      <c r="F128" s="364">
        <f t="shared" si="66"/>
        <v>4221.2570400000004</v>
      </c>
      <c r="G128" s="365">
        <v>351.42</v>
      </c>
      <c r="H128" s="442">
        <v>451.01</v>
      </c>
      <c r="I128" s="442">
        <v>451.01</v>
      </c>
      <c r="J128" s="444">
        <f t="shared" si="67"/>
        <v>1</v>
      </c>
      <c r="K128" s="443">
        <v>451.01</v>
      </c>
      <c r="L128" s="444">
        <f t="shared" si="68"/>
        <v>1</v>
      </c>
      <c r="M128" s="443">
        <v>12.012</v>
      </c>
      <c r="N128" s="444">
        <f t="shared" si="69"/>
        <v>2.6633555796988981E-2</v>
      </c>
      <c r="O128" s="445">
        <f t="shared" si="70"/>
        <v>463.02199999999999</v>
      </c>
      <c r="P128" s="444">
        <f t="shared" si="71"/>
        <v>1.026633555796989</v>
      </c>
      <c r="Q128" s="442">
        <v>2.68</v>
      </c>
      <c r="R128" s="444">
        <f t="shared" si="72"/>
        <v>5.9422185760847884E-3</v>
      </c>
      <c r="S128" s="452">
        <f t="shared" si="73"/>
        <v>941.80560000000014</v>
      </c>
      <c r="T128" s="445">
        <f t="shared" si="74"/>
        <v>12.012</v>
      </c>
      <c r="U128" s="444">
        <f t="shared" si="75"/>
        <v>2.6633555796988981E-2</v>
      </c>
      <c r="V128" s="459">
        <f t="shared" si="76"/>
        <v>9.3320000000000007</v>
      </c>
      <c r="W128" s="460">
        <f t="shared" si="77"/>
        <v>2.0691337220904195E-2</v>
      </c>
      <c r="X128" s="461">
        <f t="shared" si="78"/>
        <v>3279.4514400000003</v>
      </c>
      <c r="Y128" s="366" t="s">
        <v>174</v>
      </c>
      <c r="Z128" s="366" t="s">
        <v>428</v>
      </c>
      <c r="AA128" s="367" t="s">
        <v>763</v>
      </c>
      <c r="AB128" s="367" t="s">
        <v>764</v>
      </c>
      <c r="AC128" s="367">
        <v>1</v>
      </c>
      <c r="AD128" s="446" t="s">
        <v>664</v>
      </c>
      <c r="AH128" s="370"/>
    </row>
    <row r="129" spans="2:39" s="147" customFormat="1" ht="27" customHeight="1">
      <c r="B129" s="894"/>
      <c r="C129" s="895"/>
      <c r="D129" s="361">
        <v>13</v>
      </c>
      <c r="E129" s="440" t="s">
        <v>631</v>
      </c>
      <c r="F129" s="364">
        <f t="shared" si="66"/>
        <v>4165.1610000000037</v>
      </c>
      <c r="G129" s="365">
        <v>43.889999999999993</v>
      </c>
      <c r="H129" s="442">
        <v>3197.54</v>
      </c>
      <c r="I129" s="442">
        <v>3197.54</v>
      </c>
      <c r="J129" s="444">
        <f t="shared" si="67"/>
        <v>1</v>
      </c>
      <c r="K129" s="443">
        <v>3197.54</v>
      </c>
      <c r="L129" s="444">
        <f t="shared" si="68"/>
        <v>1</v>
      </c>
      <c r="M129" s="443">
        <v>94.9</v>
      </c>
      <c r="N129" s="444">
        <f t="shared" si="69"/>
        <v>2.9679065781819777E-2</v>
      </c>
      <c r="O129" s="445">
        <f t="shared" si="70"/>
        <v>3292.44</v>
      </c>
      <c r="P129" s="444">
        <f t="shared" si="71"/>
        <v>1.0296790657818198</v>
      </c>
      <c r="Q129" s="442">
        <v>22.82</v>
      </c>
      <c r="R129" s="444">
        <f t="shared" si="72"/>
        <v>7.136736366081425E-3</v>
      </c>
      <c r="S129" s="452">
        <f t="shared" si="73"/>
        <v>1001.5697999999999</v>
      </c>
      <c r="T129" s="445">
        <f t="shared" si="74"/>
        <v>94.900000000000091</v>
      </c>
      <c r="U129" s="444">
        <f t="shared" si="75"/>
        <v>2.9679065781819804E-2</v>
      </c>
      <c r="V129" s="459">
        <f t="shared" si="76"/>
        <v>72.080000000000098</v>
      </c>
      <c r="W129" s="460">
        <f t="shared" si="77"/>
        <v>2.2542329415738381E-2</v>
      </c>
      <c r="X129" s="461">
        <f t="shared" si="78"/>
        <v>3163.5912000000039</v>
      </c>
      <c r="Y129" s="366" t="s">
        <v>174</v>
      </c>
      <c r="Z129" s="366" t="s">
        <v>216</v>
      </c>
      <c r="AA129" s="367" t="s">
        <v>756</v>
      </c>
      <c r="AB129" s="367" t="s">
        <v>757</v>
      </c>
      <c r="AC129" s="367">
        <v>1</v>
      </c>
      <c r="AD129" s="446" t="s">
        <v>630</v>
      </c>
    </row>
    <row r="130" spans="2:39" s="147" customFormat="1" ht="27" customHeight="1">
      <c r="B130" s="894"/>
      <c r="C130" s="895"/>
      <c r="D130" s="361">
        <v>14</v>
      </c>
      <c r="E130" s="440" t="s">
        <v>653</v>
      </c>
      <c r="F130" s="364">
        <f t="shared" si="66"/>
        <v>4111.9266000000016</v>
      </c>
      <c r="G130" s="365">
        <v>40.420000000000009</v>
      </c>
      <c r="H130" s="442">
        <v>2590.2800000000002</v>
      </c>
      <c r="I130" s="442">
        <v>2590.2800000000002</v>
      </c>
      <c r="J130" s="444">
        <f t="shared" si="67"/>
        <v>1</v>
      </c>
      <c r="K130" s="443">
        <v>2590.2800000000002</v>
      </c>
      <c r="L130" s="444">
        <f t="shared" si="68"/>
        <v>1</v>
      </c>
      <c r="M130" s="443">
        <v>101.73</v>
      </c>
      <c r="N130" s="444">
        <f t="shared" si="69"/>
        <v>3.9273746467563347E-2</v>
      </c>
      <c r="O130" s="445">
        <f t="shared" si="70"/>
        <v>2692.01</v>
      </c>
      <c r="P130" s="444">
        <f t="shared" si="71"/>
        <v>1.0392737464675634</v>
      </c>
      <c r="Q130" s="442">
        <v>25.98</v>
      </c>
      <c r="R130" s="444">
        <f t="shared" si="72"/>
        <v>1.0029803727782324E-2</v>
      </c>
      <c r="S130" s="452">
        <f t="shared" si="73"/>
        <v>1050.1116000000002</v>
      </c>
      <c r="T130" s="445">
        <f t="shared" si="74"/>
        <v>101.73000000000002</v>
      </c>
      <c r="U130" s="444">
        <f t="shared" si="75"/>
        <v>3.9273746467563354E-2</v>
      </c>
      <c r="V130" s="459">
        <f t="shared" si="76"/>
        <v>75.750000000000014</v>
      </c>
      <c r="W130" s="460">
        <f t="shared" si="77"/>
        <v>2.924394273978103E-2</v>
      </c>
      <c r="X130" s="461">
        <f t="shared" si="78"/>
        <v>3061.8150000000014</v>
      </c>
      <c r="Y130" s="366" t="s">
        <v>174</v>
      </c>
      <c r="Z130" s="366" t="s">
        <v>216</v>
      </c>
      <c r="AA130" s="367" t="s">
        <v>756</v>
      </c>
      <c r="AB130" s="367" t="s">
        <v>757</v>
      </c>
      <c r="AC130" s="367">
        <v>1</v>
      </c>
      <c r="AD130" s="446" t="s">
        <v>650</v>
      </c>
    </row>
    <row r="131" spans="2:39" s="147" customFormat="1" ht="27" customHeight="1">
      <c r="B131" s="894"/>
      <c r="C131" s="895"/>
      <c r="D131" s="361">
        <v>15</v>
      </c>
      <c r="E131" s="440" t="s">
        <v>432</v>
      </c>
      <c r="F131" s="364">
        <f t="shared" si="66"/>
        <v>4049.5399999999991</v>
      </c>
      <c r="G131" s="365">
        <v>368.13999999999993</v>
      </c>
      <c r="H131" s="442">
        <v>398.59</v>
      </c>
      <c r="I131" s="442">
        <v>398.59</v>
      </c>
      <c r="J131" s="444">
        <f t="shared" si="67"/>
        <v>1</v>
      </c>
      <c r="K131" s="443">
        <v>398.59</v>
      </c>
      <c r="L131" s="444">
        <f t="shared" si="68"/>
        <v>1</v>
      </c>
      <c r="M131" s="443">
        <v>11</v>
      </c>
      <c r="N131" s="444">
        <f t="shared" si="69"/>
        <v>2.759728041345744E-2</v>
      </c>
      <c r="O131" s="445">
        <f t="shared" si="70"/>
        <v>409.59</v>
      </c>
      <c r="P131" s="444">
        <f t="shared" si="71"/>
        <v>1.0275972804134574</v>
      </c>
      <c r="Q131" s="442">
        <v>2.7</v>
      </c>
      <c r="R131" s="444">
        <f t="shared" si="72"/>
        <v>6.7738779196668264E-3</v>
      </c>
      <c r="S131" s="452">
        <f t="shared" si="73"/>
        <v>993.97799999999984</v>
      </c>
      <c r="T131" s="445">
        <f t="shared" si="74"/>
        <v>11</v>
      </c>
      <c r="U131" s="444">
        <f t="shared" si="75"/>
        <v>2.759728041345744E-2</v>
      </c>
      <c r="V131" s="459">
        <f t="shared" si="76"/>
        <v>8.3000000000000007</v>
      </c>
      <c r="W131" s="460">
        <f t="shared" si="77"/>
        <v>2.0823402493790614E-2</v>
      </c>
      <c r="X131" s="461">
        <f t="shared" si="78"/>
        <v>3055.5619999999999</v>
      </c>
      <c r="Y131" s="366" t="s">
        <v>174</v>
      </c>
      <c r="Z131" s="366" t="s">
        <v>428</v>
      </c>
      <c r="AA131" s="367" t="s">
        <v>763</v>
      </c>
      <c r="AB131" s="367" t="s">
        <v>764</v>
      </c>
      <c r="AC131" s="367">
        <v>1</v>
      </c>
      <c r="AD131" s="446" t="s">
        <v>433</v>
      </c>
    </row>
    <row r="132" spans="2:39" s="147" customFormat="1" ht="27" customHeight="1">
      <c r="B132" s="894"/>
      <c r="C132" s="895"/>
      <c r="D132" s="361">
        <v>16</v>
      </c>
      <c r="E132" s="440" t="s">
        <v>635</v>
      </c>
      <c r="F132" s="364">
        <f t="shared" si="66"/>
        <v>4046.8786000000009</v>
      </c>
      <c r="G132" s="365">
        <v>49.82</v>
      </c>
      <c r="H132" s="442">
        <v>2935.75</v>
      </c>
      <c r="I132" s="442">
        <v>2935.75</v>
      </c>
      <c r="J132" s="444">
        <f t="shared" si="67"/>
        <v>1</v>
      </c>
      <c r="K132" s="443">
        <v>2935.75</v>
      </c>
      <c r="L132" s="444">
        <f t="shared" si="68"/>
        <v>1</v>
      </c>
      <c r="M132" s="443">
        <v>81.23</v>
      </c>
      <c r="N132" s="444">
        <f t="shared" si="69"/>
        <v>2.7669249765817937E-2</v>
      </c>
      <c r="O132" s="445">
        <f t="shared" si="70"/>
        <v>3016.98</v>
      </c>
      <c r="P132" s="444">
        <f t="shared" si="71"/>
        <v>1.027669249765818</v>
      </c>
      <c r="Q132" s="442">
        <v>21.09</v>
      </c>
      <c r="R132" s="444">
        <f t="shared" si="72"/>
        <v>7.1838542110193304E-3</v>
      </c>
      <c r="S132" s="452">
        <f t="shared" si="73"/>
        <v>1050.7038</v>
      </c>
      <c r="T132" s="445">
        <f t="shared" si="74"/>
        <v>81.230000000000018</v>
      </c>
      <c r="U132" s="444">
        <f t="shared" si="75"/>
        <v>2.766924976581794E-2</v>
      </c>
      <c r="V132" s="459">
        <f t="shared" si="76"/>
        <v>60.140000000000015</v>
      </c>
      <c r="W132" s="460">
        <f t="shared" si="77"/>
        <v>2.048539555479861E-2</v>
      </c>
      <c r="X132" s="461">
        <f t="shared" si="78"/>
        <v>2996.1748000000007</v>
      </c>
      <c r="Y132" s="366" t="s">
        <v>174</v>
      </c>
      <c r="Z132" s="366" t="s">
        <v>428</v>
      </c>
      <c r="AA132" s="367" t="s">
        <v>479</v>
      </c>
      <c r="AB132" s="367" t="s">
        <v>477</v>
      </c>
      <c r="AC132" s="367">
        <v>1</v>
      </c>
      <c r="AD132" s="446" t="s">
        <v>616</v>
      </c>
    </row>
    <row r="133" spans="2:39" s="147" customFormat="1" ht="27" customHeight="1">
      <c r="B133" s="894"/>
      <c r="C133" s="895"/>
      <c r="D133" s="361">
        <v>17</v>
      </c>
      <c r="E133" s="440" t="s">
        <v>696</v>
      </c>
      <c r="F133" s="364">
        <f t="shared" si="66"/>
        <v>4010.6540000000095</v>
      </c>
      <c r="G133" s="365">
        <v>98.060000000000016</v>
      </c>
      <c r="H133" s="442">
        <v>1407.1200000000001</v>
      </c>
      <c r="I133" s="442">
        <v>1407.1200000000001</v>
      </c>
      <c r="J133" s="444">
        <f t="shared" si="67"/>
        <v>1</v>
      </c>
      <c r="K133" s="443">
        <v>1407.1200000000001</v>
      </c>
      <c r="L133" s="444">
        <f t="shared" si="68"/>
        <v>1</v>
      </c>
      <c r="M133" s="443">
        <v>40.9</v>
      </c>
      <c r="N133" s="444">
        <f t="shared" si="69"/>
        <v>2.9066461993291257E-2</v>
      </c>
      <c r="O133" s="445">
        <f t="shared" si="70"/>
        <v>1448.0200000000002</v>
      </c>
      <c r="P133" s="444">
        <f t="shared" si="71"/>
        <v>1.0290664619932912</v>
      </c>
      <c r="Q133" s="442">
        <v>10.220000000000001</v>
      </c>
      <c r="R133" s="444">
        <f t="shared" si="72"/>
        <v>7.2630621411109214E-3</v>
      </c>
      <c r="S133" s="452">
        <f t="shared" si="73"/>
        <v>1002.1732000000002</v>
      </c>
      <c r="T133" s="445">
        <f t="shared" si="74"/>
        <v>40.900000000000091</v>
      </c>
      <c r="U133" s="444">
        <f t="shared" si="75"/>
        <v>2.9066461993291322E-2</v>
      </c>
      <c r="V133" s="459">
        <f t="shared" si="76"/>
        <v>30.680000000000092</v>
      </c>
      <c r="W133" s="460">
        <f t="shared" si="77"/>
        <v>2.1803399852180404E-2</v>
      </c>
      <c r="X133" s="461">
        <f t="shared" si="78"/>
        <v>3008.4808000000094</v>
      </c>
      <c r="Y133" s="366" t="s">
        <v>174</v>
      </c>
      <c r="Z133" s="366" t="s">
        <v>428</v>
      </c>
      <c r="AA133" s="367" t="s">
        <v>479</v>
      </c>
      <c r="AB133" s="367" t="s">
        <v>477</v>
      </c>
      <c r="AC133" s="367">
        <v>1</v>
      </c>
      <c r="AD133" s="446" t="s">
        <v>664</v>
      </c>
    </row>
    <row r="134" spans="2:39" s="147" customFormat="1" ht="27" customHeight="1">
      <c r="B134" s="894"/>
      <c r="C134" s="895"/>
      <c r="D134" s="361">
        <v>18</v>
      </c>
      <c r="E134" s="440" t="s">
        <v>583</v>
      </c>
      <c r="F134" s="364">
        <f t="shared" si="66"/>
        <v>4003.8096000000041</v>
      </c>
      <c r="G134" s="365">
        <v>113.68000000000004</v>
      </c>
      <c r="H134" s="442">
        <v>1243</v>
      </c>
      <c r="I134" s="442">
        <v>1243</v>
      </c>
      <c r="J134" s="444">
        <f t="shared" si="67"/>
        <v>1</v>
      </c>
      <c r="K134" s="443">
        <v>1243</v>
      </c>
      <c r="L134" s="444">
        <f t="shared" si="68"/>
        <v>1</v>
      </c>
      <c r="M134" s="443">
        <v>35.220000000000006</v>
      </c>
      <c r="N134" s="444">
        <f t="shared" si="69"/>
        <v>2.8334674175382144E-2</v>
      </c>
      <c r="O134" s="445">
        <f t="shared" si="70"/>
        <v>1278.22</v>
      </c>
      <c r="P134" s="444">
        <f t="shared" si="71"/>
        <v>1.0283346741753823</v>
      </c>
      <c r="Q134" s="442">
        <v>8.81</v>
      </c>
      <c r="R134" s="444">
        <f t="shared" si="72"/>
        <v>7.0876910699919551E-3</v>
      </c>
      <c r="S134" s="452">
        <f t="shared" si="73"/>
        <v>1001.5208000000003</v>
      </c>
      <c r="T134" s="445">
        <f t="shared" si="74"/>
        <v>35.220000000000027</v>
      </c>
      <c r="U134" s="444">
        <f t="shared" si="75"/>
        <v>2.8334674175382161E-2</v>
      </c>
      <c r="V134" s="459">
        <f t="shared" si="76"/>
        <v>26.410000000000025</v>
      </c>
      <c r="W134" s="460">
        <f t="shared" si="77"/>
        <v>2.1246983105390204E-2</v>
      </c>
      <c r="X134" s="461">
        <f t="shared" si="78"/>
        <v>3002.2888000000039</v>
      </c>
      <c r="Y134" s="366" t="s">
        <v>174</v>
      </c>
      <c r="Z134" s="366" t="s">
        <v>428</v>
      </c>
      <c r="AA134" s="367" t="s">
        <v>479</v>
      </c>
      <c r="AB134" s="367" t="s">
        <v>477</v>
      </c>
      <c r="AC134" s="367">
        <v>1</v>
      </c>
      <c r="AD134" s="446" t="s">
        <v>566</v>
      </c>
    </row>
    <row r="135" spans="2:39" s="147" customFormat="1" ht="27" customHeight="1">
      <c r="B135" s="894"/>
      <c r="C135" s="895"/>
      <c r="D135" s="361">
        <v>19</v>
      </c>
      <c r="E135" s="440" t="s">
        <v>545</v>
      </c>
      <c r="F135" s="364">
        <f t="shared" si="66"/>
        <v>3925.4767999999931</v>
      </c>
      <c r="G135" s="365">
        <v>66.13</v>
      </c>
      <c r="H135" s="442">
        <v>1969.3800000000003</v>
      </c>
      <c r="I135" s="442">
        <v>1969.3800000000003</v>
      </c>
      <c r="J135" s="444">
        <f t="shared" si="67"/>
        <v>1</v>
      </c>
      <c r="K135" s="443">
        <v>1969.3800000000003</v>
      </c>
      <c r="L135" s="444">
        <f t="shared" si="68"/>
        <v>1</v>
      </c>
      <c r="M135" s="443">
        <v>59.36</v>
      </c>
      <c r="N135" s="444">
        <f t="shared" si="69"/>
        <v>3.0141465842041651E-2</v>
      </c>
      <c r="O135" s="445">
        <f t="shared" si="70"/>
        <v>2028.7400000000002</v>
      </c>
      <c r="P135" s="444">
        <f t="shared" si="71"/>
        <v>1.0301414658420416</v>
      </c>
      <c r="Q135" s="442">
        <v>15.13</v>
      </c>
      <c r="R135" s="444">
        <f t="shared" si="72"/>
        <v>7.682620926382922E-3</v>
      </c>
      <c r="S135" s="452">
        <f t="shared" si="73"/>
        <v>1000.5468999999999</v>
      </c>
      <c r="T135" s="445">
        <f t="shared" si="74"/>
        <v>59.3599999999999</v>
      </c>
      <c r="U135" s="444">
        <f t="shared" si="75"/>
        <v>3.0141465842041602E-2</v>
      </c>
      <c r="V135" s="459">
        <f t="shared" si="76"/>
        <v>44.229999999999897</v>
      </c>
      <c r="W135" s="460">
        <f t="shared" si="77"/>
        <v>2.2458844915658679E-2</v>
      </c>
      <c r="X135" s="461">
        <f t="shared" si="78"/>
        <v>2924.9298999999928</v>
      </c>
      <c r="Y135" s="366" t="s">
        <v>174</v>
      </c>
      <c r="Z135" s="366" t="s">
        <v>428</v>
      </c>
      <c r="AA135" s="367" t="s">
        <v>479</v>
      </c>
      <c r="AB135" s="367" t="s">
        <v>477</v>
      </c>
      <c r="AC135" s="367">
        <v>1</v>
      </c>
      <c r="AD135" s="446" t="s">
        <v>341</v>
      </c>
    </row>
    <row r="136" spans="2:39" s="147" customFormat="1" ht="27" customHeight="1">
      <c r="B136" s="896"/>
      <c r="C136" s="897"/>
      <c r="D136" s="361">
        <v>20</v>
      </c>
      <c r="E136" s="440" t="s">
        <v>464</v>
      </c>
      <c r="F136" s="364">
        <f t="shared" si="66"/>
        <v>3912.3799999999992</v>
      </c>
      <c r="G136" s="365">
        <v>629</v>
      </c>
      <c r="H136" s="442">
        <v>250.79999999999998</v>
      </c>
      <c r="I136" s="442">
        <v>250.79999999999998</v>
      </c>
      <c r="J136" s="444">
        <f t="shared" si="67"/>
        <v>1</v>
      </c>
      <c r="K136" s="443">
        <v>250.79999999999998</v>
      </c>
      <c r="L136" s="444">
        <f t="shared" si="68"/>
        <v>1</v>
      </c>
      <c r="M136" s="443">
        <v>6.22</v>
      </c>
      <c r="N136" s="444">
        <f t="shared" si="69"/>
        <v>2.4800637958532695E-2</v>
      </c>
      <c r="O136" s="445">
        <f t="shared" si="70"/>
        <v>257.02</v>
      </c>
      <c r="P136" s="444">
        <f t="shared" si="71"/>
        <v>1.0248006379585326</v>
      </c>
      <c r="Q136" s="442">
        <v>1.57</v>
      </c>
      <c r="R136" s="444">
        <f t="shared" si="72"/>
        <v>6.2599681020733657E-3</v>
      </c>
      <c r="S136" s="452">
        <f t="shared" si="73"/>
        <v>987.53000000000009</v>
      </c>
      <c r="T136" s="445">
        <f t="shared" si="74"/>
        <v>6.2199999999999989</v>
      </c>
      <c r="U136" s="444">
        <f t="shared" si="75"/>
        <v>2.4800637958532691E-2</v>
      </c>
      <c r="V136" s="459">
        <f t="shared" si="76"/>
        <v>4.6499999999999986</v>
      </c>
      <c r="W136" s="460">
        <f t="shared" si="77"/>
        <v>1.8540669856459326E-2</v>
      </c>
      <c r="X136" s="461">
        <f t="shared" si="78"/>
        <v>2924.849999999999</v>
      </c>
      <c r="Y136" s="366" t="s">
        <v>174</v>
      </c>
      <c r="Z136" s="366" t="s">
        <v>428</v>
      </c>
      <c r="AA136" s="367" t="s">
        <v>482</v>
      </c>
      <c r="AB136" s="367" t="s">
        <v>760</v>
      </c>
      <c r="AC136" s="367">
        <v>1</v>
      </c>
      <c r="AD136" s="446" t="s">
        <v>458</v>
      </c>
    </row>
    <row r="137" spans="2:39" ht="17.100000000000001" customHeight="1">
      <c r="B137" s="898" t="s">
        <v>442</v>
      </c>
      <c r="C137" s="899"/>
      <c r="D137" s="902" t="s">
        <v>549</v>
      </c>
      <c r="E137" s="903" t="s">
        <v>550</v>
      </c>
      <c r="F137" s="953" t="s">
        <v>567</v>
      </c>
      <c r="G137" s="881" t="s">
        <v>552</v>
      </c>
      <c r="H137" s="905" t="s">
        <v>553</v>
      </c>
      <c r="I137" s="906" t="s">
        <v>554</v>
      </c>
      <c r="J137" s="907"/>
      <c r="K137" s="906" t="s">
        <v>555</v>
      </c>
      <c r="L137" s="907"/>
      <c r="M137" s="906" t="s">
        <v>556</v>
      </c>
      <c r="N137" s="907"/>
      <c r="O137" s="906" t="s">
        <v>557</v>
      </c>
      <c r="P137" s="907"/>
      <c r="Q137" s="906" t="s">
        <v>418</v>
      </c>
      <c r="R137" s="954"/>
      <c r="S137" s="907"/>
      <c r="T137" s="908" t="s">
        <v>743</v>
      </c>
      <c r="U137" s="909"/>
      <c r="V137" s="911" t="s">
        <v>742</v>
      </c>
      <c r="W137" s="912"/>
      <c r="X137" s="913"/>
      <c r="Y137" s="914" t="s">
        <v>171</v>
      </c>
      <c r="Z137" s="914" t="s">
        <v>245</v>
      </c>
      <c r="AA137" s="914" t="s">
        <v>558</v>
      </c>
      <c r="AB137" s="914" t="s">
        <v>444</v>
      </c>
      <c r="AC137" s="914" t="s">
        <v>246</v>
      </c>
      <c r="AD137" s="881" t="s">
        <v>172</v>
      </c>
      <c r="AF137" s="883" t="s">
        <v>247</v>
      </c>
      <c r="AG137" s="884"/>
      <c r="AH137" s="884"/>
      <c r="AI137" s="884"/>
      <c r="AJ137" s="884"/>
      <c r="AK137" s="884"/>
      <c r="AL137" s="884"/>
      <c r="AM137" s="885"/>
    </row>
    <row r="138" spans="2:39" ht="16.5" customHeight="1">
      <c r="B138" s="900"/>
      <c r="C138" s="901"/>
      <c r="D138" s="902"/>
      <c r="E138" s="902"/>
      <c r="F138" s="904"/>
      <c r="G138" s="882"/>
      <c r="H138" s="882"/>
      <c r="I138" s="439" t="s">
        <v>559</v>
      </c>
      <c r="J138" s="362" t="s">
        <v>560</v>
      </c>
      <c r="K138" s="439" t="s">
        <v>559</v>
      </c>
      <c r="L138" s="362" t="s">
        <v>560</v>
      </c>
      <c r="M138" s="439" t="s">
        <v>559</v>
      </c>
      <c r="N138" s="362" t="s">
        <v>560</v>
      </c>
      <c r="O138" s="439" t="s">
        <v>559</v>
      </c>
      <c r="P138" s="362" t="s">
        <v>560</v>
      </c>
      <c r="Q138" s="439" t="s">
        <v>559</v>
      </c>
      <c r="R138" s="362" t="s">
        <v>560</v>
      </c>
      <c r="S138" s="362" t="s">
        <v>561</v>
      </c>
      <c r="T138" s="439" t="s">
        <v>559</v>
      </c>
      <c r="U138" s="362" t="s">
        <v>560</v>
      </c>
      <c r="V138" s="439" t="s">
        <v>559</v>
      </c>
      <c r="W138" s="362" t="s">
        <v>560</v>
      </c>
      <c r="X138" s="362" t="s">
        <v>561</v>
      </c>
      <c r="Y138" s="915"/>
      <c r="Z138" s="915"/>
      <c r="AA138" s="915"/>
      <c r="AB138" s="915"/>
      <c r="AC138" s="915"/>
      <c r="AD138" s="882"/>
      <c r="AF138" s="886"/>
      <c r="AG138" s="887"/>
      <c r="AH138" s="887"/>
      <c r="AI138" s="887"/>
      <c r="AJ138" s="887"/>
      <c r="AK138" s="887"/>
      <c r="AL138" s="887"/>
      <c r="AM138" s="888"/>
    </row>
    <row r="139" spans="2:39" s="147" customFormat="1" ht="27" customHeight="1">
      <c r="B139" s="892" t="s">
        <v>794</v>
      </c>
      <c r="C139" s="893"/>
      <c r="D139" s="361">
        <v>1</v>
      </c>
      <c r="E139" s="440" t="s">
        <v>336</v>
      </c>
      <c r="F139" s="364">
        <f>IFERROR(T139*G139,"-")</f>
        <v>11128.016399999939</v>
      </c>
      <c r="G139" s="365">
        <v>147.43000000000004</v>
      </c>
      <c r="H139" s="442">
        <v>4347.82</v>
      </c>
      <c r="I139" s="442">
        <v>4347.82</v>
      </c>
      <c r="J139" s="444">
        <f>IFERROR(I139/H139,"-")</f>
        <v>1</v>
      </c>
      <c r="K139" s="443">
        <v>4347.82</v>
      </c>
      <c r="L139" s="444">
        <f>IFERROR(K139/H139,"-")</f>
        <v>1</v>
      </c>
      <c r="M139" s="443">
        <v>75.47999999999999</v>
      </c>
      <c r="N139" s="444">
        <f>IFERROR(M139/H139,"-")</f>
        <v>1.7360424304594026E-2</v>
      </c>
      <c r="O139" s="445">
        <f>IFERROR(K139+M139,"-")</f>
        <v>4423.2999999999993</v>
      </c>
      <c r="P139" s="444">
        <f>IFERROR(O139/H139,"-")</f>
        <v>1.0173604243045939</v>
      </c>
      <c r="Q139" s="442">
        <v>11.11</v>
      </c>
      <c r="R139" s="444">
        <f>IFERROR(Q139/H139,"-")</f>
        <v>2.5553035774250085E-3</v>
      </c>
      <c r="S139" s="452">
        <f>IFERROR(Q139*G139,"-")</f>
        <v>1637.9473000000003</v>
      </c>
      <c r="T139" s="445">
        <f>IFERROR(O139-H139,"-")</f>
        <v>75.479999999999563</v>
      </c>
      <c r="U139" s="444">
        <f>IFERROR(T139/H139,"-")</f>
        <v>1.7360424304593926E-2</v>
      </c>
      <c r="V139" s="459">
        <f>T139-Q139</f>
        <v>64.369999999999564</v>
      </c>
      <c r="W139" s="460">
        <f>IFERROR(V139/H139,"-")</f>
        <v>1.4805120727168919E-2</v>
      </c>
      <c r="X139" s="461">
        <f>IFERROR(V139*G139,"-")</f>
        <v>9490.0690999999388</v>
      </c>
      <c r="Y139" s="366" t="s">
        <v>174</v>
      </c>
      <c r="Z139" s="366" t="s">
        <v>215</v>
      </c>
      <c r="AA139" s="367" t="s">
        <v>478</v>
      </c>
      <c r="AB139" s="367" t="s">
        <v>524</v>
      </c>
      <c r="AC139" s="367">
        <v>1</v>
      </c>
      <c r="AD139" s="446" t="s">
        <v>340</v>
      </c>
      <c r="AF139" s="889"/>
      <c r="AG139" s="890"/>
      <c r="AH139" s="890"/>
      <c r="AI139" s="890"/>
      <c r="AJ139" s="890"/>
      <c r="AK139" s="890"/>
      <c r="AL139" s="890"/>
      <c r="AM139" s="891"/>
    </row>
    <row r="140" spans="2:39" s="147" customFormat="1" ht="27" customHeight="1">
      <c r="B140" s="894"/>
      <c r="C140" s="895"/>
      <c r="D140" s="361">
        <v>2</v>
      </c>
      <c r="E140" s="440" t="s">
        <v>692</v>
      </c>
      <c r="F140" s="364">
        <f t="shared" ref="F140:F158" si="82">IFERROR(T140*G140,"-")</f>
        <v>8155.9981999999818</v>
      </c>
      <c r="G140" s="365">
        <v>625.93999999999994</v>
      </c>
      <c r="H140" s="442">
        <v>1384.34</v>
      </c>
      <c r="I140" s="442">
        <v>1384.34</v>
      </c>
      <c r="J140" s="444">
        <f t="shared" ref="J140:J158" si="83">IFERROR(I140/H140,"-")</f>
        <v>1</v>
      </c>
      <c r="K140" s="443">
        <v>1384.34</v>
      </c>
      <c r="L140" s="444">
        <f t="shared" ref="L140:L158" si="84">IFERROR(K140/H140,"-")</f>
        <v>1</v>
      </c>
      <c r="M140" s="443">
        <v>13.03</v>
      </c>
      <c r="N140" s="444">
        <f t="shared" ref="N140:N158" si="85">IFERROR(M140/H140,"-")</f>
        <v>9.4124275828192504E-3</v>
      </c>
      <c r="O140" s="445">
        <f t="shared" ref="O140:O158" si="86">IFERROR(K140+M140,"-")</f>
        <v>1397.37</v>
      </c>
      <c r="P140" s="444">
        <f t="shared" ref="P140:P158" si="87">IFERROR(O140/H140,"-")</f>
        <v>1.0094124275828191</v>
      </c>
      <c r="Q140" s="442">
        <v>1.87</v>
      </c>
      <c r="R140" s="444">
        <f t="shared" ref="R140:R158" si="88">IFERROR(Q140/H140,"-")</f>
        <v>1.3508242194836531E-3</v>
      </c>
      <c r="S140" s="452">
        <f t="shared" ref="S140:S158" si="89">IFERROR(Q140*G140,"-")</f>
        <v>1170.5077999999999</v>
      </c>
      <c r="T140" s="445">
        <f t="shared" ref="T140:T158" si="90">IFERROR(O140-H140,"-")</f>
        <v>13.029999999999973</v>
      </c>
      <c r="U140" s="444">
        <f t="shared" ref="U140:U158" si="91">IFERROR(T140/H140,"-")</f>
        <v>9.4124275828192296E-3</v>
      </c>
      <c r="V140" s="459">
        <f t="shared" ref="V140:V158" si="92">T140-Q140</f>
        <v>11.159999999999972</v>
      </c>
      <c r="W140" s="460">
        <f t="shared" ref="W140:W158" si="93">IFERROR(V140/H140,"-")</f>
        <v>8.0616033633355774E-3</v>
      </c>
      <c r="X140" s="461">
        <f t="shared" ref="X140:X158" si="94">IFERROR(V140*G140,"-")</f>
        <v>6985.4903999999815</v>
      </c>
      <c r="Y140" s="366" t="s">
        <v>174</v>
      </c>
      <c r="Z140" s="366" t="s">
        <v>216</v>
      </c>
      <c r="AA140" s="367" t="s">
        <v>482</v>
      </c>
      <c r="AB140" s="367" t="s">
        <v>760</v>
      </c>
      <c r="AC140" s="367">
        <v>1</v>
      </c>
      <c r="AD140" s="446" t="s">
        <v>697</v>
      </c>
      <c r="AF140" s="160" t="s">
        <v>244</v>
      </c>
      <c r="AG140" s="160" t="s">
        <v>445</v>
      </c>
      <c r="AH140" s="155" t="s">
        <v>562</v>
      </c>
      <c r="AI140" s="155" t="s">
        <v>337</v>
      </c>
      <c r="AJ140" s="155" t="s">
        <v>428</v>
      </c>
      <c r="AK140" s="155" t="s">
        <v>215</v>
      </c>
      <c r="AL140" s="155" t="s">
        <v>216</v>
      </c>
      <c r="AM140" s="155" t="s">
        <v>384</v>
      </c>
    </row>
    <row r="141" spans="2:39" s="147" customFormat="1" ht="27" customHeight="1">
      <c r="B141" s="894"/>
      <c r="C141" s="895"/>
      <c r="D141" s="361">
        <v>3</v>
      </c>
      <c r="E141" s="440" t="s">
        <v>534</v>
      </c>
      <c r="F141" s="364">
        <f t="shared" si="82"/>
        <v>7040.9624999999987</v>
      </c>
      <c r="G141" s="365">
        <v>39.389999999999993</v>
      </c>
      <c r="H141" s="442">
        <v>32379.059999999998</v>
      </c>
      <c r="I141" s="442">
        <v>32379.059999999998</v>
      </c>
      <c r="J141" s="444">
        <f t="shared" si="83"/>
        <v>1</v>
      </c>
      <c r="K141" s="443">
        <v>32379.059999999998</v>
      </c>
      <c r="L141" s="444">
        <f t="shared" si="84"/>
        <v>1</v>
      </c>
      <c r="M141" s="443">
        <v>178.75</v>
      </c>
      <c r="N141" s="444">
        <f t="shared" si="85"/>
        <v>5.5205432152755519E-3</v>
      </c>
      <c r="O141" s="445">
        <f t="shared" si="86"/>
        <v>32557.809999999998</v>
      </c>
      <c r="P141" s="444">
        <f t="shared" si="87"/>
        <v>1.0055205432152756</v>
      </c>
      <c r="Q141" s="442">
        <v>38.47</v>
      </c>
      <c r="R141" s="444">
        <f t="shared" si="88"/>
        <v>1.1881135524008418E-3</v>
      </c>
      <c r="S141" s="452">
        <f t="shared" si="89"/>
        <v>1515.3332999999998</v>
      </c>
      <c r="T141" s="445">
        <f t="shared" si="90"/>
        <v>178.75</v>
      </c>
      <c r="U141" s="444">
        <f t="shared" si="91"/>
        <v>5.5205432152755519E-3</v>
      </c>
      <c r="V141" s="459">
        <f t="shared" si="92"/>
        <v>140.28</v>
      </c>
      <c r="W141" s="460">
        <f t="shared" si="93"/>
        <v>4.3324296628747105E-3</v>
      </c>
      <c r="X141" s="461">
        <f t="shared" si="94"/>
        <v>5525.6291999999994</v>
      </c>
      <c r="Y141" s="366" t="s">
        <v>174</v>
      </c>
      <c r="Z141" s="366" t="s">
        <v>216</v>
      </c>
      <c r="AA141" s="367" t="s">
        <v>756</v>
      </c>
      <c r="AB141" s="367" t="s">
        <v>757</v>
      </c>
      <c r="AC141" s="367">
        <v>1</v>
      </c>
      <c r="AD141" s="446" t="s">
        <v>340</v>
      </c>
      <c r="AF141" s="374">
        <f>SUM(AC139:AC158)</f>
        <v>20</v>
      </c>
      <c r="AG141" s="369">
        <f>SUMIF($Z$139:$Z$158,TRIM(AG140),$AC$139:$AC$158)</f>
        <v>0</v>
      </c>
      <c r="AH141" s="369">
        <f t="shared" ref="AH141:AM141" si="95">SUMIF($Z$139:$Z$158,TRIM(AH140),$AC$139:$AC$158)</f>
        <v>0</v>
      </c>
      <c r="AI141" s="369">
        <f t="shared" si="95"/>
        <v>0</v>
      </c>
      <c r="AJ141" s="369">
        <f t="shared" si="95"/>
        <v>12</v>
      </c>
      <c r="AK141" s="369">
        <f t="shared" si="95"/>
        <v>1</v>
      </c>
      <c r="AL141" s="369">
        <f t="shared" si="95"/>
        <v>7</v>
      </c>
      <c r="AM141" s="369">
        <f t="shared" si="95"/>
        <v>0</v>
      </c>
    </row>
    <row r="142" spans="2:39" s="147" customFormat="1" ht="27" customHeight="1">
      <c r="B142" s="894"/>
      <c r="C142" s="895"/>
      <c r="D142" s="361">
        <v>4</v>
      </c>
      <c r="E142" s="440" t="s">
        <v>801</v>
      </c>
      <c r="F142" s="364">
        <f t="shared" si="82"/>
        <v>6474.0000000000236</v>
      </c>
      <c r="G142" s="365">
        <v>650</v>
      </c>
      <c r="H142" s="442">
        <v>707.8</v>
      </c>
      <c r="I142" s="442">
        <v>707.8</v>
      </c>
      <c r="J142" s="444">
        <f t="shared" si="83"/>
        <v>1</v>
      </c>
      <c r="K142" s="443">
        <v>707.8</v>
      </c>
      <c r="L142" s="444">
        <f t="shared" si="84"/>
        <v>1</v>
      </c>
      <c r="M142" s="443">
        <v>9.9600000000000009</v>
      </c>
      <c r="N142" s="444">
        <f t="shared" si="85"/>
        <v>1.4071771686917211E-2</v>
      </c>
      <c r="O142" s="445">
        <f t="shared" si="86"/>
        <v>717.76</v>
      </c>
      <c r="P142" s="444">
        <f t="shared" si="87"/>
        <v>1.0140717716869172</v>
      </c>
      <c r="Q142" s="442">
        <v>1.1599999999999999</v>
      </c>
      <c r="R142" s="444">
        <f t="shared" si="88"/>
        <v>1.6388810398417632E-3</v>
      </c>
      <c r="S142" s="452">
        <f t="shared" si="89"/>
        <v>754</v>
      </c>
      <c r="T142" s="445">
        <f t="shared" si="90"/>
        <v>9.9600000000000364</v>
      </c>
      <c r="U142" s="444">
        <f t="shared" si="91"/>
        <v>1.4071771686917261E-2</v>
      </c>
      <c r="V142" s="459">
        <f t="shared" si="92"/>
        <v>8.8000000000000362</v>
      </c>
      <c r="W142" s="460">
        <f t="shared" si="93"/>
        <v>1.2432890647075498E-2</v>
      </c>
      <c r="X142" s="461">
        <f t="shared" si="94"/>
        <v>5720.0000000000236</v>
      </c>
      <c r="Y142" s="366" t="s">
        <v>174</v>
      </c>
      <c r="Z142" s="366" t="s">
        <v>428</v>
      </c>
      <c r="AA142" s="367" t="s">
        <v>756</v>
      </c>
      <c r="AB142" s="367" t="s">
        <v>525</v>
      </c>
      <c r="AC142" s="367">
        <v>1</v>
      </c>
      <c r="AD142" s="446" t="s">
        <v>775</v>
      </c>
      <c r="AF142" s="375" t="s">
        <v>11</v>
      </c>
      <c r="AG142" s="372">
        <f>SUMIF($Z$139:$Z$158,TRIM(AG140),$F$139:$F$158)</f>
        <v>0</v>
      </c>
      <c r="AH142" s="372">
        <f t="shared" ref="AH142:AM142" si="96">SUMIF($Z$139:$Z$158,TRIM(AH140),$F$139:$F$158)</f>
        <v>0</v>
      </c>
      <c r="AI142" s="372">
        <f t="shared" si="96"/>
        <v>0</v>
      </c>
      <c r="AJ142" s="372">
        <f t="shared" si="96"/>
        <v>59297.47359999999</v>
      </c>
      <c r="AK142" s="372">
        <f t="shared" si="96"/>
        <v>11128.016399999939</v>
      </c>
      <c r="AL142" s="372">
        <f t="shared" si="96"/>
        <v>39880.301799999957</v>
      </c>
      <c r="AM142" s="372">
        <f t="shared" si="96"/>
        <v>0</v>
      </c>
    </row>
    <row r="143" spans="2:39" s="147" customFormat="1" ht="27" customHeight="1">
      <c r="B143" s="894"/>
      <c r="C143" s="895"/>
      <c r="D143" s="361">
        <v>5</v>
      </c>
      <c r="E143" s="440" t="s">
        <v>795</v>
      </c>
      <c r="F143" s="364">
        <f t="shared" si="82"/>
        <v>6349.59</v>
      </c>
      <c r="G143" s="365">
        <v>52.26</v>
      </c>
      <c r="H143" s="442">
        <v>6370.9800000000005</v>
      </c>
      <c r="I143" s="442">
        <v>6370.9800000000005</v>
      </c>
      <c r="J143" s="444">
        <f t="shared" si="83"/>
        <v>1</v>
      </c>
      <c r="K143" s="443">
        <v>6370.9800000000005</v>
      </c>
      <c r="L143" s="444">
        <f t="shared" si="84"/>
        <v>1</v>
      </c>
      <c r="M143" s="443">
        <v>121.5</v>
      </c>
      <c r="N143" s="444">
        <f t="shared" si="85"/>
        <v>1.9070849382669539E-2</v>
      </c>
      <c r="O143" s="445">
        <f t="shared" si="86"/>
        <v>6492.4800000000005</v>
      </c>
      <c r="P143" s="444">
        <f t="shared" si="87"/>
        <v>1.0190708493826695</v>
      </c>
      <c r="Q143" s="442">
        <v>25.950000000000003</v>
      </c>
      <c r="R143" s="444">
        <f t="shared" si="88"/>
        <v>4.0731567200022606E-3</v>
      </c>
      <c r="S143" s="452">
        <f t="shared" si="89"/>
        <v>1356.1470000000002</v>
      </c>
      <c r="T143" s="445">
        <f t="shared" si="90"/>
        <v>121.5</v>
      </c>
      <c r="U143" s="444">
        <f t="shared" si="91"/>
        <v>1.9070849382669539E-2</v>
      </c>
      <c r="V143" s="459">
        <f t="shared" si="92"/>
        <v>95.55</v>
      </c>
      <c r="W143" s="460">
        <f t="shared" si="93"/>
        <v>1.499769266266728E-2</v>
      </c>
      <c r="X143" s="461">
        <f t="shared" si="94"/>
        <v>4993.4429999999993</v>
      </c>
      <c r="Y143" s="366" t="s">
        <v>174</v>
      </c>
      <c r="Z143" s="366" t="s">
        <v>216</v>
      </c>
      <c r="AA143" s="367" t="s">
        <v>756</v>
      </c>
      <c r="AB143" s="367" t="s">
        <v>757</v>
      </c>
      <c r="AC143" s="367">
        <v>1</v>
      </c>
      <c r="AD143" s="446" t="s">
        <v>776</v>
      </c>
      <c r="AF143" s="361" t="s">
        <v>563</v>
      </c>
      <c r="AG143" s="373">
        <f t="shared" ref="AG143:AM143" si="97">AG141/$AF141</f>
        <v>0</v>
      </c>
      <c r="AH143" s="373">
        <f t="shared" si="97"/>
        <v>0</v>
      </c>
      <c r="AI143" s="373">
        <f t="shared" si="97"/>
        <v>0</v>
      </c>
      <c r="AJ143" s="373">
        <f t="shared" si="97"/>
        <v>0.6</v>
      </c>
      <c r="AK143" s="373">
        <f t="shared" si="97"/>
        <v>0.05</v>
      </c>
      <c r="AL143" s="373">
        <f t="shared" si="97"/>
        <v>0.35</v>
      </c>
      <c r="AM143" s="373">
        <f t="shared" si="97"/>
        <v>0</v>
      </c>
    </row>
    <row r="144" spans="2:39" s="147" customFormat="1" ht="27" customHeight="1">
      <c r="B144" s="894"/>
      <c r="C144" s="895"/>
      <c r="D144" s="361">
        <v>6</v>
      </c>
      <c r="E144" s="440" t="s">
        <v>633</v>
      </c>
      <c r="F144" s="364">
        <f t="shared" si="82"/>
        <v>6113.4559999999701</v>
      </c>
      <c r="G144" s="365">
        <v>144.79999999999998</v>
      </c>
      <c r="H144" s="442">
        <v>2473.84</v>
      </c>
      <c r="I144" s="442">
        <v>2473.84</v>
      </c>
      <c r="J144" s="444">
        <f t="shared" si="83"/>
        <v>1</v>
      </c>
      <c r="K144" s="443">
        <v>2473.84</v>
      </c>
      <c r="L144" s="444">
        <f t="shared" si="84"/>
        <v>1</v>
      </c>
      <c r="M144" s="443">
        <v>42.22</v>
      </c>
      <c r="N144" s="444">
        <f t="shared" si="85"/>
        <v>1.7066584742748116E-2</v>
      </c>
      <c r="O144" s="445">
        <f t="shared" si="86"/>
        <v>2516.06</v>
      </c>
      <c r="P144" s="444">
        <f t="shared" si="87"/>
        <v>1.017066584742748</v>
      </c>
      <c r="Q144" s="442">
        <v>4.1500000000000004</v>
      </c>
      <c r="R144" s="444">
        <f t="shared" si="88"/>
        <v>1.6775539242634932E-3</v>
      </c>
      <c r="S144" s="452">
        <f t="shared" si="89"/>
        <v>600.91999999999996</v>
      </c>
      <c r="T144" s="445">
        <f t="shared" si="90"/>
        <v>42.2199999999998</v>
      </c>
      <c r="U144" s="444">
        <f t="shared" si="91"/>
        <v>1.7066584742748036E-2</v>
      </c>
      <c r="V144" s="459">
        <f t="shared" si="92"/>
        <v>38.069999999999801</v>
      </c>
      <c r="W144" s="460">
        <f t="shared" si="93"/>
        <v>1.5389030818484542E-2</v>
      </c>
      <c r="X144" s="461">
        <f t="shared" si="94"/>
        <v>5512.535999999971</v>
      </c>
      <c r="Y144" s="366" t="s">
        <v>174</v>
      </c>
      <c r="Z144" s="366" t="s">
        <v>428</v>
      </c>
      <c r="AA144" s="367" t="s">
        <v>482</v>
      </c>
      <c r="AB144" s="367" t="s">
        <v>525</v>
      </c>
      <c r="AC144" s="367">
        <v>1</v>
      </c>
      <c r="AD144" s="446" t="s">
        <v>340</v>
      </c>
    </row>
    <row r="145" spans="2:39" s="147" customFormat="1" ht="27" customHeight="1">
      <c r="B145" s="894"/>
      <c r="C145" s="895"/>
      <c r="D145" s="361">
        <v>7</v>
      </c>
      <c r="E145" s="440" t="s">
        <v>802</v>
      </c>
      <c r="F145" s="364">
        <f t="shared" si="82"/>
        <v>5962.6493999999893</v>
      </c>
      <c r="G145" s="365">
        <v>321.61000000000007</v>
      </c>
      <c r="H145" s="442">
        <v>677.35</v>
      </c>
      <c r="I145" s="442">
        <v>677.35</v>
      </c>
      <c r="J145" s="444">
        <f t="shared" si="83"/>
        <v>1</v>
      </c>
      <c r="K145" s="443">
        <v>677.35</v>
      </c>
      <c r="L145" s="444">
        <f t="shared" si="84"/>
        <v>1</v>
      </c>
      <c r="M145" s="443">
        <v>18.54</v>
      </c>
      <c r="N145" s="444">
        <f t="shared" si="85"/>
        <v>2.7371373735882481E-2</v>
      </c>
      <c r="O145" s="445">
        <f t="shared" si="86"/>
        <v>695.89</v>
      </c>
      <c r="P145" s="444">
        <f t="shared" si="87"/>
        <v>1.0273713737358825</v>
      </c>
      <c r="Q145" s="442">
        <v>2.89</v>
      </c>
      <c r="R145" s="444">
        <f t="shared" si="88"/>
        <v>4.2666272975566549E-3</v>
      </c>
      <c r="S145" s="452">
        <f t="shared" si="89"/>
        <v>929.45290000000023</v>
      </c>
      <c r="T145" s="445">
        <f t="shared" si="90"/>
        <v>18.539999999999964</v>
      </c>
      <c r="U145" s="444">
        <f t="shared" si="91"/>
        <v>2.7371373735882429E-2</v>
      </c>
      <c r="V145" s="459">
        <f t="shared" si="92"/>
        <v>15.649999999999963</v>
      </c>
      <c r="W145" s="460">
        <f t="shared" si="93"/>
        <v>2.3104746438325774E-2</v>
      </c>
      <c r="X145" s="461">
        <f t="shared" si="94"/>
        <v>5033.1964999999891</v>
      </c>
      <c r="Y145" s="366" t="s">
        <v>174</v>
      </c>
      <c r="Z145" s="366" t="s">
        <v>428</v>
      </c>
      <c r="AA145" s="367" t="s">
        <v>482</v>
      </c>
      <c r="AB145" s="367" t="s">
        <v>525</v>
      </c>
      <c r="AC145" s="367">
        <v>1</v>
      </c>
      <c r="AD145" s="446" t="s">
        <v>774</v>
      </c>
    </row>
    <row r="146" spans="2:39" s="147" customFormat="1" ht="27" customHeight="1">
      <c r="B146" s="894"/>
      <c r="C146" s="895"/>
      <c r="D146" s="361">
        <v>8</v>
      </c>
      <c r="E146" s="440" t="s">
        <v>796</v>
      </c>
      <c r="F146" s="364">
        <f t="shared" si="82"/>
        <v>5871.0156999999972</v>
      </c>
      <c r="G146" s="365">
        <v>24.789999999999996</v>
      </c>
      <c r="H146" s="442">
        <v>10223.720000000001</v>
      </c>
      <c r="I146" s="442">
        <v>10223.720000000001</v>
      </c>
      <c r="J146" s="444">
        <f t="shared" si="83"/>
        <v>1</v>
      </c>
      <c r="K146" s="443">
        <v>10223.720000000001</v>
      </c>
      <c r="L146" s="444">
        <f t="shared" si="84"/>
        <v>1</v>
      </c>
      <c r="M146" s="443">
        <v>236.82999999999998</v>
      </c>
      <c r="N146" s="444">
        <f t="shared" si="85"/>
        <v>2.3164758033279467E-2</v>
      </c>
      <c r="O146" s="445">
        <f t="shared" si="86"/>
        <v>10460.550000000001</v>
      </c>
      <c r="P146" s="444">
        <f t="shared" si="87"/>
        <v>1.0231647580332794</v>
      </c>
      <c r="Q146" s="442">
        <v>48.180000000000007</v>
      </c>
      <c r="R146" s="444">
        <f t="shared" si="88"/>
        <v>4.7125703755580162E-3</v>
      </c>
      <c r="S146" s="452">
        <f t="shared" si="89"/>
        <v>1194.3822</v>
      </c>
      <c r="T146" s="445">
        <f t="shared" si="90"/>
        <v>236.82999999999993</v>
      </c>
      <c r="U146" s="444">
        <f t="shared" si="91"/>
        <v>2.3164758033279463E-2</v>
      </c>
      <c r="V146" s="459">
        <f t="shared" si="92"/>
        <v>188.64999999999992</v>
      </c>
      <c r="W146" s="460">
        <f t="shared" si="93"/>
        <v>1.8452187657721445E-2</v>
      </c>
      <c r="X146" s="461">
        <f t="shared" si="94"/>
        <v>4676.6334999999972</v>
      </c>
      <c r="Y146" s="366" t="s">
        <v>174</v>
      </c>
      <c r="Z146" s="366" t="s">
        <v>428</v>
      </c>
      <c r="AA146" s="367" t="s">
        <v>479</v>
      </c>
      <c r="AB146" s="367" t="s">
        <v>808</v>
      </c>
      <c r="AC146" s="367">
        <v>1</v>
      </c>
      <c r="AD146" s="446" t="s">
        <v>775</v>
      </c>
    </row>
    <row r="147" spans="2:39" s="147" customFormat="1" ht="27" customHeight="1">
      <c r="B147" s="894"/>
      <c r="C147" s="895"/>
      <c r="D147" s="361">
        <v>9</v>
      </c>
      <c r="E147" s="440" t="s">
        <v>386</v>
      </c>
      <c r="F147" s="364">
        <f t="shared" si="82"/>
        <v>5770.697599999985</v>
      </c>
      <c r="G147" s="365">
        <v>127.84000000000002</v>
      </c>
      <c r="H147" s="442">
        <v>3938.1100000000006</v>
      </c>
      <c r="I147" s="442">
        <v>3938.1100000000006</v>
      </c>
      <c r="J147" s="444">
        <f t="shared" si="83"/>
        <v>1</v>
      </c>
      <c r="K147" s="443">
        <v>3938.1100000000006</v>
      </c>
      <c r="L147" s="444">
        <f t="shared" si="84"/>
        <v>1</v>
      </c>
      <c r="M147" s="443">
        <v>45.14</v>
      </c>
      <c r="N147" s="444">
        <f t="shared" si="85"/>
        <v>1.1462351229396841E-2</v>
      </c>
      <c r="O147" s="445">
        <f t="shared" si="86"/>
        <v>3983.2500000000005</v>
      </c>
      <c r="P147" s="444">
        <f t="shared" si="87"/>
        <v>1.0114623512293968</v>
      </c>
      <c r="Q147" s="442">
        <v>10.469999999999999</v>
      </c>
      <c r="R147" s="444">
        <f t="shared" si="88"/>
        <v>2.6586357415105209E-3</v>
      </c>
      <c r="S147" s="452">
        <f t="shared" si="89"/>
        <v>1338.4848</v>
      </c>
      <c r="T147" s="445">
        <f t="shared" si="90"/>
        <v>45.139999999999873</v>
      </c>
      <c r="U147" s="444">
        <f t="shared" si="91"/>
        <v>1.1462351229396808E-2</v>
      </c>
      <c r="V147" s="459">
        <f t="shared" si="92"/>
        <v>34.669999999999874</v>
      </c>
      <c r="W147" s="460">
        <f t="shared" si="93"/>
        <v>8.8037154878862871E-3</v>
      </c>
      <c r="X147" s="461">
        <f t="shared" si="94"/>
        <v>4432.2127999999848</v>
      </c>
      <c r="Y147" s="366" t="s">
        <v>174</v>
      </c>
      <c r="Z147" s="366" t="s">
        <v>428</v>
      </c>
      <c r="AA147" s="367" t="s">
        <v>758</v>
      </c>
      <c r="AB147" s="367" t="s">
        <v>759</v>
      </c>
      <c r="AC147" s="367">
        <v>1</v>
      </c>
      <c r="AD147" s="446" t="s">
        <v>340</v>
      </c>
      <c r="AH147" s="370"/>
    </row>
    <row r="148" spans="2:39" s="147" customFormat="1" ht="27" customHeight="1">
      <c r="B148" s="894"/>
      <c r="C148" s="895"/>
      <c r="D148" s="361">
        <v>10</v>
      </c>
      <c r="E148" s="440" t="s">
        <v>619</v>
      </c>
      <c r="F148" s="364">
        <f t="shared" si="82"/>
        <v>5086.8246000000117</v>
      </c>
      <c r="G148" s="365">
        <v>39.389999999999993</v>
      </c>
      <c r="H148" s="442">
        <v>6360.1100000000006</v>
      </c>
      <c r="I148" s="442">
        <v>6360.1100000000006</v>
      </c>
      <c r="J148" s="444">
        <f t="shared" si="83"/>
        <v>1</v>
      </c>
      <c r="K148" s="443">
        <v>6360.1100000000006</v>
      </c>
      <c r="L148" s="444">
        <f t="shared" si="84"/>
        <v>1</v>
      </c>
      <c r="M148" s="443">
        <v>129.14000000000001</v>
      </c>
      <c r="N148" s="444">
        <f t="shared" si="85"/>
        <v>2.0304680264963973E-2</v>
      </c>
      <c r="O148" s="445">
        <f t="shared" si="86"/>
        <v>6489.2500000000009</v>
      </c>
      <c r="P148" s="444">
        <f t="shared" si="87"/>
        <v>1.020304680264964</v>
      </c>
      <c r="Q148" s="442">
        <v>26.609999999999996</v>
      </c>
      <c r="R148" s="444">
        <f t="shared" si="88"/>
        <v>4.183889901275291E-3</v>
      </c>
      <c r="S148" s="452">
        <f t="shared" si="89"/>
        <v>1048.1678999999997</v>
      </c>
      <c r="T148" s="445">
        <f t="shared" si="90"/>
        <v>129.14000000000033</v>
      </c>
      <c r="U148" s="444">
        <f t="shared" si="91"/>
        <v>2.0304680264964022E-2</v>
      </c>
      <c r="V148" s="459">
        <f t="shared" si="92"/>
        <v>102.53000000000033</v>
      </c>
      <c r="W148" s="460">
        <f t="shared" si="93"/>
        <v>1.6120790363688728E-2</v>
      </c>
      <c r="X148" s="461">
        <f t="shared" si="94"/>
        <v>4038.6567000000123</v>
      </c>
      <c r="Y148" s="366" t="s">
        <v>174</v>
      </c>
      <c r="Z148" s="366" t="s">
        <v>216</v>
      </c>
      <c r="AA148" s="367" t="s">
        <v>756</v>
      </c>
      <c r="AB148" s="367" t="s">
        <v>757</v>
      </c>
      <c r="AC148" s="367">
        <v>1</v>
      </c>
      <c r="AD148" s="446" t="s">
        <v>614</v>
      </c>
      <c r="AH148" s="370"/>
    </row>
    <row r="149" spans="2:39" s="147" customFormat="1" ht="27" customHeight="1">
      <c r="B149" s="894"/>
      <c r="C149" s="895"/>
      <c r="D149" s="361">
        <v>11</v>
      </c>
      <c r="E149" s="440" t="s">
        <v>461</v>
      </c>
      <c r="F149" s="364">
        <f t="shared" si="82"/>
        <v>4933.6539999999641</v>
      </c>
      <c r="G149" s="365">
        <v>407.74000000000007</v>
      </c>
      <c r="H149" s="442">
        <v>1133.27</v>
      </c>
      <c r="I149" s="442">
        <v>1133.27</v>
      </c>
      <c r="J149" s="444">
        <f t="shared" si="83"/>
        <v>1</v>
      </c>
      <c r="K149" s="443">
        <v>1133.27</v>
      </c>
      <c r="L149" s="444">
        <f t="shared" si="84"/>
        <v>1</v>
      </c>
      <c r="M149" s="443">
        <v>12.1</v>
      </c>
      <c r="N149" s="444">
        <f t="shared" si="85"/>
        <v>1.0677067247875616E-2</v>
      </c>
      <c r="O149" s="445">
        <f t="shared" si="86"/>
        <v>1145.3699999999999</v>
      </c>
      <c r="P149" s="444">
        <f t="shared" si="87"/>
        <v>1.0106770672478755</v>
      </c>
      <c r="Q149" s="442">
        <v>2.8699999999999997</v>
      </c>
      <c r="R149" s="444">
        <f t="shared" si="88"/>
        <v>2.5324944629258692E-3</v>
      </c>
      <c r="S149" s="452">
        <f t="shared" si="89"/>
        <v>1170.2138</v>
      </c>
      <c r="T149" s="445">
        <f t="shared" si="90"/>
        <v>12.099999999999909</v>
      </c>
      <c r="U149" s="444">
        <f t="shared" si="91"/>
        <v>1.0677067247875536E-2</v>
      </c>
      <c r="V149" s="459">
        <f t="shared" si="92"/>
        <v>9.2299999999999098</v>
      </c>
      <c r="W149" s="460">
        <f t="shared" si="93"/>
        <v>8.144572784949667E-3</v>
      </c>
      <c r="X149" s="461">
        <f t="shared" si="94"/>
        <v>3763.4401999999636</v>
      </c>
      <c r="Y149" s="366" t="s">
        <v>174</v>
      </c>
      <c r="Z149" s="366" t="s">
        <v>216</v>
      </c>
      <c r="AA149" s="367" t="s">
        <v>480</v>
      </c>
      <c r="AB149" s="367" t="s">
        <v>481</v>
      </c>
      <c r="AC149" s="367">
        <v>1</v>
      </c>
      <c r="AD149" s="446" t="s">
        <v>463</v>
      </c>
      <c r="AH149" s="370"/>
    </row>
    <row r="150" spans="2:39" s="147" customFormat="1" ht="27" customHeight="1">
      <c r="B150" s="894"/>
      <c r="C150" s="895"/>
      <c r="D150" s="361">
        <v>12</v>
      </c>
      <c r="E150" s="440" t="s">
        <v>651</v>
      </c>
      <c r="F150" s="364">
        <f t="shared" si="82"/>
        <v>4869.3991000000042</v>
      </c>
      <c r="G150" s="365">
        <v>655.37</v>
      </c>
      <c r="H150" s="442">
        <v>416.78999999999996</v>
      </c>
      <c r="I150" s="442">
        <v>416.78999999999996</v>
      </c>
      <c r="J150" s="444">
        <f t="shared" si="83"/>
        <v>1</v>
      </c>
      <c r="K150" s="443">
        <v>416.78999999999996</v>
      </c>
      <c r="L150" s="444">
        <f t="shared" si="84"/>
        <v>1</v>
      </c>
      <c r="M150" s="443">
        <v>7.43</v>
      </c>
      <c r="N150" s="444">
        <f t="shared" si="85"/>
        <v>1.7826723289906189E-2</v>
      </c>
      <c r="O150" s="445">
        <f t="shared" si="86"/>
        <v>424.21999999999997</v>
      </c>
      <c r="P150" s="444">
        <f t="shared" si="87"/>
        <v>1.0178267232899063</v>
      </c>
      <c r="Q150" s="442">
        <v>1.45</v>
      </c>
      <c r="R150" s="444">
        <f t="shared" si="88"/>
        <v>3.4789702248134552E-3</v>
      </c>
      <c r="S150" s="452">
        <f t="shared" si="89"/>
        <v>950.28649999999993</v>
      </c>
      <c r="T150" s="445">
        <f t="shared" si="90"/>
        <v>7.4300000000000068</v>
      </c>
      <c r="U150" s="444">
        <f t="shared" si="91"/>
        <v>1.7826723289906206E-2</v>
      </c>
      <c r="V150" s="459">
        <f t="shared" si="92"/>
        <v>5.9800000000000066</v>
      </c>
      <c r="W150" s="460">
        <f t="shared" si="93"/>
        <v>1.434775306509275E-2</v>
      </c>
      <c r="X150" s="461">
        <f t="shared" si="94"/>
        <v>3919.1126000000045</v>
      </c>
      <c r="Y150" s="366" t="s">
        <v>174</v>
      </c>
      <c r="Z150" s="366" t="s">
        <v>428</v>
      </c>
      <c r="AA150" s="367" t="s">
        <v>659</v>
      </c>
      <c r="AB150" s="367" t="s">
        <v>684</v>
      </c>
      <c r="AC150" s="367">
        <v>1</v>
      </c>
      <c r="AD150" s="446" t="s">
        <v>650</v>
      </c>
      <c r="AH150" s="370"/>
    </row>
    <row r="151" spans="2:39" s="147" customFormat="1" ht="27" customHeight="1">
      <c r="B151" s="894"/>
      <c r="C151" s="895"/>
      <c r="D151" s="361">
        <v>13</v>
      </c>
      <c r="E151" s="440" t="s">
        <v>568</v>
      </c>
      <c r="F151" s="364">
        <f t="shared" si="82"/>
        <v>4192.9887999999919</v>
      </c>
      <c r="G151" s="365">
        <v>40.04</v>
      </c>
      <c r="H151" s="442">
        <v>3448.98</v>
      </c>
      <c r="I151" s="442">
        <v>3448.98</v>
      </c>
      <c r="J151" s="444">
        <f t="shared" si="83"/>
        <v>1</v>
      </c>
      <c r="K151" s="443">
        <v>3448.98</v>
      </c>
      <c r="L151" s="444">
        <f t="shared" si="84"/>
        <v>1</v>
      </c>
      <c r="M151" s="443">
        <v>104.72</v>
      </c>
      <c r="N151" s="444">
        <f t="shared" si="85"/>
        <v>3.0362599957088763E-2</v>
      </c>
      <c r="O151" s="445">
        <f t="shared" si="86"/>
        <v>3553.7</v>
      </c>
      <c r="P151" s="444">
        <f t="shared" si="87"/>
        <v>1.0303625999570887</v>
      </c>
      <c r="Q151" s="442">
        <v>24.64</v>
      </c>
      <c r="R151" s="444">
        <f t="shared" si="88"/>
        <v>7.1441411663738267E-3</v>
      </c>
      <c r="S151" s="452">
        <f t="shared" si="89"/>
        <v>986.5856</v>
      </c>
      <c r="T151" s="445">
        <f t="shared" si="90"/>
        <v>104.7199999999998</v>
      </c>
      <c r="U151" s="444">
        <f t="shared" si="91"/>
        <v>3.0362599957088704E-2</v>
      </c>
      <c r="V151" s="459">
        <f t="shared" si="92"/>
        <v>80.079999999999799</v>
      </c>
      <c r="W151" s="460">
        <f t="shared" si="93"/>
        <v>2.3218458790714876E-2</v>
      </c>
      <c r="X151" s="461">
        <f t="shared" si="94"/>
        <v>3206.403199999992</v>
      </c>
      <c r="Y151" s="366" t="s">
        <v>174</v>
      </c>
      <c r="Z151" s="366" t="s">
        <v>216</v>
      </c>
      <c r="AA151" s="367" t="s">
        <v>756</v>
      </c>
      <c r="AB151" s="367" t="s">
        <v>757</v>
      </c>
      <c r="AC151" s="367">
        <v>1</v>
      </c>
      <c r="AD151" s="446" t="s">
        <v>533</v>
      </c>
    </row>
    <row r="152" spans="2:39" s="147" customFormat="1" ht="27" customHeight="1">
      <c r="B152" s="894"/>
      <c r="C152" s="895"/>
      <c r="D152" s="361">
        <v>14</v>
      </c>
      <c r="E152" s="440" t="s">
        <v>545</v>
      </c>
      <c r="F152" s="364">
        <f t="shared" si="82"/>
        <v>4174.1255999999921</v>
      </c>
      <c r="G152" s="365">
        <v>66.13</v>
      </c>
      <c r="H152" s="442">
        <v>2206.8200000000002</v>
      </c>
      <c r="I152" s="442">
        <v>2206.8200000000002</v>
      </c>
      <c r="J152" s="444">
        <f t="shared" si="83"/>
        <v>1</v>
      </c>
      <c r="K152" s="443">
        <v>2206.8200000000002</v>
      </c>
      <c r="L152" s="444">
        <f t="shared" si="84"/>
        <v>1</v>
      </c>
      <c r="M152" s="443">
        <v>63.12</v>
      </c>
      <c r="N152" s="444">
        <f t="shared" si="85"/>
        <v>2.8602242140274237E-2</v>
      </c>
      <c r="O152" s="445">
        <f t="shared" si="86"/>
        <v>2269.94</v>
      </c>
      <c r="P152" s="444">
        <f t="shared" si="87"/>
        <v>1.0286022421402743</v>
      </c>
      <c r="Q152" s="442">
        <v>14.32</v>
      </c>
      <c r="R152" s="444">
        <f t="shared" si="88"/>
        <v>6.4889750863233063E-3</v>
      </c>
      <c r="S152" s="452">
        <f t="shared" si="89"/>
        <v>946.98159999999996</v>
      </c>
      <c r="T152" s="445">
        <f t="shared" si="90"/>
        <v>63.119999999999891</v>
      </c>
      <c r="U152" s="444">
        <f t="shared" si="91"/>
        <v>2.8602242140274188E-2</v>
      </c>
      <c r="V152" s="459">
        <f t="shared" si="92"/>
        <v>48.799999999999891</v>
      </c>
      <c r="W152" s="460">
        <f t="shared" si="93"/>
        <v>2.2113267053950884E-2</v>
      </c>
      <c r="X152" s="461">
        <f t="shared" si="94"/>
        <v>3227.1439999999925</v>
      </c>
      <c r="Y152" s="366" t="s">
        <v>174</v>
      </c>
      <c r="Z152" s="366" t="s">
        <v>428</v>
      </c>
      <c r="AA152" s="367" t="s">
        <v>479</v>
      </c>
      <c r="AB152" s="367" t="s">
        <v>809</v>
      </c>
      <c r="AC152" s="367">
        <v>1</v>
      </c>
      <c r="AD152" s="446" t="s">
        <v>341</v>
      </c>
    </row>
    <row r="153" spans="2:39" s="147" customFormat="1" ht="27" customHeight="1">
      <c r="B153" s="894"/>
      <c r="C153" s="895"/>
      <c r="D153" s="361">
        <v>15</v>
      </c>
      <c r="E153" s="440" t="s">
        <v>635</v>
      </c>
      <c r="F153" s="364">
        <f t="shared" si="82"/>
        <v>4165.4502000000066</v>
      </c>
      <c r="G153" s="365">
        <v>49.82</v>
      </c>
      <c r="H153" s="442">
        <v>3160.5</v>
      </c>
      <c r="I153" s="442">
        <v>3160.5</v>
      </c>
      <c r="J153" s="444">
        <f t="shared" si="83"/>
        <v>1</v>
      </c>
      <c r="K153" s="443">
        <v>3160.5</v>
      </c>
      <c r="L153" s="444">
        <f t="shared" si="84"/>
        <v>1</v>
      </c>
      <c r="M153" s="443">
        <v>83.61</v>
      </c>
      <c r="N153" s="444">
        <f t="shared" si="85"/>
        <v>2.6454674893213098E-2</v>
      </c>
      <c r="O153" s="445">
        <f t="shared" si="86"/>
        <v>3244.11</v>
      </c>
      <c r="P153" s="444">
        <f t="shared" si="87"/>
        <v>1.0264546748932131</v>
      </c>
      <c r="Q153" s="442">
        <v>19.010000000000002</v>
      </c>
      <c r="R153" s="444">
        <f t="shared" si="88"/>
        <v>6.0148710647049521E-3</v>
      </c>
      <c r="S153" s="452">
        <f t="shared" si="89"/>
        <v>947.07820000000004</v>
      </c>
      <c r="T153" s="445">
        <f t="shared" si="90"/>
        <v>83.610000000000127</v>
      </c>
      <c r="U153" s="444">
        <f t="shared" si="91"/>
        <v>2.645467489321314E-2</v>
      </c>
      <c r="V153" s="459">
        <f t="shared" si="92"/>
        <v>64.600000000000122</v>
      </c>
      <c r="W153" s="460">
        <f t="shared" si="93"/>
        <v>2.0439803828508185E-2</v>
      </c>
      <c r="X153" s="461">
        <f t="shared" si="94"/>
        <v>3218.3720000000062</v>
      </c>
      <c r="Y153" s="366" t="s">
        <v>174</v>
      </c>
      <c r="Z153" s="366" t="s">
        <v>428</v>
      </c>
      <c r="AA153" s="367" t="s">
        <v>482</v>
      </c>
      <c r="AB153" s="367" t="s">
        <v>809</v>
      </c>
      <c r="AC153" s="367">
        <v>1</v>
      </c>
      <c r="AD153" s="446" t="s">
        <v>616</v>
      </c>
    </row>
    <row r="154" spans="2:39" s="147" customFormat="1" ht="27" customHeight="1">
      <c r="B154" s="894"/>
      <c r="C154" s="895"/>
      <c r="D154" s="361">
        <v>16</v>
      </c>
      <c r="E154" s="440" t="s">
        <v>652</v>
      </c>
      <c r="F154" s="364">
        <f t="shared" si="82"/>
        <v>4120.283700000009</v>
      </c>
      <c r="G154" s="365">
        <v>31.59</v>
      </c>
      <c r="H154" s="442">
        <v>4428.34</v>
      </c>
      <c r="I154" s="442">
        <v>4428.34</v>
      </c>
      <c r="J154" s="444">
        <f t="shared" si="83"/>
        <v>1</v>
      </c>
      <c r="K154" s="443">
        <v>4428.34</v>
      </c>
      <c r="L154" s="444">
        <f t="shared" si="84"/>
        <v>1</v>
      </c>
      <c r="M154" s="443">
        <v>130.43</v>
      </c>
      <c r="N154" s="444">
        <f t="shared" si="85"/>
        <v>2.9453474665450261E-2</v>
      </c>
      <c r="O154" s="445">
        <f t="shared" si="86"/>
        <v>4558.7700000000004</v>
      </c>
      <c r="P154" s="444">
        <f t="shared" si="87"/>
        <v>1.0294534746654502</v>
      </c>
      <c r="Q154" s="442">
        <v>29.930000000000003</v>
      </c>
      <c r="R154" s="444">
        <f t="shared" si="88"/>
        <v>6.7587402954606022E-3</v>
      </c>
      <c r="S154" s="452">
        <f t="shared" si="89"/>
        <v>945.48870000000011</v>
      </c>
      <c r="T154" s="445">
        <f t="shared" si="90"/>
        <v>130.43000000000029</v>
      </c>
      <c r="U154" s="444">
        <f t="shared" si="91"/>
        <v>2.9453474665450324E-2</v>
      </c>
      <c r="V154" s="459">
        <f t="shared" si="92"/>
        <v>100.50000000000028</v>
      </c>
      <c r="W154" s="460">
        <f t="shared" si="93"/>
        <v>2.2694734369989721E-2</v>
      </c>
      <c r="X154" s="461">
        <f t="shared" si="94"/>
        <v>3174.7950000000092</v>
      </c>
      <c r="Y154" s="366" t="s">
        <v>174</v>
      </c>
      <c r="Z154" s="366" t="s">
        <v>216</v>
      </c>
      <c r="AA154" s="367" t="s">
        <v>482</v>
      </c>
      <c r="AB154" s="367" t="s">
        <v>808</v>
      </c>
      <c r="AC154" s="367">
        <v>1</v>
      </c>
      <c r="AD154" s="446" t="s">
        <v>650</v>
      </c>
    </row>
    <row r="155" spans="2:39" s="147" customFormat="1" ht="27" customHeight="1">
      <c r="B155" s="894"/>
      <c r="C155" s="895"/>
      <c r="D155" s="361">
        <v>17</v>
      </c>
      <c r="E155" s="440" t="s">
        <v>696</v>
      </c>
      <c r="F155" s="364">
        <f t="shared" si="82"/>
        <v>4085.1796000000086</v>
      </c>
      <c r="G155" s="365">
        <v>98.060000000000016</v>
      </c>
      <c r="H155" s="442">
        <v>1275.3200000000002</v>
      </c>
      <c r="I155" s="442">
        <v>1275.3200000000002</v>
      </c>
      <c r="J155" s="444">
        <f t="shared" si="83"/>
        <v>1</v>
      </c>
      <c r="K155" s="443">
        <v>1275.3200000000002</v>
      </c>
      <c r="L155" s="444">
        <f t="shared" si="84"/>
        <v>1</v>
      </c>
      <c r="M155" s="443">
        <v>41.66</v>
      </c>
      <c r="N155" s="444">
        <f t="shared" si="85"/>
        <v>3.2666311200326183E-2</v>
      </c>
      <c r="O155" s="445">
        <f t="shared" si="86"/>
        <v>1316.9800000000002</v>
      </c>
      <c r="P155" s="444">
        <f t="shared" si="87"/>
        <v>1.0326663112003263</v>
      </c>
      <c r="Q155" s="442">
        <v>9.66</v>
      </c>
      <c r="R155" s="444">
        <f t="shared" si="88"/>
        <v>7.5745695198067928E-3</v>
      </c>
      <c r="S155" s="452">
        <f t="shared" si="89"/>
        <v>947.25960000000021</v>
      </c>
      <c r="T155" s="445">
        <f t="shared" si="90"/>
        <v>41.660000000000082</v>
      </c>
      <c r="U155" s="444">
        <f t="shared" si="91"/>
        <v>3.2666311200326252E-2</v>
      </c>
      <c r="V155" s="459">
        <f t="shared" si="92"/>
        <v>32.000000000000085</v>
      </c>
      <c r="W155" s="460">
        <f t="shared" si="93"/>
        <v>2.5091741680519461E-2</v>
      </c>
      <c r="X155" s="461">
        <f t="shared" si="94"/>
        <v>3137.9200000000087</v>
      </c>
      <c r="Y155" s="366" t="s">
        <v>174</v>
      </c>
      <c r="Z155" s="366" t="s">
        <v>428</v>
      </c>
      <c r="AA155" s="367" t="s">
        <v>482</v>
      </c>
      <c r="AB155" s="367" t="s">
        <v>809</v>
      </c>
      <c r="AC155" s="367">
        <v>1</v>
      </c>
      <c r="AD155" s="446" t="s">
        <v>664</v>
      </c>
    </row>
    <row r="156" spans="2:39" s="147" customFormat="1" ht="27" customHeight="1">
      <c r="B156" s="894"/>
      <c r="C156" s="895"/>
      <c r="D156" s="361">
        <v>18</v>
      </c>
      <c r="E156" s="440" t="s">
        <v>583</v>
      </c>
      <c r="F156" s="364">
        <f t="shared" si="82"/>
        <v>3994.7152000000128</v>
      </c>
      <c r="G156" s="365">
        <v>113.68000000000004</v>
      </c>
      <c r="H156" s="442">
        <v>1266.3</v>
      </c>
      <c r="I156" s="442">
        <v>1266.3</v>
      </c>
      <c r="J156" s="444">
        <f t="shared" si="83"/>
        <v>1</v>
      </c>
      <c r="K156" s="443">
        <v>1266.3</v>
      </c>
      <c r="L156" s="444">
        <f t="shared" si="84"/>
        <v>1</v>
      </c>
      <c r="M156" s="443">
        <v>35.14</v>
      </c>
      <c r="N156" s="444">
        <f t="shared" si="85"/>
        <v>2.7750138197899392E-2</v>
      </c>
      <c r="O156" s="445">
        <f t="shared" si="86"/>
        <v>1301.44</v>
      </c>
      <c r="P156" s="444">
        <f t="shared" si="87"/>
        <v>1.0277501381978995</v>
      </c>
      <c r="Q156" s="442">
        <v>8.34</v>
      </c>
      <c r="R156" s="444">
        <f t="shared" si="88"/>
        <v>6.5861170338782282E-3</v>
      </c>
      <c r="S156" s="452">
        <f t="shared" si="89"/>
        <v>948.0912000000003</v>
      </c>
      <c r="T156" s="445">
        <f t="shared" si="90"/>
        <v>35.1400000000001</v>
      </c>
      <c r="U156" s="444">
        <f t="shared" si="91"/>
        <v>2.7750138197899472E-2</v>
      </c>
      <c r="V156" s="459">
        <f t="shared" si="92"/>
        <v>26.8000000000001</v>
      </c>
      <c r="W156" s="460">
        <f t="shared" si="93"/>
        <v>2.1164021164021243E-2</v>
      </c>
      <c r="X156" s="461">
        <f t="shared" si="94"/>
        <v>3046.6240000000125</v>
      </c>
      <c r="Y156" s="366" t="s">
        <v>174</v>
      </c>
      <c r="Z156" s="366" t="s">
        <v>428</v>
      </c>
      <c r="AA156" s="367" t="s">
        <v>482</v>
      </c>
      <c r="AB156" s="367" t="s">
        <v>809</v>
      </c>
      <c r="AC156" s="367">
        <v>1</v>
      </c>
      <c r="AD156" s="446" t="s">
        <v>566</v>
      </c>
    </row>
    <row r="157" spans="2:39" s="147" customFormat="1" ht="27" customHeight="1">
      <c r="B157" s="894"/>
      <c r="C157" s="895"/>
      <c r="D157" s="361">
        <v>19</v>
      </c>
      <c r="E157" s="440" t="s">
        <v>464</v>
      </c>
      <c r="F157" s="364">
        <f t="shared" si="82"/>
        <v>3943.8300000000063</v>
      </c>
      <c r="G157" s="365">
        <v>629</v>
      </c>
      <c r="H157" s="442">
        <v>239.56</v>
      </c>
      <c r="I157" s="442">
        <v>239.56</v>
      </c>
      <c r="J157" s="444">
        <f t="shared" si="83"/>
        <v>1</v>
      </c>
      <c r="K157" s="443">
        <v>239.56</v>
      </c>
      <c r="L157" s="444">
        <f t="shared" si="84"/>
        <v>1</v>
      </c>
      <c r="M157" s="443">
        <v>6.27</v>
      </c>
      <c r="N157" s="444">
        <f t="shared" si="85"/>
        <v>2.6172983803640006E-2</v>
      </c>
      <c r="O157" s="445">
        <f t="shared" si="86"/>
        <v>245.83</v>
      </c>
      <c r="P157" s="444">
        <f t="shared" si="87"/>
        <v>1.02617298380364</v>
      </c>
      <c r="Q157" s="442">
        <v>1.51</v>
      </c>
      <c r="R157" s="444">
        <f t="shared" si="88"/>
        <v>6.3032225747203206E-3</v>
      </c>
      <c r="S157" s="452">
        <f t="shared" si="89"/>
        <v>949.79</v>
      </c>
      <c r="T157" s="445">
        <f t="shared" si="90"/>
        <v>6.2700000000000102</v>
      </c>
      <c r="U157" s="444">
        <f t="shared" si="91"/>
        <v>2.6172983803640051E-2</v>
      </c>
      <c r="V157" s="459">
        <f t="shared" si="92"/>
        <v>4.7600000000000104</v>
      </c>
      <c r="W157" s="460">
        <f t="shared" si="93"/>
        <v>1.986976122891973E-2</v>
      </c>
      <c r="X157" s="461">
        <f t="shared" si="94"/>
        <v>2994.0400000000068</v>
      </c>
      <c r="Y157" s="366" t="s">
        <v>174</v>
      </c>
      <c r="Z157" s="366" t="s">
        <v>428</v>
      </c>
      <c r="AA157" s="367" t="s">
        <v>482</v>
      </c>
      <c r="AB157" s="367" t="s">
        <v>547</v>
      </c>
      <c r="AC157" s="367">
        <v>1</v>
      </c>
      <c r="AD157" s="446" t="s">
        <v>458</v>
      </c>
    </row>
    <row r="158" spans="2:39" s="147" customFormat="1" ht="27" customHeight="1">
      <c r="B158" s="896"/>
      <c r="C158" s="897"/>
      <c r="D158" s="361">
        <v>20</v>
      </c>
      <c r="E158" s="440" t="s">
        <v>620</v>
      </c>
      <c r="F158" s="364">
        <f t="shared" si="82"/>
        <v>3872.9551999999926</v>
      </c>
      <c r="G158" s="365">
        <v>95.439999999999984</v>
      </c>
      <c r="H158" s="442">
        <v>1818.62</v>
      </c>
      <c r="I158" s="442">
        <v>1818.62</v>
      </c>
      <c r="J158" s="444">
        <f t="shared" si="83"/>
        <v>1</v>
      </c>
      <c r="K158" s="443">
        <v>1818.62</v>
      </c>
      <c r="L158" s="444">
        <f t="shared" si="84"/>
        <v>1</v>
      </c>
      <c r="M158" s="443">
        <v>40.58</v>
      </c>
      <c r="N158" s="444">
        <f t="shared" si="85"/>
        <v>2.2313622416997504E-2</v>
      </c>
      <c r="O158" s="445">
        <f t="shared" si="86"/>
        <v>1859.1999999999998</v>
      </c>
      <c r="P158" s="444">
        <f t="shared" si="87"/>
        <v>1.0223136224169975</v>
      </c>
      <c r="Q158" s="442">
        <v>9.91</v>
      </c>
      <c r="R158" s="444">
        <f t="shared" si="88"/>
        <v>5.449186745994216E-3</v>
      </c>
      <c r="S158" s="452">
        <f t="shared" si="89"/>
        <v>945.81039999999985</v>
      </c>
      <c r="T158" s="445">
        <f t="shared" si="90"/>
        <v>40.579999999999927</v>
      </c>
      <c r="U158" s="444">
        <f t="shared" si="91"/>
        <v>2.2313622416997466E-2</v>
      </c>
      <c r="V158" s="459">
        <f t="shared" si="92"/>
        <v>30.669999999999927</v>
      </c>
      <c r="W158" s="460">
        <f t="shared" si="93"/>
        <v>1.686443567100325E-2</v>
      </c>
      <c r="X158" s="461">
        <f t="shared" si="94"/>
        <v>2927.1447999999928</v>
      </c>
      <c r="Y158" s="366" t="s">
        <v>174</v>
      </c>
      <c r="Z158" s="366" t="s">
        <v>428</v>
      </c>
      <c r="AA158" s="367" t="s">
        <v>607</v>
      </c>
      <c r="AB158" s="367" t="s">
        <v>525</v>
      </c>
      <c r="AC158" s="367">
        <v>1</v>
      </c>
      <c r="AD158" s="446" t="s">
        <v>340</v>
      </c>
    </row>
    <row r="159" spans="2:39" ht="17.100000000000001" customHeight="1">
      <c r="B159" s="898" t="s">
        <v>442</v>
      </c>
      <c r="C159" s="899"/>
      <c r="D159" s="902" t="s">
        <v>549</v>
      </c>
      <c r="E159" s="903" t="s">
        <v>550</v>
      </c>
      <c r="F159" s="953" t="s">
        <v>567</v>
      </c>
      <c r="G159" s="881" t="s">
        <v>552</v>
      </c>
      <c r="H159" s="905" t="s">
        <v>553</v>
      </c>
      <c r="I159" s="906" t="s">
        <v>554</v>
      </c>
      <c r="J159" s="907"/>
      <c r="K159" s="906" t="s">
        <v>555</v>
      </c>
      <c r="L159" s="907"/>
      <c r="M159" s="906" t="s">
        <v>556</v>
      </c>
      <c r="N159" s="907"/>
      <c r="O159" s="906" t="s">
        <v>557</v>
      </c>
      <c r="P159" s="907"/>
      <c r="Q159" s="906" t="s">
        <v>418</v>
      </c>
      <c r="R159" s="954"/>
      <c r="S159" s="907"/>
      <c r="T159" s="908" t="s">
        <v>743</v>
      </c>
      <c r="U159" s="909"/>
      <c r="V159" s="911" t="s">
        <v>742</v>
      </c>
      <c r="W159" s="912"/>
      <c r="X159" s="913"/>
      <c r="Y159" s="914" t="s">
        <v>171</v>
      </c>
      <c r="Z159" s="914" t="s">
        <v>245</v>
      </c>
      <c r="AA159" s="914" t="s">
        <v>558</v>
      </c>
      <c r="AB159" s="914" t="s">
        <v>444</v>
      </c>
      <c r="AC159" s="914" t="s">
        <v>246</v>
      </c>
      <c r="AD159" s="881" t="s">
        <v>172</v>
      </c>
      <c r="AF159" s="883" t="s">
        <v>247</v>
      </c>
      <c r="AG159" s="884"/>
      <c r="AH159" s="884"/>
      <c r="AI159" s="884"/>
      <c r="AJ159" s="884"/>
      <c r="AK159" s="884"/>
      <c r="AL159" s="884"/>
      <c r="AM159" s="885"/>
    </row>
    <row r="160" spans="2:39" ht="16.5" customHeight="1">
      <c r="B160" s="900"/>
      <c r="C160" s="901"/>
      <c r="D160" s="902"/>
      <c r="E160" s="902"/>
      <c r="F160" s="904"/>
      <c r="G160" s="882"/>
      <c r="H160" s="882"/>
      <c r="I160" s="439" t="s">
        <v>559</v>
      </c>
      <c r="J160" s="362" t="s">
        <v>560</v>
      </c>
      <c r="K160" s="439" t="s">
        <v>559</v>
      </c>
      <c r="L160" s="362" t="s">
        <v>560</v>
      </c>
      <c r="M160" s="439" t="s">
        <v>559</v>
      </c>
      <c r="N160" s="362" t="s">
        <v>560</v>
      </c>
      <c r="O160" s="439" t="s">
        <v>559</v>
      </c>
      <c r="P160" s="362" t="s">
        <v>560</v>
      </c>
      <c r="Q160" s="439" t="s">
        <v>559</v>
      </c>
      <c r="R160" s="362" t="s">
        <v>560</v>
      </c>
      <c r="S160" s="362" t="s">
        <v>561</v>
      </c>
      <c r="T160" s="439" t="s">
        <v>559</v>
      </c>
      <c r="U160" s="362" t="s">
        <v>560</v>
      </c>
      <c r="V160" s="439" t="s">
        <v>559</v>
      </c>
      <c r="W160" s="362" t="s">
        <v>560</v>
      </c>
      <c r="X160" s="362" t="s">
        <v>561</v>
      </c>
      <c r="Y160" s="915"/>
      <c r="Z160" s="915"/>
      <c r="AA160" s="915"/>
      <c r="AB160" s="915"/>
      <c r="AC160" s="915"/>
      <c r="AD160" s="882"/>
      <c r="AF160" s="886"/>
      <c r="AG160" s="887"/>
      <c r="AH160" s="887"/>
      <c r="AI160" s="887"/>
      <c r="AJ160" s="887"/>
      <c r="AK160" s="887"/>
      <c r="AL160" s="887"/>
      <c r="AM160" s="888"/>
    </row>
    <row r="161" spans="2:39" s="147" customFormat="1" ht="27" customHeight="1">
      <c r="B161" s="892" t="s">
        <v>828</v>
      </c>
      <c r="C161" s="893"/>
      <c r="D161" s="361">
        <v>1</v>
      </c>
      <c r="E161" s="440" t="s">
        <v>336</v>
      </c>
      <c r="F161" s="364">
        <f>IFERROR(T161*G161,"-")</f>
        <v>12336.942400000045</v>
      </c>
      <c r="G161" s="365">
        <v>147.43000000000004</v>
      </c>
      <c r="H161" s="442">
        <v>4892.96</v>
      </c>
      <c r="I161" s="442">
        <v>4892.96</v>
      </c>
      <c r="J161" s="444">
        <f>IFERROR(I161/H161,"-")</f>
        <v>1</v>
      </c>
      <c r="K161" s="443">
        <v>4892.96</v>
      </c>
      <c r="L161" s="444">
        <f>IFERROR(K161/H161,"-")</f>
        <v>1</v>
      </c>
      <c r="M161" s="443">
        <v>83.68</v>
      </c>
      <c r="N161" s="444">
        <f>IFERROR(M161/H161,"-")</f>
        <v>1.7102122232758903E-2</v>
      </c>
      <c r="O161" s="445">
        <f>IFERROR(K161+M161,"-")</f>
        <v>4976.6400000000003</v>
      </c>
      <c r="P161" s="444">
        <f>IFERROR(O161/H161,"-")</f>
        <v>1.017102122232759</v>
      </c>
      <c r="Q161" s="442">
        <v>10.81</v>
      </c>
      <c r="R161" s="444">
        <f>IFERROR(Q161/H161,"-")</f>
        <v>2.2092966220856086E-3</v>
      </c>
      <c r="S161" s="452">
        <f>IFERROR(Q161*G161,"-")</f>
        <v>1593.7183000000005</v>
      </c>
      <c r="T161" s="445">
        <f>IFERROR(O161-H161,"-")</f>
        <v>83.680000000000291</v>
      </c>
      <c r="U161" s="444">
        <f>IFERROR(T161/H161,"-")</f>
        <v>1.7102122232758962E-2</v>
      </c>
      <c r="V161" s="459">
        <f>T161-Q161</f>
        <v>72.870000000000289</v>
      </c>
      <c r="W161" s="460">
        <f>IFERROR(V161/H161,"-")</f>
        <v>1.4892825610673352E-2</v>
      </c>
      <c r="X161" s="461">
        <f>IFERROR(V161*G161,"-")</f>
        <v>10743.224100000045</v>
      </c>
      <c r="Y161" s="366" t="s">
        <v>174</v>
      </c>
      <c r="Z161" s="366" t="s">
        <v>215</v>
      </c>
      <c r="AA161" s="367"/>
      <c r="AB161" s="367"/>
      <c r="AC161" s="367">
        <v>1</v>
      </c>
      <c r="AD161" s="446" t="s">
        <v>340</v>
      </c>
      <c r="AF161" s="889"/>
      <c r="AG161" s="890"/>
      <c r="AH161" s="890"/>
      <c r="AI161" s="890"/>
      <c r="AJ161" s="890"/>
      <c r="AK161" s="890"/>
      <c r="AL161" s="890"/>
      <c r="AM161" s="891"/>
    </row>
    <row r="162" spans="2:39" s="147" customFormat="1" ht="27" customHeight="1">
      <c r="B162" s="894"/>
      <c r="C162" s="895"/>
      <c r="D162" s="361">
        <v>2</v>
      </c>
      <c r="E162" s="440" t="s">
        <v>692</v>
      </c>
      <c r="F162" s="364">
        <f t="shared" ref="F162:F180" si="98">IFERROR(T162*G162,"-")</f>
        <v>9946.1866000000628</v>
      </c>
      <c r="G162" s="365">
        <v>625.94000000000005</v>
      </c>
      <c r="H162" s="442">
        <v>1693.99</v>
      </c>
      <c r="I162" s="442">
        <v>1693.99</v>
      </c>
      <c r="J162" s="444">
        <f t="shared" ref="J162:J180" si="99">IFERROR(I162/H162,"-")</f>
        <v>1</v>
      </c>
      <c r="K162" s="443">
        <v>1693.99</v>
      </c>
      <c r="L162" s="444">
        <f t="shared" ref="L162:L180" si="100">IFERROR(K162/H162,"-")</f>
        <v>1</v>
      </c>
      <c r="M162" s="443">
        <v>15.89</v>
      </c>
      <c r="N162" s="444">
        <f t="shared" ref="N162:N180" si="101">IFERROR(M162/H162,"-")</f>
        <v>9.3802206624596374E-3</v>
      </c>
      <c r="O162" s="445">
        <f t="shared" ref="O162:O180" si="102">IFERROR(K162+M162,"-")</f>
        <v>1709.88</v>
      </c>
      <c r="P162" s="444">
        <f t="shared" ref="P162:P180" si="103">IFERROR(O162/H162,"-")</f>
        <v>1.0093802206624598</v>
      </c>
      <c r="Q162" s="442">
        <v>2.6399999999999997</v>
      </c>
      <c r="R162" s="444">
        <f t="shared" ref="R162:R180" si="104">IFERROR(Q162/H162,"-")</f>
        <v>1.5584507582689388E-3</v>
      </c>
      <c r="S162" s="452">
        <f t="shared" ref="S162:S180" si="105">IFERROR(Q162*G162,"-")</f>
        <v>1652.4815999999998</v>
      </c>
      <c r="T162" s="445">
        <f t="shared" ref="T162:T180" si="106">IFERROR(O162-H162,"-")</f>
        <v>15.8900000000001</v>
      </c>
      <c r="U162" s="444">
        <f t="shared" ref="U162:U180" si="107">IFERROR(T162/H162,"-")</f>
        <v>9.3802206624596964E-3</v>
      </c>
      <c r="V162" s="459">
        <f t="shared" ref="V162:V180" si="108">T162-Q162</f>
        <v>13.250000000000099</v>
      </c>
      <c r="W162" s="460">
        <f t="shared" ref="W162:W180" si="109">IFERROR(V162/H162,"-")</f>
        <v>7.8217699041907562E-3</v>
      </c>
      <c r="X162" s="461">
        <f t="shared" ref="X162:X180" si="110">IFERROR(V162*G162,"-")</f>
        <v>8293.7050000000636</v>
      </c>
      <c r="Y162" s="366" t="s">
        <v>174</v>
      </c>
      <c r="Z162" s="366" t="s">
        <v>216</v>
      </c>
      <c r="AA162" s="367"/>
      <c r="AB162" s="367"/>
      <c r="AC162" s="367">
        <v>1</v>
      </c>
      <c r="AD162" s="446" t="s">
        <v>697</v>
      </c>
      <c r="AF162" s="160" t="s">
        <v>244</v>
      </c>
      <c r="AG162" s="160" t="s">
        <v>445</v>
      </c>
      <c r="AH162" s="155" t="s">
        <v>562</v>
      </c>
      <c r="AI162" s="155" t="s">
        <v>337</v>
      </c>
      <c r="AJ162" s="155" t="s">
        <v>428</v>
      </c>
      <c r="AK162" s="155" t="s">
        <v>215</v>
      </c>
      <c r="AL162" s="155" t="s">
        <v>216</v>
      </c>
      <c r="AM162" s="155" t="s">
        <v>384</v>
      </c>
    </row>
    <row r="163" spans="2:39" s="147" customFormat="1" ht="27" customHeight="1">
      <c r="B163" s="894"/>
      <c r="C163" s="895"/>
      <c r="D163" s="361">
        <v>3</v>
      </c>
      <c r="E163" s="440" t="s">
        <v>386</v>
      </c>
      <c r="F163" s="364">
        <f t="shared" si="98"/>
        <v>7105.347199999992</v>
      </c>
      <c r="G163" s="365">
        <v>127.84000000000002</v>
      </c>
      <c r="H163" s="442">
        <v>4503.34</v>
      </c>
      <c r="I163" s="442">
        <v>4503.34</v>
      </c>
      <c r="J163" s="444">
        <f t="shared" si="99"/>
        <v>1</v>
      </c>
      <c r="K163" s="443">
        <v>4503.34</v>
      </c>
      <c r="L163" s="444">
        <f t="shared" si="100"/>
        <v>1</v>
      </c>
      <c r="M163" s="443">
        <v>55.579999999999991</v>
      </c>
      <c r="N163" s="444">
        <f t="shared" si="101"/>
        <v>1.234195064107973E-2</v>
      </c>
      <c r="O163" s="445">
        <f t="shared" si="102"/>
        <v>4558.92</v>
      </c>
      <c r="P163" s="444">
        <f t="shared" si="103"/>
        <v>1.0123419506410798</v>
      </c>
      <c r="Q163" s="442">
        <v>10.73</v>
      </c>
      <c r="R163" s="444">
        <f t="shared" si="104"/>
        <v>2.3826759693916072E-3</v>
      </c>
      <c r="S163" s="452">
        <f t="shared" si="105"/>
        <v>1371.7232000000001</v>
      </c>
      <c r="T163" s="445">
        <f t="shared" si="106"/>
        <v>55.579999999999927</v>
      </c>
      <c r="U163" s="444">
        <f t="shared" si="107"/>
        <v>1.2341950641079716E-2</v>
      </c>
      <c r="V163" s="459">
        <f t="shared" si="108"/>
        <v>44.849999999999923</v>
      </c>
      <c r="W163" s="460">
        <f t="shared" si="109"/>
        <v>9.9592746716881068E-3</v>
      </c>
      <c r="X163" s="461">
        <f t="shared" si="110"/>
        <v>5733.6239999999907</v>
      </c>
      <c r="Y163" s="366" t="s">
        <v>174</v>
      </c>
      <c r="Z163" s="366" t="s">
        <v>428</v>
      </c>
      <c r="AA163" s="367"/>
      <c r="AB163" s="367"/>
      <c r="AC163" s="367">
        <v>1</v>
      </c>
      <c r="AD163" s="446" t="s">
        <v>340</v>
      </c>
      <c r="AF163" s="374">
        <f>SUM(AC161:AC180)</f>
        <v>20</v>
      </c>
      <c r="AG163" s="369">
        <f>SUMIF($Z$161:$Z$180,TRIM(AG162),$AC$161:$AC$180)</f>
        <v>0</v>
      </c>
      <c r="AH163" s="369">
        <f t="shared" ref="AH163:AM163" si="111">SUMIF($Z$161:$Z$180,TRIM(AH162),$AC$161:$AC$180)</f>
        <v>0</v>
      </c>
      <c r="AI163" s="369">
        <f t="shared" si="111"/>
        <v>0</v>
      </c>
      <c r="AJ163" s="369">
        <f t="shared" si="111"/>
        <v>11</v>
      </c>
      <c r="AK163" s="369">
        <f t="shared" si="111"/>
        <v>1</v>
      </c>
      <c r="AL163" s="369">
        <f t="shared" si="111"/>
        <v>8</v>
      </c>
      <c r="AM163" s="369">
        <f t="shared" si="111"/>
        <v>0</v>
      </c>
    </row>
    <row r="164" spans="2:39" s="147" customFormat="1" ht="27" customHeight="1">
      <c r="B164" s="894"/>
      <c r="C164" s="895"/>
      <c r="D164" s="361">
        <v>4</v>
      </c>
      <c r="E164" s="440" t="s">
        <v>534</v>
      </c>
      <c r="F164" s="364">
        <f t="shared" si="98"/>
        <v>6603.3395999999757</v>
      </c>
      <c r="G164" s="365">
        <v>39.389999999999993</v>
      </c>
      <c r="H164" s="442">
        <v>30859.499999999996</v>
      </c>
      <c r="I164" s="442">
        <v>30859.499999999996</v>
      </c>
      <c r="J164" s="444">
        <f t="shared" si="99"/>
        <v>1</v>
      </c>
      <c r="K164" s="443">
        <v>30859.499999999996</v>
      </c>
      <c r="L164" s="444">
        <f t="shared" si="100"/>
        <v>1</v>
      </c>
      <c r="M164" s="443">
        <v>167.64</v>
      </c>
      <c r="N164" s="444">
        <f t="shared" si="101"/>
        <v>5.4323628056190155E-3</v>
      </c>
      <c r="O164" s="445">
        <f t="shared" si="102"/>
        <v>31027.139999999996</v>
      </c>
      <c r="P164" s="444">
        <f t="shared" si="103"/>
        <v>1.005432362805619</v>
      </c>
      <c r="Q164" s="442">
        <v>36.659999999999997</v>
      </c>
      <c r="R164" s="444">
        <f t="shared" si="104"/>
        <v>1.1879648082438147E-3</v>
      </c>
      <c r="S164" s="452">
        <f t="shared" si="105"/>
        <v>1444.0373999999997</v>
      </c>
      <c r="T164" s="445">
        <f t="shared" si="106"/>
        <v>167.63999999999942</v>
      </c>
      <c r="U164" s="444">
        <f t="shared" si="107"/>
        <v>5.4323628056189973E-3</v>
      </c>
      <c r="V164" s="459">
        <f t="shared" si="108"/>
        <v>130.97999999999942</v>
      </c>
      <c r="W164" s="460">
        <f t="shared" si="109"/>
        <v>4.244397997375182E-3</v>
      </c>
      <c r="X164" s="461">
        <f t="shared" si="110"/>
        <v>5159.3021999999764</v>
      </c>
      <c r="Y164" s="366" t="s">
        <v>174</v>
      </c>
      <c r="Z164" s="366" t="s">
        <v>216</v>
      </c>
      <c r="AA164" s="367"/>
      <c r="AB164" s="367"/>
      <c r="AC164" s="367">
        <v>1</v>
      </c>
      <c r="AD164" s="446" t="s">
        <v>340</v>
      </c>
      <c r="AF164" s="375" t="s">
        <v>11</v>
      </c>
      <c r="AG164" s="372">
        <f>SUMIF($Z$161:$Z$180,TRIM(AG162),$F$161:$F$180)</f>
        <v>0</v>
      </c>
      <c r="AH164" s="372">
        <f t="shared" ref="AH164:AM164" si="112">SUMIF($Z$161:$Z$180,TRIM(AH162),$F$161:$F$180)</f>
        <v>0</v>
      </c>
      <c r="AI164" s="372">
        <f t="shared" si="112"/>
        <v>0</v>
      </c>
      <c r="AJ164" s="372">
        <f t="shared" si="112"/>
        <v>49324.882600000026</v>
      </c>
      <c r="AK164" s="372">
        <f t="shared" si="112"/>
        <v>12336.942400000045</v>
      </c>
      <c r="AL164" s="372">
        <f t="shared" si="112"/>
        <v>44418.50460000008</v>
      </c>
      <c r="AM164" s="372">
        <f t="shared" si="112"/>
        <v>0</v>
      </c>
    </row>
    <row r="165" spans="2:39" s="147" customFormat="1" ht="27" customHeight="1">
      <c r="B165" s="894"/>
      <c r="C165" s="895"/>
      <c r="D165" s="361">
        <v>5</v>
      </c>
      <c r="E165" s="440" t="s">
        <v>795</v>
      </c>
      <c r="F165" s="364">
        <f t="shared" si="98"/>
        <v>5886.0438000000058</v>
      </c>
      <c r="G165" s="365">
        <v>52.26</v>
      </c>
      <c r="H165" s="442">
        <v>5567.94</v>
      </c>
      <c r="I165" s="442">
        <v>5567.94</v>
      </c>
      <c r="J165" s="444">
        <f t="shared" si="99"/>
        <v>1</v>
      </c>
      <c r="K165" s="443">
        <v>5567.94</v>
      </c>
      <c r="L165" s="444">
        <f t="shared" si="100"/>
        <v>1</v>
      </c>
      <c r="M165" s="443">
        <v>112.63000000000001</v>
      </c>
      <c r="N165" s="444">
        <f t="shared" si="101"/>
        <v>2.0228307057906517E-2</v>
      </c>
      <c r="O165" s="445">
        <f t="shared" si="102"/>
        <v>5680.57</v>
      </c>
      <c r="P165" s="444">
        <f t="shared" si="103"/>
        <v>1.0202283070579066</v>
      </c>
      <c r="Q165" s="442">
        <v>32.800000000000004</v>
      </c>
      <c r="R165" s="444">
        <f t="shared" si="104"/>
        <v>5.8908680768830135E-3</v>
      </c>
      <c r="S165" s="452">
        <f t="shared" si="105"/>
        <v>1714.1280000000002</v>
      </c>
      <c r="T165" s="445">
        <f t="shared" si="106"/>
        <v>112.63000000000011</v>
      </c>
      <c r="U165" s="444">
        <f t="shared" si="107"/>
        <v>2.0228307057906535E-2</v>
      </c>
      <c r="V165" s="459">
        <f t="shared" si="108"/>
        <v>79.830000000000098</v>
      </c>
      <c r="W165" s="460">
        <f t="shared" si="109"/>
        <v>1.433743898102352E-2</v>
      </c>
      <c r="X165" s="461">
        <f t="shared" si="110"/>
        <v>4171.9158000000052</v>
      </c>
      <c r="Y165" s="366" t="s">
        <v>174</v>
      </c>
      <c r="Z165" s="366" t="s">
        <v>216</v>
      </c>
      <c r="AA165" s="367"/>
      <c r="AB165" s="367"/>
      <c r="AC165" s="367">
        <v>1</v>
      </c>
      <c r="AD165" s="446" t="s">
        <v>776</v>
      </c>
      <c r="AF165" s="361" t="s">
        <v>563</v>
      </c>
      <c r="AG165" s="373">
        <f t="shared" ref="AG165:AM165" si="113">AG163/$AF163</f>
        <v>0</v>
      </c>
      <c r="AH165" s="373">
        <f t="shared" si="113"/>
        <v>0</v>
      </c>
      <c r="AI165" s="373">
        <f t="shared" si="113"/>
        <v>0</v>
      </c>
      <c r="AJ165" s="373">
        <f t="shared" si="113"/>
        <v>0.55000000000000004</v>
      </c>
      <c r="AK165" s="373">
        <f t="shared" si="113"/>
        <v>0.05</v>
      </c>
      <c r="AL165" s="373">
        <f t="shared" si="113"/>
        <v>0.4</v>
      </c>
      <c r="AM165" s="373">
        <f t="shared" si="113"/>
        <v>0</v>
      </c>
    </row>
    <row r="166" spans="2:39" s="147" customFormat="1" ht="27" customHeight="1">
      <c r="B166" s="894"/>
      <c r="C166" s="895"/>
      <c r="D166" s="361">
        <v>6</v>
      </c>
      <c r="E166" s="440" t="s">
        <v>461</v>
      </c>
      <c r="F166" s="364">
        <f t="shared" si="98"/>
        <v>5679.8182000000261</v>
      </c>
      <c r="G166" s="365">
        <v>407.74</v>
      </c>
      <c r="H166" s="442">
        <v>1287.45</v>
      </c>
      <c r="I166" s="442">
        <v>1287.45</v>
      </c>
      <c r="J166" s="444">
        <f t="shared" si="99"/>
        <v>1</v>
      </c>
      <c r="K166" s="443">
        <v>1287.45</v>
      </c>
      <c r="L166" s="444">
        <f t="shared" si="100"/>
        <v>1</v>
      </c>
      <c r="M166" s="443">
        <v>13.929999999999998</v>
      </c>
      <c r="N166" s="444">
        <f t="shared" si="101"/>
        <v>1.0819837663598585E-2</v>
      </c>
      <c r="O166" s="445">
        <f t="shared" si="102"/>
        <v>1301.3800000000001</v>
      </c>
      <c r="P166" s="444">
        <f t="shared" si="103"/>
        <v>1.0108198376635986</v>
      </c>
      <c r="Q166" s="442">
        <v>3.29</v>
      </c>
      <c r="R166" s="444">
        <f t="shared" si="104"/>
        <v>2.5554390461765505E-3</v>
      </c>
      <c r="S166" s="452">
        <f t="shared" si="105"/>
        <v>1341.4646</v>
      </c>
      <c r="T166" s="445">
        <f t="shared" si="106"/>
        <v>13.930000000000064</v>
      </c>
      <c r="U166" s="444">
        <f t="shared" si="107"/>
        <v>1.0819837663598635E-2</v>
      </c>
      <c r="V166" s="459">
        <f t="shared" si="108"/>
        <v>10.640000000000065</v>
      </c>
      <c r="W166" s="460">
        <f t="shared" si="109"/>
        <v>8.2643986174220849E-3</v>
      </c>
      <c r="X166" s="461">
        <f t="shared" si="110"/>
        <v>4338.3536000000267</v>
      </c>
      <c r="Y166" s="366" t="s">
        <v>174</v>
      </c>
      <c r="Z166" s="366" t="s">
        <v>216</v>
      </c>
      <c r="AA166" s="367"/>
      <c r="AB166" s="367"/>
      <c r="AC166" s="367">
        <v>1</v>
      </c>
      <c r="AD166" s="446" t="s">
        <v>463</v>
      </c>
    </row>
    <row r="167" spans="2:39" s="147" customFormat="1" ht="27" customHeight="1">
      <c r="B167" s="894"/>
      <c r="C167" s="895"/>
      <c r="D167" s="361">
        <v>7</v>
      </c>
      <c r="E167" s="440" t="s">
        <v>796</v>
      </c>
      <c r="F167" s="364">
        <f t="shared" si="98"/>
        <v>5462.7244000000137</v>
      </c>
      <c r="G167" s="365">
        <v>24.789999999999996</v>
      </c>
      <c r="H167" s="442">
        <v>8068.32</v>
      </c>
      <c r="I167" s="442">
        <v>8068.32</v>
      </c>
      <c r="J167" s="444">
        <f t="shared" si="99"/>
        <v>1</v>
      </c>
      <c r="K167" s="443">
        <v>8068.32</v>
      </c>
      <c r="L167" s="444">
        <f t="shared" si="100"/>
        <v>1</v>
      </c>
      <c r="M167" s="443">
        <v>220.36</v>
      </c>
      <c r="N167" s="444">
        <f t="shared" si="101"/>
        <v>2.7311757590179866E-2</v>
      </c>
      <c r="O167" s="445">
        <f t="shared" si="102"/>
        <v>8288.68</v>
      </c>
      <c r="P167" s="444">
        <f t="shared" si="103"/>
        <v>1.02731175759018</v>
      </c>
      <c r="Q167" s="442">
        <v>42.31</v>
      </c>
      <c r="R167" s="444">
        <f t="shared" si="104"/>
        <v>5.2439665258690784E-3</v>
      </c>
      <c r="S167" s="452">
        <f t="shared" si="105"/>
        <v>1048.8648999999998</v>
      </c>
      <c r="T167" s="445">
        <f t="shared" si="106"/>
        <v>220.36000000000058</v>
      </c>
      <c r="U167" s="444">
        <f t="shared" si="107"/>
        <v>2.7311757590179939E-2</v>
      </c>
      <c r="V167" s="459">
        <f t="shared" si="108"/>
        <v>178.05000000000058</v>
      </c>
      <c r="W167" s="460">
        <f t="shared" si="109"/>
        <v>2.2067791064310859E-2</v>
      </c>
      <c r="X167" s="461">
        <f t="shared" si="110"/>
        <v>4413.8595000000132</v>
      </c>
      <c r="Y167" s="366" t="s">
        <v>174</v>
      </c>
      <c r="Z167" s="366" t="s">
        <v>428</v>
      </c>
      <c r="AA167" s="367"/>
      <c r="AB167" s="367"/>
      <c r="AC167" s="367">
        <v>1</v>
      </c>
      <c r="AD167" s="446" t="s">
        <v>775</v>
      </c>
    </row>
    <row r="168" spans="2:39" s="147" customFormat="1" ht="27" customHeight="1">
      <c r="B168" s="894"/>
      <c r="C168" s="895"/>
      <c r="D168" s="361">
        <v>8</v>
      </c>
      <c r="E168" s="440" t="s">
        <v>801</v>
      </c>
      <c r="F168" s="364">
        <f t="shared" si="98"/>
        <v>4784.0000000000091</v>
      </c>
      <c r="G168" s="365">
        <v>650</v>
      </c>
      <c r="H168" s="442">
        <v>558.57999999999993</v>
      </c>
      <c r="I168" s="442">
        <v>558.57999999999993</v>
      </c>
      <c r="J168" s="444">
        <f t="shared" si="99"/>
        <v>1</v>
      </c>
      <c r="K168" s="443">
        <v>558.57999999999993</v>
      </c>
      <c r="L168" s="444">
        <f t="shared" si="100"/>
        <v>1</v>
      </c>
      <c r="M168" s="443">
        <v>7.36</v>
      </c>
      <c r="N168" s="444">
        <f t="shared" si="101"/>
        <v>1.3176268394858394E-2</v>
      </c>
      <c r="O168" s="445">
        <f t="shared" si="102"/>
        <v>565.93999999999994</v>
      </c>
      <c r="P168" s="444">
        <f t="shared" si="103"/>
        <v>1.0131762683948584</v>
      </c>
      <c r="Q168" s="442">
        <v>1.5499999999999998</v>
      </c>
      <c r="R168" s="444">
        <f t="shared" si="104"/>
        <v>2.7748934798954494E-3</v>
      </c>
      <c r="S168" s="452">
        <f t="shared" si="105"/>
        <v>1007.4999999999999</v>
      </c>
      <c r="T168" s="445">
        <f t="shared" si="106"/>
        <v>7.3600000000000136</v>
      </c>
      <c r="U168" s="444">
        <f t="shared" si="107"/>
        <v>1.3176268394858416E-2</v>
      </c>
      <c r="V168" s="459">
        <f t="shared" si="108"/>
        <v>5.8100000000000138</v>
      </c>
      <c r="W168" s="460">
        <f t="shared" si="109"/>
        <v>1.0401374914962968E-2</v>
      </c>
      <c r="X168" s="461">
        <f t="shared" si="110"/>
        <v>3776.5000000000091</v>
      </c>
      <c r="Y168" s="366" t="s">
        <v>174</v>
      </c>
      <c r="Z168" s="366" t="s">
        <v>428</v>
      </c>
      <c r="AA168" s="367"/>
      <c r="AB168" s="367"/>
      <c r="AC168" s="367">
        <v>1</v>
      </c>
      <c r="AD168" s="446" t="s">
        <v>775</v>
      </c>
    </row>
    <row r="169" spans="2:39" s="147" customFormat="1" ht="27" customHeight="1">
      <c r="B169" s="894"/>
      <c r="C169" s="895"/>
      <c r="D169" s="361">
        <v>9</v>
      </c>
      <c r="E169" s="440" t="s">
        <v>619</v>
      </c>
      <c r="F169" s="364">
        <f t="shared" si="98"/>
        <v>4453.4334000000154</v>
      </c>
      <c r="G169" s="365">
        <v>39.389999999999993</v>
      </c>
      <c r="H169" s="442">
        <v>5997.3399999999992</v>
      </c>
      <c r="I169" s="442">
        <v>5997.3399999999992</v>
      </c>
      <c r="J169" s="444">
        <f t="shared" si="99"/>
        <v>1</v>
      </c>
      <c r="K169" s="443">
        <v>5997.3399999999992</v>
      </c>
      <c r="L169" s="444">
        <f t="shared" si="100"/>
        <v>1</v>
      </c>
      <c r="M169" s="443">
        <v>113.05999999999999</v>
      </c>
      <c r="N169" s="444">
        <f t="shared" si="101"/>
        <v>1.885169091630623E-2</v>
      </c>
      <c r="O169" s="445">
        <f t="shared" si="102"/>
        <v>6110.4</v>
      </c>
      <c r="P169" s="444">
        <f t="shared" si="103"/>
        <v>1.0188516909163063</v>
      </c>
      <c r="Q169" s="442">
        <v>24.299999999999997</v>
      </c>
      <c r="R169" s="444">
        <f t="shared" si="104"/>
        <v>4.0517962963580517E-3</v>
      </c>
      <c r="S169" s="452">
        <f t="shared" si="105"/>
        <v>957.17699999999968</v>
      </c>
      <c r="T169" s="445">
        <f t="shared" si="106"/>
        <v>113.0600000000004</v>
      </c>
      <c r="U169" s="444">
        <f t="shared" si="107"/>
        <v>1.8851690916306299E-2</v>
      </c>
      <c r="V169" s="459">
        <f t="shared" si="108"/>
        <v>88.760000000000403</v>
      </c>
      <c r="W169" s="460">
        <f t="shared" si="109"/>
        <v>1.4799894619948246E-2</v>
      </c>
      <c r="X169" s="461">
        <f t="shared" si="110"/>
        <v>3496.2564000000152</v>
      </c>
      <c r="Y169" s="366" t="s">
        <v>174</v>
      </c>
      <c r="Z169" s="366" t="s">
        <v>216</v>
      </c>
      <c r="AA169" s="367"/>
      <c r="AB169" s="367"/>
      <c r="AC169" s="367">
        <v>1</v>
      </c>
      <c r="AD169" s="446" t="s">
        <v>614</v>
      </c>
      <c r="AH169" s="370"/>
    </row>
    <row r="170" spans="2:39" s="147" customFormat="1" ht="27" customHeight="1">
      <c r="B170" s="894"/>
      <c r="C170" s="895"/>
      <c r="D170" s="361">
        <v>10</v>
      </c>
      <c r="E170" s="440" t="s">
        <v>635</v>
      </c>
      <c r="F170" s="364">
        <f t="shared" si="98"/>
        <v>4286.5127999999986</v>
      </c>
      <c r="G170" s="365">
        <v>49.82</v>
      </c>
      <c r="H170" s="442">
        <v>3369</v>
      </c>
      <c r="I170" s="442">
        <v>3369</v>
      </c>
      <c r="J170" s="444">
        <f t="shared" si="99"/>
        <v>1</v>
      </c>
      <c r="K170" s="443">
        <v>3369</v>
      </c>
      <c r="L170" s="444">
        <f t="shared" si="100"/>
        <v>1</v>
      </c>
      <c r="M170" s="443">
        <v>86.039999999999992</v>
      </c>
      <c r="N170" s="444">
        <f t="shared" si="101"/>
        <v>2.5538735529830808E-2</v>
      </c>
      <c r="O170" s="445">
        <f t="shared" si="102"/>
        <v>3455.04</v>
      </c>
      <c r="P170" s="444">
        <f t="shared" si="103"/>
        <v>1.0255387355298309</v>
      </c>
      <c r="Q170" s="442">
        <v>21.12</v>
      </c>
      <c r="R170" s="444">
        <f t="shared" si="104"/>
        <v>6.2689225289403383E-3</v>
      </c>
      <c r="S170" s="452">
        <f t="shared" si="105"/>
        <v>1052.1984</v>
      </c>
      <c r="T170" s="445">
        <f t="shared" si="106"/>
        <v>86.039999999999964</v>
      </c>
      <c r="U170" s="444">
        <f t="shared" si="107"/>
        <v>2.5538735529830801E-2</v>
      </c>
      <c r="V170" s="459">
        <f t="shared" si="108"/>
        <v>64.919999999999959</v>
      </c>
      <c r="W170" s="460">
        <f t="shared" si="109"/>
        <v>1.9269813000890462E-2</v>
      </c>
      <c r="X170" s="461">
        <f t="shared" si="110"/>
        <v>3234.3143999999979</v>
      </c>
      <c r="Y170" s="366" t="s">
        <v>174</v>
      </c>
      <c r="Z170" s="366" t="s">
        <v>428</v>
      </c>
      <c r="AA170" s="367"/>
      <c r="AB170" s="367"/>
      <c r="AC170" s="367">
        <v>1</v>
      </c>
      <c r="AD170" s="446" t="s">
        <v>616</v>
      </c>
      <c r="AH170" s="370"/>
    </row>
    <row r="171" spans="2:39" s="147" customFormat="1" ht="27" customHeight="1">
      <c r="B171" s="894"/>
      <c r="C171" s="895"/>
      <c r="D171" s="361">
        <v>11</v>
      </c>
      <c r="E171" s="440" t="s">
        <v>432</v>
      </c>
      <c r="F171" s="364">
        <f t="shared" si="98"/>
        <v>4163.6634000000004</v>
      </c>
      <c r="G171" s="365">
        <v>368.13999999999993</v>
      </c>
      <c r="H171" s="442">
        <v>502.19</v>
      </c>
      <c r="I171" s="442">
        <v>502.19</v>
      </c>
      <c r="J171" s="444">
        <f t="shared" si="99"/>
        <v>1</v>
      </c>
      <c r="K171" s="443">
        <v>502.19</v>
      </c>
      <c r="L171" s="444">
        <f t="shared" si="100"/>
        <v>1</v>
      </c>
      <c r="M171" s="443">
        <v>11.31</v>
      </c>
      <c r="N171" s="444">
        <f t="shared" si="101"/>
        <v>2.2521356458710846E-2</v>
      </c>
      <c r="O171" s="445">
        <f t="shared" si="102"/>
        <v>513.5</v>
      </c>
      <c r="P171" s="444">
        <f t="shared" si="103"/>
        <v>1.0225213564587108</v>
      </c>
      <c r="Q171" s="442">
        <v>2.8500000000000005</v>
      </c>
      <c r="R171" s="444">
        <f t="shared" si="104"/>
        <v>5.6751428742109573E-3</v>
      </c>
      <c r="S171" s="452">
        <f t="shared" si="105"/>
        <v>1049.1990000000001</v>
      </c>
      <c r="T171" s="445">
        <f t="shared" si="106"/>
        <v>11.310000000000002</v>
      </c>
      <c r="U171" s="444">
        <f t="shared" si="107"/>
        <v>2.252135645871085E-2</v>
      </c>
      <c r="V171" s="459">
        <f t="shared" si="108"/>
        <v>8.4600000000000009</v>
      </c>
      <c r="W171" s="460">
        <f t="shared" si="109"/>
        <v>1.6846213584499892E-2</v>
      </c>
      <c r="X171" s="461">
        <f t="shared" si="110"/>
        <v>3114.4643999999998</v>
      </c>
      <c r="Y171" s="366" t="s">
        <v>174</v>
      </c>
      <c r="Z171" s="366" t="s">
        <v>428</v>
      </c>
      <c r="AA171" s="367"/>
      <c r="AB171" s="367"/>
      <c r="AC171" s="367">
        <v>1</v>
      </c>
      <c r="AD171" s="446" t="s">
        <v>433</v>
      </c>
      <c r="AH171" s="370"/>
    </row>
    <row r="172" spans="2:39" s="147" customFormat="1" ht="27" customHeight="1">
      <c r="B172" s="894"/>
      <c r="C172" s="895"/>
      <c r="D172" s="361">
        <v>12</v>
      </c>
      <c r="E172" s="440" t="s">
        <v>653</v>
      </c>
      <c r="F172" s="364">
        <f t="shared" si="98"/>
        <v>4038.362199999995</v>
      </c>
      <c r="G172" s="365">
        <v>40.420000000000009</v>
      </c>
      <c r="H172" s="442">
        <v>2651.1800000000003</v>
      </c>
      <c r="I172" s="442">
        <v>2651.1800000000003</v>
      </c>
      <c r="J172" s="444">
        <f t="shared" si="99"/>
        <v>1</v>
      </c>
      <c r="K172" s="443">
        <v>2651.1800000000003</v>
      </c>
      <c r="L172" s="444">
        <f t="shared" si="100"/>
        <v>1</v>
      </c>
      <c r="M172" s="443">
        <v>99.910000000000011</v>
      </c>
      <c r="N172" s="444">
        <f t="shared" si="101"/>
        <v>3.7685106254573435E-2</v>
      </c>
      <c r="O172" s="445">
        <f t="shared" si="102"/>
        <v>2751.09</v>
      </c>
      <c r="P172" s="444">
        <f t="shared" si="103"/>
        <v>1.0376851062545733</v>
      </c>
      <c r="Q172" s="442">
        <v>25.95</v>
      </c>
      <c r="R172" s="444">
        <f t="shared" si="104"/>
        <v>9.7880943579839903E-3</v>
      </c>
      <c r="S172" s="452">
        <f t="shared" si="105"/>
        <v>1048.8990000000001</v>
      </c>
      <c r="T172" s="445">
        <f t="shared" si="106"/>
        <v>99.909999999999854</v>
      </c>
      <c r="U172" s="444">
        <f t="shared" si="107"/>
        <v>3.7685106254573379E-2</v>
      </c>
      <c r="V172" s="459">
        <f t="shared" si="108"/>
        <v>73.959999999999852</v>
      </c>
      <c r="W172" s="460">
        <f t="shared" si="109"/>
        <v>2.7897011896589385E-2</v>
      </c>
      <c r="X172" s="461">
        <f t="shared" si="110"/>
        <v>2989.4631999999947</v>
      </c>
      <c r="Y172" s="366" t="s">
        <v>174</v>
      </c>
      <c r="Z172" s="366" t="s">
        <v>216</v>
      </c>
      <c r="AA172" s="367"/>
      <c r="AB172" s="367"/>
      <c r="AC172" s="367">
        <v>1</v>
      </c>
      <c r="AD172" s="446" t="s">
        <v>650</v>
      </c>
      <c r="AH172" s="370"/>
    </row>
    <row r="173" spans="2:39" s="147" customFormat="1" ht="27" customHeight="1">
      <c r="B173" s="894"/>
      <c r="C173" s="895"/>
      <c r="D173" s="361">
        <v>13</v>
      </c>
      <c r="E173" s="440" t="s">
        <v>583</v>
      </c>
      <c r="F173" s="364">
        <f t="shared" si="98"/>
        <v>4017.4511999999918</v>
      </c>
      <c r="G173" s="365">
        <v>113.68000000000004</v>
      </c>
      <c r="H173" s="442">
        <v>1387.4</v>
      </c>
      <c r="I173" s="442">
        <v>1387.4</v>
      </c>
      <c r="J173" s="444">
        <f t="shared" si="99"/>
        <v>1</v>
      </c>
      <c r="K173" s="443">
        <v>1387.4</v>
      </c>
      <c r="L173" s="444">
        <f t="shared" si="100"/>
        <v>1</v>
      </c>
      <c r="M173" s="443">
        <v>35.340000000000003</v>
      </c>
      <c r="N173" s="444">
        <f t="shared" si="101"/>
        <v>2.5472106097736775E-2</v>
      </c>
      <c r="O173" s="445">
        <f t="shared" si="102"/>
        <v>1422.74</v>
      </c>
      <c r="P173" s="444">
        <f t="shared" si="103"/>
        <v>1.0254721060977368</v>
      </c>
      <c r="Q173" s="442">
        <v>9.26</v>
      </c>
      <c r="R173" s="444">
        <f t="shared" si="104"/>
        <v>6.6743549084618704E-3</v>
      </c>
      <c r="S173" s="452">
        <f t="shared" si="105"/>
        <v>1052.6768000000004</v>
      </c>
      <c r="T173" s="445">
        <f t="shared" si="106"/>
        <v>35.339999999999918</v>
      </c>
      <c r="U173" s="444">
        <f t="shared" si="107"/>
        <v>2.5472106097736712E-2</v>
      </c>
      <c r="V173" s="459">
        <f t="shared" si="108"/>
        <v>26.07999999999992</v>
      </c>
      <c r="W173" s="460">
        <f t="shared" si="109"/>
        <v>1.8797751189274844E-2</v>
      </c>
      <c r="X173" s="461">
        <f t="shared" si="110"/>
        <v>2964.7743999999921</v>
      </c>
      <c r="Y173" s="366" t="s">
        <v>174</v>
      </c>
      <c r="Z173" s="366" t="s">
        <v>428</v>
      </c>
      <c r="AA173" s="367"/>
      <c r="AB173" s="367"/>
      <c r="AC173" s="367">
        <v>1</v>
      </c>
      <c r="AD173" s="446" t="s">
        <v>566</v>
      </c>
    </row>
    <row r="174" spans="2:39" s="147" customFormat="1" ht="27" customHeight="1">
      <c r="B174" s="894"/>
      <c r="C174" s="895"/>
      <c r="D174" s="361">
        <v>14</v>
      </c>
      <c r="E174" s="440" t="s">
        <v>740</v>
      </c>
      <c r="F174" s="364">
        <f t="shared" si="98"/>
        <v>3969.1499999999969</v>
      </c>
      <c r="G174" s="365">
        <v>705</v>
      </c>
      <c r="H174" s="442">
        <v>308.15000000000003</v>
      </c>
      <c r="I174" s="442">
        <v>308.15000000000003</v>
      </c>
      <c r="J174" s="444">
        <f t="shared" si="99"/>
        <v>1</v>
      </c>
      <c r="K174" s="443">
        <v>308.15000000000003</v>
      </c>
      <c r="L174" s="444">
        <f t="shared" si="100"/>
        <v>1</v>
      </c>
      <c r="M174" s="443">
        <v>5.63</v>
      </c>
      <c r="N174" s="444">
        <f t="shared" si="101"/>
        <v>1.827032289469414E-2</v>
      </c>
      <c r="O174" s="445">
        <f t="shared" si="102"/>
        <v>313.78000000000003</v>
      </c>
      <c r="P174" s="444">
        <f t="shared" si="103"/>
        <v>1.0182703228946941</v>
      </c>
      <c r="Q174" s="442">
        <v>1.29</v>
      </c>
      <c r="R174" s="444">
        <f t="shared" si="104"/>
        <v>4.1862729190329379E-3</v>
      </c>
      <c r="S174" s="452">
        <f t="shared" si="105"/>
        <v>909.45</v>
      </c>
      <c r="T174" s="445">
        <f t="shared" si="106"/>
        <v>5.6299999999999955</v>
      </c>
      <c r="U174" s="444">
        <f t="shared" si="107"/>
        <v>1.8270322894694126E-2</v>
      </c>
      <c r="V174" s="459">
        <f t="shared" si="108"/>
        <v>4.3399999999999954</v>
      </c>
      <c r="W174" s="460">
        <f t="shared" si="109"/>
        <v>1.4084049975661187E-2</v>
      </c>
      <c r="X174" s="461">
        <f t="shared" si="110"/>
        <v>3059.6999999999966</v>
      </c>
      <c r="Y174" s="366" t="s">
        <v>174</v>
      </c>
      <c r="Z174" s="366" t="s">
        <v>428</v>
      </c>
      <c r="AA174" s="367"/>
      <c r="AB174" s="367"/>
      <c r="AC174" s="367">
        <v>1</v>
      </c>
      <c r="AD174" s="446" t="s">
        <v>340</v>
      </c>
    </row>
    <row r="175" spans="2:39" s="147" customFormat="1" ht="27" customHeight="1">
      <c r="B175" s="894"/>
      <c r="C175" s="895"/>
      <c r="D175" s="361">
        <v>15</v>
      </c>
      <c r="E175" s="440" t="s">
        <v>464</v>
      </c>
      <c r="F175" s="364">
        <f t="shared" si="98"/>
        <v>3931.25</v>
      </c>
      <c r="G175" s="365">
        <v>629</v>
      </c>
      <c r="H175" s="442">
        <v>259.66000000000003</v>
      </c>
      <c r="I175" s="442">
        <v>259.66000000000003</v>
      </c>
      <c r="J175" s="444">
        <f t="shared" si="99"/>
        <v>1</v>
      </c>
      <c r="K175" s="443">
        <v>259.66000000000003</v>
      </c>
      <c r="L175" s="444">
        <f t="shared" si="100"/>
        <v>1</v>
      </c>
      <c r="M175" s="443">
        <v>6.25</v>
      </c>
      <c r="N175" s="444">
        <f t="shared" si="101"/>
        <v>2.4069937610721712E-2</v>
      </c>
      <c r="O175" s="445">
        <f t="shared" si="102"/>
        <v>265.91000000000003</v>
      </c>
      <c r="P175" s="444">
        <f t="shared" si="103"/>
        <v>1.0240699376107216</v>
      </c>
      <c r="Q175" s="442">
        <v>1.61</v>
      </c>
      <c r="R175" s="444">
        <f t="shared" si="104"/>
        <v>6.2004159285219129E-3</v>
      </c>
      <c r="S175" s="452">
        <f t="shared" si="105"/>
        <v>1012.69</v>
      </c>
      <c r="T175" s="445">
        <f t="shared" si="106"/>
        <v>6.25</v>
      </c>
      <c r="U175" s="444">
        <f t="shared" si="107"/>
        <v>2.4069937610721712E-2</v>
      </c>
      <c r="V175" s="459">
        <f t="shared" si="108"/>
        <v>4.6399999999999997</v>
      </c>
      <c r="W175" s="460">
        <f t="shared" si="109"/>
        <v>1.7869521682199796E-2</v>
      </c>
      <c r="X175" s="461">
        <f t="shared" si="110"/>
        <v>2918.56</v>
      </c>
      <c r="Y175" s="366" t="s">
        <v>174</v>
      </c>
      <c r="Z175" s="366" t="s">
        <v>428</v>
      </c>
      <c r="AA175" s="367"/>
      <c r="AB175" s="367"/>
      <c r="AC175" s="367">
        <v>1</v>
      </c>
      <c r="AD175" s="446" t="s">
        <v>458</v>
      </c>
    </row>
    <row r="176" spans="2:39" s="147" customFormat="1" ht="27" customHeight="1">
      <c r="B176" s="894"/>
      <c r="C176" s="895"/>
      <c r="D176" s="361">
        <v>16</v>
      </c>
      <c r="E176" s="440" t="s">
        <v>802</v>
      </c>
      <c r="F176" s="364">
        <f t="shared" si="98"/>
        <v>3930.0742000000096</v>
      </c>
      <c r="G176" s="365">
        <v>321.61000000000007</v>
      </c>
      <c r="H176" s="442">
        <v>527.51</v>
      </c>
      <c r="I176" s="442">
        <v>527.51</v>
      </c>
      <c r="J176" s="444">
        <f t="shared" si="99"/>
        <v>1</v>
      </c>
      <c r="K176" s="443">
        <v>527.51</v>
      </c>
      <c r="L176" s="444">
        <f t="shared" si="100"/>
        <v>1</v>
      </c>
      <c r="M176" s="443">
        <v>12.22</v>
      </c>
      <c r="N176" s="444">
        <f t="shared" si="101"/>
        <v>2.3165437622035604E-2</v>
      </c>
      <c r="O176" s="445">
        <f t="shared" si="102"/>
        <v>539.73</v>
      </c>
      <c r="P176" s="444">
        <f t="shared" si="103"/>
        <v>1.0231654376220356</v>
      </c>
      <c r="Q176" s="442">
        <v>2.78</v>
      </c>
      <c r="R176" s="444">
        <f t="shared" si="104"/>
        <v>5.2700422740801119E-3</v>
      </c>
      <c r="S176" s="452">
        <f t="shared" si="105"/>
        <v>894.07580000000019</v>
      </c>
      <c r="T176" s="445">
        <f t="shared" si="106"/>
        <v>12.220000000000027</v>
      </c>
      <c r="U176" s="444">
        <f t="shared" si="107"/>
        <v>2.3165437622035653E-2</v>
      </c>
      <c r="V176" s="459">
        <f t="shared" si="108"/>
        <v>9.4400000000000279</v>
      </c>
      <c r="W176" s="460">
        <f t="shared" si="109"/>
        <v>1.7895395347955541E-2</v>
      </c>
      <c r="X176" s="461">
        <f t="shared" si="110"/>
        <v>3035.9984000000095</v>
      </c>
      <c r="Y176" s="366" t="s">
        <v>174</v>
      </c>
      <c r="Z176" s="366" t="s">
        <v>428</v>
      </c>
      <c r="AA176" s="367"/>
      <c r="AB176" s="367"/>
      <c r="AC176" s="367">
        <v>1</v>
      </c>
      <c r="AD176" s="446" t="s">
        <v>774</v>
      </c>
    </row>
    <row r="177" spans="2:39" s="147" customFormat="1" ht="27" customHeight="1">
      <c r="B177" s="894"/>
      <c r="C177" s="895"/>
      <c r="D177" s="361">
        <v>17</v>
      </c>
      <c r="E177" s="440" t="s">
        <v>631</v>
      </c>
      <c r="F177" s="364">
        <f t="shared" si="98"/>
        <v>3928.5939000000089</v>
      </c>
      <c r="G177" s="365">
        <v>43.889999999999993</v>
      </c>
      <c r="H177" s="442">
        <v>3215.9100000000003</v>
      </c>
      <c r="I177" s="442">
        <v>3215.9100000000003</v>
      </c>
      <c r="J177" s="444">
        <f t="shared" si="99"/>
        <v>1</v>
      </c>
      <c r="K177" s="443">
        <v>3215.9100000000003</v>
      </c>
      <c r="L177" s="444">
        <f t="shared" si="100"/>
        <v>1</v>
      </c>
      <c r="M177" s="443">
        <v>89.51</v>
      </c>
      <c r="N177" s="444">
        <f t="shared" si="101"/>
        <v>2.783349036509106E-2</v>
      </c>
      <c r="O177" s="445">
        <f t="shared" si="102"/>
        <v>3305.4200000000005</v>
      </c>
      <c r="P177" s="444">
        <f t="shared" si="103"/>
        <v>1.0278334903650912</v>
      </c>
      <c r="Q177" s="442">
        <v>23.9</v>
      </c>
      <c r="R177" s="444">
        <f t="shared" si="104"/>
        <v>7.4318000192791457E-3</v>
      </c>
      <c r="S177" s="452">
        <f t="shared" si="105"/>
        <v>1048.9709999999998</v>
      </c>
      <c r="T177" s="445">
        <f t="shared" si="106"/>
        <v>89.510000000000218</v>
      </c>
      <c r="U177" s="444">
        <f t="shared" si="107"/>
        <v>2.7833490365091126E-2</v>
      </c>
      <c r="V177" s="459">
        <f t="shared" si="108"/>
        <v>65.610000000000213</v>
      </c>
      <c r="W177" s="460">
        <f t="shared" si="109"/>
        <v>2.040169034581198E-2</v>
      </c>
      <c r="X177" s="461">
        <f t="shared" si="110"/>
        <v>2879.6229000000089</v>
      </c>
      <c r="Y177" s="366" t="s">
        <v>174</v>
      </c>
      <c r="Z177" s="366" t="s">
        <v>216</v>
      </c>
      <c r="AA177" s="367"/>
      <c r="AB177" s="367"/>
      <c r="AC177" s="367">
        <v>1</v>
      </c>
      <c r="AD177" s="446" t="s">
        <v>630</v>
      </c>
    </row>
    <row r="178" spans="2:39" s="147" customFormat="1" ht="27" customHeight="1">
      <c r="B178" s="894"/>
      <c r="C178" s="895"/>
      <c r="D178" s="361">
        <v>18</v>
      </c>
      <c r="E178" s="440" t="s">
        <v>652</v>
      </c>
      <c r="F178" s="364">
        <f t="shared" si="98"/>
        <v>3882.7268999999956</v>
      </c>
      <c r="G178" s="365">
        <v>31.59</v>
      </c>
      <c r="H178" s="442">
        <v>4828.92</v>
      </c>
      <c r="I178" s="442">
        <v>4828.92</v>
      </c>
      <c r="J178" s="444">
        <f t="shared" si="99"/>
        <v>1</v>
      </c>
      <c r="K178" s="443">
        <v>4828.92</v>
      </c>
      <c r="L178" s="444">
        <f t="shared" si="100"/>
        <v>1</v>
      </c>
      <c r="M178" s="443">
        <v>122.90999999999998</v>
      </c>
      <c r="N178" s="444">
        <f t="shared" si="101"/>
        <v>2.5452896299793738E-2</v>
      </c>
      <c r="O178" s="445">
        <f t="shared" si="102"/>
        <v>4951.83</v>
      </c>
      <c r="P178" s="444">
        <f t="shared" si="103"/>
        <v>1.0254528962997937</v>
      </c>
      <c r="Q178" s="442">
        <v>33.209999999999994</v>
      </c>
      <c r="R178" s="444">
        <f t="shared" si="104"/>
        <v>6.8773141820531285E-3</v>
      </c>
      <c r="S178" s="452">
        <f t="shared" si="105"/>
        <v>1049.1038999999998</v>
      </c>
      <c r="T178" s="445">
        <f t="shared" si="106"/>
        <v>122.90999999999985</v>
      </c>
      <c r="U178" s="444">
        <f t="shared" si="107"/>
        <v>2.5452896299793713E-2</v>
      </c>
      <c r="V178" s="459">
        <f t="shared" si="108"/>
        <v>89.699999999999861</v>
      </c>
      <c r="W178" s="460">
        <f t="shared" si="109"/>
        <v>1.8575582117740585E-2</v>
      </c>
      <c r="X178" s="461">
        <f t="shared" si="110"/>
        <v>2833.6229999999955</v>
      </c>
      <c r="Y178" s="366" t="s">
        <v>174</v>
      </c>
      <c r="Z178" s="366" t="s">
        <v>216</v>
      </c>
      <c r="AA178" s="367"/>
      <c r="AB178" s="367"/>
      <c r="AC178" s="367">
        <v>1</v>
      </c>
      <c r="AD178" s="446" t="s">
        <v>650</v>
      </c>
    </row>
    <row r="179" spans="2:39" s="147" customFormat="1" ht="27" customHeight="1">
      <c r="B179" s="894"/>
      <c r="C179" s="895"/>
      <c r="D179" s="361">
        <v>19</v>
      </c>
      <c r="E179" s="440" t="s">
        <v>835</v>
      </c>
      <c r="F179" s="364">
        <f t="shared" si="98"/>
        <v>3851.5669999999946</v>
      </c>
      <c r="G179" s="365">
        <v>70.220000000000013</v>
      </c>
      <c r="H179" s="442">
        <v>2065.6999999999998</v>
      </c>
      <c r="I179" s="442">
        <v>2065.6999999999998</v>
      </c>
      <c r="J179" s="444">
        <f t="shared" si="99"/>
        <v>1</v>
      </c>
      <c r="K179" s="443">
        <v>2065.6999999999998</v>
      </c>
      <c r="L179" s="444">
        <f t="shared" si="100"/>
        <v>1</v>
      </c>
      <c r="M179" s="443">
        <v>54.850000000000009</v>
      </c>
      <c r="N179" s="444">
        <f t="shared" si="101"/>
        <v>2.6552742411773255E-2</v>
      </c>
      <c r="O179" s="445">
        <f t="shared" si="102"/>
        <v>2120.5499999999997</v>
      </c>
      <c r="P179" s="444">
        <f t="shared" si="103"/>
        <v>1.0265527424117733</v>
      </c>
      <c r="Q179" s="442">
        <v>14.94</v>
      </c>
      <c r="R179" s="444">
        <f t="shared" si="104"/>
        <v>7.2324151619305808E-3</v>
      </c>
      <c r="S179" s="452">
        <f t="shared" si="105"/>
        <v>1049.0868000000003</v>
      </c>
      <c r="T179" s="445">
        <f t="shared" si="106"/>
        <v>54.849999999999909</v>
      </c>
      <c r="U179" s="444">
        <f t="shared" si="107"/>
        <v>2.6552742411773207E-2</v>
      </c>
      <c r="V179" s="459">
        <f t="shared" si="108"/>
        <v>39.909999999999911</v>
      </c>
      <c r="W179" s="460">
        <f t="shared" si="109"/>
        <v>1.9320327249842627E-2</v>
      </c>
      <c r="X179" s="461">
        <f t="shared" si="110"/>
        <v>2802.4801999999945</v>
      </c>
      <c r="Y179" s="366" t="s">
        <v>174</v>
      </c>
      <c r="Z179" s="366" t="s">
        <v>428</v>
      </c>
      <c r="AA179" s="367"/>
      <c r="AB179" s="367"/>
      <c r="AC179" s="367">
        <v>1</v>
      </c>
      <c r="AD179" s="446" t="s">
        <v>343</v>
      </c>
    </row>
    <row r="180" spans="2:39" s="147" customFormat="1" ht="27" customHeight="1">
      <c r="B180" s="896"/>
      <c r="C180" s="897"/>
      <c r="D180" s="361">
        <v>20</v>
      </c>
      <c r="E180" s="440" t="s">
        <v>737</v>
      </c>
      <c r="F180" s="364">
        <f t="shared" si="98"/>
        <v>3823.1424000000156</v>
      </c>
      <c r="G180" s="365">
        <v>426.69</v>
      </c>
      <c r="H180" s="442">
        <v>911.46</v>
      </c>
      <c r="I180" s="442">
        <v>911.46</v>
      </c>
      <c r="J180" s="444">
        <f t="shared" si="99"/>
        <v>1</v>
      </c>
      <c r="K180" s="443">
        <v>911.46</v>
      </c>
      <c r="L180" s="444">
        <f t="shared" si="100"/>
        <v>1</v>
      </c>
      <c r="M180" s="443">
        <v>8.9600000000000009</v>
      </c>
      <c r="N180" s="444">
        <f t="shared" si="101"/>
        <v>9.8303820244442994E-3</v>
      </c>
      <c r="O180" s="445">
        <f t="shared" si="102"/>
        <v>920.42000000000007</v>
      </c>
      <c r="P180" s="444">
        <f t="shared" si="103"/>
        <v>1.0098303820244443</v>
      </c>
      <c r="Q180" s="442">
        <v>2.02</v>
      </c>
      <c r="R180" s="444">
        <f t="shared" si="104"/>
        <v>2.216224518903737E-3</v>
      </c>
      <c r="S180" s="452">
        <f t="shared" si="105"/>
        <v>861.91380000000004</v>
      </c>
      <c r="T180" s="445">
        <f t="shared" si="106"/>
        <v>8.9600000000000364</v>
      </c>
      <c r="U180" s="444">
        <f t="shared" si="107"/>
        <v>9.8303820244443375E-3</v>
      </c>
      <c r="V180" s="459">
        <f t="shared" si="108"/>
        <v>6.9400000000000368</v>
      </c>
      <c r="W180" s="460">
        <f t="shared" si="109"/>
        <v>7.6141575055406014E-3</v>
      </c>
      <c r="X180" s="461">
        <f t="shared" si="110"/>
        <v>2961.2286000000158</v>
      </c>
      <c r="Y180" s="366" t="s">
        <v>174</v>
      </c>
      <c r="Z180" s="366" t="s">
        <v>428</v>
      </c>
      <c r="AA180" s="367"/>
      <c r="AB180" s="367"/>
      <c r="AC180" s="367">
        <v>1</v>
      </c>
      <c r="AD180" s="446" t="s">
        <v>358</v>
      </c>
    </row>
    <row r="181" spans="2:39" ht="17.100000000000001" customHeight="1">
      <c r="B181" s="898" t="s">
        <v>442</v>
      </c>
      <c r="C181" s="899"/>
      <c r="D181" s="902" t="s">
        <v>549</v>
      </c>
      <c r="E181" s="903" t="s">
        <v>550</v>
      </c>
      <c r="F181" s="953" t="s">
        <v>567</v>
      </c>
      <c r="G181" s="881" t="s">
        <v>552</v>
      </c>
      <c r="H181" s="905" t="s">
        <v>553</v>
      </c>
      <c r="I181" s="906" t="s">
        <v>554</v>
      </c>
      <c r="J181" s="907"/>
      <c r="K181" s="906" t="s">
        <v>555</v>
      </c>
      <c r="L181" s="907"/>
      <c r="M181" s="906" t="s">
        <v>556</v>
      </c>
      <c r="N181" s="907"/>
      <c r="O181" s="906" t="s">
        <v>557</v>
      </c>
      <c r="P181" s="907"/>
      <c r="Q181" s="906" t="s">
        <v>418</v>
      </c>
      <c r="R181" s="954"/>
      <c r="S181" s="907"/>
      <c r="T181" s="908" t="s">
        <v>743</v>
      </c>
      <c r="U181" s="909"/>
      <c r="V181" s="911" t="s">
        <v>742</v>
      </c>
      <c r="W181" s="912"/>
      <c r="X181" s="913"/>
      <c r="Y181" s="914" t="s">
        <v>171</v>
      </c>
      <c r="Z181" s="914" t="s">
        <v>245</v>
      </c>
      <c r="AA181" s="914" t="s">
        <v>558</v>
      </c>
      <c r="AB181" s="914" t="s">
        <v>444</v>
      </c>
      <c r="AC181" s="914" t="s">
        <v>246</v>
      </c>
      <c r="AD181" s="881" t="s">
        <v>172</v>
      </c>
      <c r="AF181" s="883" t="s">
        <v>247</v>
      </c>
      <c r="AG181" s="884"/>
      <c r="AH181" s="884"/>
      <c r="AI181" s="884"/>
      <c r="AJ181" s="884"/>
      <c r="AK181" s="884"/>
      <c r="AL181" s="884"/>
      <c r="AM181" s="885"/>
    </row>
    <row r="182" spans="2:39" ht="16.5" customHeight="1">
      <c r="B182" s="900"/>
      <c r="C182" s="901"/>
      <c r="D182" s="902"/>
      <c r="E182" s="902"/>
      <c r="F182" s="904"/>
      <c r="G182" s="882"/>
      <c r="H182" s="882"/>
      <c r="I182" s="439" t="s">
        <v>559</v>
      </c>
      <c r="J182" s="362" t="s">
        <v>560</v>
      </c>
      <c r="K182" s="439" t="s">
        <v>559</v>
      </c>
      <c r="L182" s="362" t="s">
        <v>560</v>
      </c>
      <c r="M182" s="439" t="s">
        <v>559</v>
      </c>
      <c r="N182" s="362" t="s">
        <v>560</v>
      </c>
      <c r="O182" s="439" t="s">
        <v>559</v>
      </c>
      <c r="P182" s="362" t="s">
        <v>560</v>
      </c>
      <c r="Q182" s="439" t="s">
        <v>559</v>
      </c>
      <c r="R182" s="362" t="s">
        <v>560</v>
      </c>
      <c r="S182" s="362" t="s">
        <v>561</v>
      </c>
      <c r="T182" s="439" t="s">
        <v>559</v>
      </c>
      <c r="U182" s="362" t="s">
        <v>560</v>
      </c>
      <c r="V182" s="439" t="s">
        <v>559</v>
      </c>
      <c r="W182" s="362" t="s">
        <v>560</v>
      </c>
      <c r="X182" s="362" t="s">
        <v>561</v>
      </c>
      <c r="Y182" s="915"/>
      <c r="Z182" s="915"/>
      <c r="AA182" s="915"/>
      <c r="AB182" s="915"/>
      <c r="AC182" s="915"/>
      <c r="AD182" s="882"/>
      <c r="AF182" s="886"/>
      <c r="AG182" s="887"/>
      <c r="AH182" s="887"/>
      <c r="AI182" s="887"/>
      <c r="AJ182" s="887"/>
      <c r="AK182" s="887"/>
      <c r="AL182" s="887"/>
      <c r="AM182" s="888"/>
    </row>
    <row r="183" spans="2:39" s="147" customFormat="1" ht="27" customHeight="1">
      <c r="B183" s="892" t="s">
        <v>829</v>
      </c>
      <c r="C183" s="893"/>
      <c r="D183" s="361">
        <v>1</v>
      </c>
      <c r="E183" s="440"/>
      <c r="F183" s="364">
        <f>IFERROR(T183*G183,"-")</f>
        <v>0</v>
      </c>
      <c r="G183" s="365"/>
      <c r="H183" s="442"/>
      <c r="I183" s="442"/>
      <c r="J183" s="444" t="str">
        <f>IFERROR(I183/H183,"-")</f>
        <v>-</v>
      </c>
      <c r="K183" s="443"/>
      <c r="L183" s="444" t="str">
        <f>IFERROR(K183/H183,"-")</f>
        <v>-</v>
      </c>
      <c r="M183" s="443"/>
      <c r="N183" s="444" t="str">
        <f>IFERROR(M183/H183,"-")</f>
        <v>-</v>
      </c>
      <c r="O183" s="445">
        <f>IFERROR(K183+M183,"-")</f>
        <v>0</v>
      </c>
      <c r="P183" s="444" t="str">
        <f>IFERROR(O183/H183,"-")</f>
        <v>-</v>
      </c>
      <c r="Q183" s="442"/>
      <c r="R183" s="444" t="str">
        <f>IFERROR(Q183/H183,"-")</f>
        <v>-</v>
      </c>
      <c r="S183" s="452">
        <f>IFERROR(Q183*G183,"-")</f>
        <v>0</v>
      </c>
      <c r="T183" s="445">
        <f>IFERROR(O183-H183,"-")</f>
        <v>0</v>
      </c>
      <c r="U183" s="444" t="str">
        <f>IFERROR(T183/H183,"-")</f>
        <v>-</v>
      </c>
      <c r="V183" s="459">
        <f>T183-Q183</f>
        <v>0</v>
      </c>
      <c r="W183" s="460" t="str">
        <f>IFERROR(V183/H183,"-")</f>
        <v>-</v>
      </c>
      <c r="X183" s="461">
        <f>IFERROR(V183*G183,"-")</f>
        <v>0</v>
      </c>
      <c r="Y183" s="366"/>
      <c r="Z183" s="366"/>
      <c r="AA183" s="367"/>
      <c r="AB183" s="367"/>
      <c r="AC183" s="367">
        <v>1</v>
      </c>
      <c r="AD183" s="446"/>
      <c r="AF183" s="889"/>
      <c r="AG183" s="890"/>
      <c r="AH183" s="890"/>
      <c r="AI183" s="890"/>
      <c r="AJ183" s="890"/>
      <c r="AK183" s="890"/>
      <c r="AL183" s="890"/>
      <c r="AM183" s="891"/>
    </row>
    <row r="184" spans="2:39" s="147" customFormat="1" ht="27" customHeight="1">
      <c r="B184" s="894"/>
      <c r="C184" s="895"/>
      <c r="D184" s="361">
        <v>2</v>
      </c>
      <c r="E184" s="440"/>
      <c r="F184" s="364">
        <f t="shared" ref="F184:F202" si="114">IFERROR(T184*G184,"-")</f>
        <v>0</v>
      </c>
      <c r="G184" s="365"/>
      <c r="H184" s="442"/>
      <c r="I184" s="442"/>
      <c r="J184" s="444" t="str">
        <f t="shared" ref="J184:J202" si="115">IFERROR(I184/H184,"-")</f>
        <v>-</v>
      </c>
      <c r="K184" s="443"/>
      <c r="L184" s="444" t="str">
        <f t="shared" ref="L184:L202" si="116">IFERROR(K184/H184,"-")</f>
        <v>-</v>
      </c>
      <c r="M184" s="443"/>
      <c r="N184" s="444" t="str">
        <f t="shared" ref="N184:N202" si="117">IFERROR(M184/H184,"-")</f>
        <v>-</v>
      </c>
      <c r="O184" s="445">
        <f t="shared" ref="O184:O202" si="118">IFERROR(K184+M184,"-")</f>
        <v>0</v>
      </c>
      <c r="P184" s="444" t="str">
        <f t="shared" ref="P184:P202" si="119">IFERROR(O184/H184,"-")</f>
        <v>-</v>
      </c>
      <c r="Q184" s="442"/>
      <c r="R184" s="444" t="str">
        <f t="shared" ref="R184:R202" si="120">IFERROR(Q184/H184,"-")</f>
        <v>-</v>
      </c>
      <c r="S184" s="452">
        <f t="shared" ref="S184:S202" si="121">IFERROR(Q184*G184,"-")</f>
        <v>0</v>
      </c>
      <c r="T184" s="445">
        <f t="shared" ref="T184:T202" si="122">IFERROR(O184-H184,"-")</f>
        <v>0</v>
      </c>
      <c r="U184" s="444" t="str">
        <f t="shared" ref="U184:U202" si="123">IFERROR(T184/H184,"-")</f>
        <v>-</v>
      </c>
      <c r="V184" s="459">
        <f t="shared" ref="V184:V202" si="124">T184-Q184</f>
        <v>0</v>
      </c>
      <c r="W184" s="460" t="str">
        <f t="shared" ref="W184:W202" si="125">IFERROR(V184/H184,"-")</f>
        <v>-</v>
      </c>
      <c r="X184" s="461">
        <f t="shared" ref="X184:X202" si="126">IFERROR(V184*G184,"-")</f>
        <v>0</v>
      </c>
      <c r="Y184" s="366"/>
      <c r="Z184" s="366"/>
      <c r="AA184" s="367"/>
      <c r="AB184" s="367"/>
      <c r="AC184" s="367">
        <v>1</v>
      </c>
      <c r="AD184" s="446"/>
      <c r="AF184" s="160" t="s">
        <v>244</v>
      </c>
      <c r="AG184" s="160" t="s">
        <v>445</v>
      </c>
      <c r="AH184" s="155" t="s">
        <v>562</v>
      </c>
      <c r="AI184" s="155" t="s">
        <v>337</v>
      </c>
      <c r="AJ184" s="155" t="s">
        <v>428</v>
      </c>
      <c r="AK184" s="155" t="s">
        <v>215</v>
      </c>
      <c r="AL184" s="155" t="s">
        <v>216</v>
      </c>
      <c r="AM184" s="155" t="s">
        <v>384</v>
      </c>
    </row>
    <row r="185" spans="2:39" s="147" customFormat="1" ht="27" customHeight="1">
      <c r="B185" s="894"/>
      <c r="C185" s="895"/>
      <c r="D185" s="361">
        <v>3</v>
      </c>
      <c r="E185" s="440"/>
      <c r="F185" s="364">
        <f t="shared" si="114"/>
        <v>0</v>
      </c>
      <c r="G185" s="365"/>
      <c r="H185" s="442"/>
      <c r="I185" s="442"/>
      <c r="J185" s="444" t="str">
        <f t="shared" si="115"/>
        <v>-</v>
      </c>
      <c r="K185" s="443"/>
      <c r="L185" s="444" t="str">
        <f t="shared" si="116"/>
        <v>-</v>
      </c>
      <c r="M185" s="443"/>
      <c r="N185" s="444" t="str">
        <f t="shared" si="117"/>
        <v>-</v>
      </c>
      <c r="O185" s="445">
        <f t="shared" si="118"/>
        <v>0</v>
      </c>
      <c r="P185" s="444" t="str">
        <f t="shared" si="119"/>
        <v>-</v>
      </c>
      <c r="Q185" s="442"/>
      <c r="R185" s="444" t="str">
        <f t="shared" si="120"/>
        <v>-</v>
      </c>
      <c r="S185" s="452">
        <f t="shared" si="121"/>
        <v>0</v>
      </c>
      <c r="T185" s="445">
        <f t="shared" si="122"/>
        <v>0</v>
      </c>
      <c r="U185" s="444" t="str">
        <f t="shared" si="123"/>
        <v>-</v>
      </c>
      <c r="V185" s="459">
        <f t="shared" si="124"/>
        <v>0</v>
      </c>
      <c r="W185" s="460" t="str">
        <f t="shared" si="125"/>
        <v>-</v>
      </c>
      <c r="X185" s="461">
        <f t="shared" si="126"/>
        <v>0</v>
      </c>
      <c r="Y185" s="366"/>
      <c r="Z185" s="366"/>
      <c r="AA185" s="367"/>
      <c r="AB185" s="367"/>
      <c r="AC185" s="367">
        <v>1</v>
      </c>
      <c r="AD185" s="446"/>
      <c r="AF185" s="374">
        <f>SUM(AC183:AC202)</f>
        <v>20</v>
      </c>
      <c r="AG185" s="369">
        <f>SUMIF($Z$183:$Z$202,TRIM(AG184),$AC$183:$AC$202)</f>
        <v>0</v>
      </c>
      <c r="AH185" s="369">
        <f t="shared" ref="AH185:AM185" si="127">SUMIF($Z$183:$Z$202,TRIM(AH184),$AC$183:$AC$202)</f>
        <v>0</v>
      </c>
      <c r="AI185" s="369">
        <f t="shared" si="127"/>
        <v>0</v>
      </c>
      <c r="AJ185" s="369">
        <f t="shared" si="127"/>
        <v>0</v>
      </c>
      <c r="AK185" s="369">
        <f t="shared" si="127"/>
        <v>0</v>
      </c>
      <c r="AL185" s="369">
        <f t="shared" si="127"/>
        <v>0</v>
      </c>
      <c r="AM185" s="369">
        <f t="shared" si="127"/>
        <v>0</v>
      </c>
    </row>
    <row r="186" spans="2:39" s="147" customFormat="1" ht="27" customHeight="1">
      <c r="B186" s="894"/>
      <c r="C186" s="895"/>
      <c r="D186" s="361">
        <v>4</v>
      </c>
      <c r="E186" s="440"/>
      <c r="F186" s="364">
        <f t="shared" si="114"/>
        <v>0</v>
      </c>
      <c r="G186" s="365"/>
      <c r="H186" s="442"/>
      <c r="I186" s="442"/>
      <c r="J186" s="444" t="str">
        <f t="shared" si="115"/>
        <v>-</v>
      </c>
      <c r="K186" s="443"/>
      <c r="L186" s="444" t="str">
        <f t="shared" si="116"/>
        <v>-</v>
      </c>
      <c r="M186" s="443"/>
      <c r="N186" s="444" t="str">
        <f t="shared" si="117"/>
        <v>-</v>
      </c>
      <c r="O186" s="445">
        <f t="shared" si="118"/>
        <v>0</v>
      </c>
      <c r="P186" s="444" t="str">
        <f t="shared" si="119"/>
        <v>-</v>
      </c>
      <c r="Q186" s="442"/>
      <c r="R186" s="444" t="str">
        <f t="shared" si="120"/>
        <v>-</v>
      </c>
      <c r="S186" s="452">
        <f t="shared" si="121"/>
        <v>0</v>
      </c>
      <c r="T186" s="445">
        <f t="shared" si="122"/>
        <v>0</v>
      </c>
      <c r="U186" s="444" t="str">
        <f t="shared" si="123"/>
        <v>-</v>
      </c>
      <c r="V186" s="459">
        <f t="shared" si="124"/>
        <v>0</v>
      </c>
      <c r="W186" s="460" t="str">
        <f t="shared" si="125"/>
        <v>-</v>
      </c>
      <c r="X186" s="461">
        <f t="shared" si="126"/>
        <v>0</v>
      </c>
      <c r="Y186" s="366"/>
      <c r="Z186" s="366"/>
      <c r="AA186" s="367"/>
      <c r="AB186" s="367"/>
      <c r="AC186" s="367">
        <v>1</v>
      </c>
      <c r="AD186" s="446"/>
      <c r="AF186" s="375" t="s">
        <v>11</v>
      </c>
      <c r="AG186" s="372">
        <f>SUMIF($Z$183:$Z$202,TRIM(AG184),$F$183:$F$202)</f>
        <v>0</v>
      </c>
      <c r="AH186" s="372">
        <f t="shared" ref="AH186:AM186" si="128">SUMIF($Z$183:$Z$202,TRIM(AH184),$F$183:$F$202)</f>
        <v>0</v>
      </c>
      <c r="AI186" s="372">
        <f t="shared" si="128"/>
        <v>0</v>
      </c>
      <c r="AJ186" s="372">
        <f t="shared" si="128"/>
        <v>0</v>
      </c>
      <c r="AK186" s="372">
        <f t="shared" si="128"/>
        <v>0</v>
      </c>
      <c r="AL186" s="372">
        <f t="shared" si="128"/>
        <v>0</v>
      </c>
      <c r="AM186" s="372">
        <f t="shared" si="128"/>
        <v>0</v>
      </c>
    </row>
    <row r="187" spans="2:39" s="147" customFormat="1" ht="27" customHeight="1">
      <c r="B187" s="894"/>
      <c r="C187" s="895"/>
      <c r="D187" s="361">
        <v>5</v>
      </c>
      <c r="E187" s="440"/>
      <c r="F187" s="364">
        <f t="shared" si="114"/>
        <v>0</v>
      </c>
      <c r="G187" s="365"/>
      <c r="H187" s="442"/>
      <c r="I187" s="442"/>
      <c r="J187" s="444" t="str">
        <f t="shared" si="115"/>
        <v>-</v>
      </c>
      <c r="K187" s="443"/>
      <c r="L187" s="444" t="str">
        <f t="shared" si="116"/>
        <v>-</v>
      </c>
      <c r="M187" s="443"/>
      <c r="N187" s="444" t="str">
        <f t="shared" si="117"/>
        <v>-</v>
      </c>
      <c r="O187" s="445">
        <f t="shared" si="118"/>
        <v>0</v>
      </c>
      <c r="P187" s="444" t="str">
        <f t="shared" si="119"/>
        <v>-</v>
      </c>
      <c r="Q187" s="442"/>
      <c r="R187" s="444" t="str">
        <f t="shared" si="120"/>
        <v>-</v>
      </c>
      <c r="S187" s="452">
        <f t="shared" si="121"/>
        <v>0</v>
      </c>
      <c r="T187" s="445">
        <f t="shared" si="122"/>
        <v>0</v>
      </c>
      <c r="U187" s="444" t="str">
        <f t="shared" si="123"/>
        <v>-</v>
      </c>
      <c r="V187" s="459">
        <f t="shared" si="124"/>
        <v>0</v>
      </c>
      <c r="W187" s="460" t="str">
        <f t="shared" si="125"/>
        <v>-</v>
      </c>
      <c r="X187" s="461">
        <f t="shared" si="126"/>
        <v>0</v>
      </c>
      <c r="Y187" s="366"/>
      <c r="Z187" s="366"/>
      <c r="AA187" s="367"/>
      <c r="AB187" s="367"/>
      <c r="AC187" s="367">
        <v>1</v>
      </c>
      <c r="AD187" s="446"/>
      <c r="AF187" s="361" t="s">
        <v>563</v>
      </c>
      <c r="AG187" s="373">
        <f t="shared" ref="AG187:AM187" si="129">AG185/$AF185</f>
        <v>0</v>
      </c>
      <c r="AH187" s="373">
        <f t="shared" si="129"/>
        <v>0</v>
      </c>
      <c r="AI187" s="373">
        <f t="shared" si="129"/>
        <v>0</v>
      </c>
      <c r="AJ187" s="373">
        <f t="shared" si="129"/>
        <v>0</v>
      </c>
      <c r="AK187" s="373">
        <f t="shared" si="129"/>
        <v>0</v>
      </c>
      <c r="AL187" s="373">
        <f t="shared" si="129"/>
        <v>0</v>
      </c>
      <c r="AM187" s="373">
        <f t="shared" si="129"/>
        <v>0</v>
      </c>
    </row>
    <row r="188" spans="2:39" s="147" customFormat="1" ht="27" customHeight="1">
      <c r="B188" s="894"/>
      <c r="C188" s="895"/>
      <c r="D188" s="361">
        <v>6</v>
      </c>
      <c r="E188" s="440"/>
      <c r="F188" s="364">
        <f t="shared" si="114"/>
        <v>0</v>
      </c>
      <c r="G188" s="365"/>
      <c r="H188" s="442"/>
      <c r="I188" s="442"/>
      <c r="J188" s="444" t="str">
        <f t="shared" si="115"/>
        <v>-</v>
      </c>
      <c r="K188" s="443"/>
      <c r="L188" s="444" t="str">
        <f t="shared" si="116"/>
        <v>-</v>
      </c>
      <c r="M188" s="443"/>
      <c r="N188" s="444" t="str">
        <f t="shared" si="117"/>
        <v>-</v>
      </c>
      <c r="O188" s="445">
        <f t="shared" si="118"/>
        <v>0</v>
      </c>
      <c r="P188" s="444" t="str">
        <f t="shared" si="119"/>
        <v>-</v>
      </c>
      <c r="Q188" s="442"/>
      <c r="R188" s="444" t="str">
        <f t="shared" si="120"/>
        <v>-</v>
      </c>
      <c r="S188" s="452">
        <f t="shared" si="121"/>
        <v>0</v>
      </c>
      <c r="T188" s="445">
        <f t="shared" si="122"/>
        <v>0</v>
      </c>
      <c r="U188" s="444" t="str">
        <f t="shared" si="123"/>
        <v>-</v>
      </c>
      <c r="V188" s="459">
        <f t="shared" si="124"/>
        <v>0</v>
      </c>
      <c r="W188" s="460" t="str">
        <f t="shared" si="125"/>
        <v>-</v>
      </c>
      <c r="X188" s="461">
        <f t="shared" si="126"/>
        <v>0</v>
      </c>
      <c r="Y188" s="366"/>
      <c r="Z188" s="366"/>
      <c r="AA188" s="367"/>
      <c r="AB188" s="367"/>
      <c r="AC188" s="367">
        <v>1</v>
      </c>
      <c r="AD188" s="446"/>
    </row>
    <row r="189" spans="2:39" s="147" customFormat="1" ht="27" customHeight="1">
      <c r="B189" s="894"/>
      <c r="C189" s="895"/>
      <c r="D189" s="361">
        <v>7</v>
      </c>
      <c r="E189" s="440"/>
      <c r="F189" s="364">
        <f t="shared" si="114"/>
        <v>0</v>
      </c>
      <c r="G189" s="365"/>
      <c r="H189" s="442"/>
      <c r="I189" s="442"/>
      <c r="J189" s="444" t="str">
        <f t="shared" si="115"/>
        <v>-</v>
      </c>
      <c r="K189" s="443"/>
      <c r="L189" s="444" t="str">
        <f t="shared" si="116"/>
        <v>-</v>
      </c>
      <c r="M189" s="443"/>
      <c r="N189" s="444" t="str">
        <f t="shared" si="117"/>
        <v>-</v>
      </c>
      <c r="O189" s="445">
        <f t="shared" si="118"/>
        <v>0</v>
      </c>
      <c r="P189" s="444" t="str">
        <f t="shared" si="119"/>
        <v>-</v>
      </c>
      <c r="Q189" s="442"/>
      <c r="R189" s="444" t="str">
        <f t="shared" si="120"/>
        <v>-</v>
      </c>
      <c r="S189" s="452">
        <f t="shared" si="121"/>
        <v>0</v>
      </c>
      <c r="T189" s="445">
        <f t="shared" si="122"/>
        <v>0</v>
      </c>
      <c r="U189" s="444" t="str">
        <f t="shared" si="123"/>
        <v>-</v>
      </c>
      <c r="V189" s="459">
        <f t="shared" si="124"/>
        <v>0</v>
      </c>
      <c r="W189" s="460" t="str">
        <f t="shared" si="125"/>
        <v>-</v>
      </c>
      <c r="X189" s="461">
        <f t="shared" si="126"/>
        <v>0</v>
      </c>
      <c r="Y189" s="366"/>
      <c r="Z189" s="366"/>
      <c r="AA189" s="367"/>
      <c r="AB189" s="367"/>
      <c r="AC189" s="367">
        <v>1</v>
      </c>
      <c r="AD189" s="446"/>
    </row>
    <row r="190" spans="2:39" s="147" customFormat="1" ht="27" customHeight="1">
      <c r="B190" s="894"/>
      <c r="C190" s="895"/>
      <c r="D190" s="361">
        <v>8</v>
      </c>
      <c r="E190" s="440"/>
      <c r="F190" s="364">
        <f t="shared" si="114"/>
        <v>0</v>
      </c>
      <c r="G190" s="365"/>
      <c r="H190" s="442"/>
      <c r="I190" s="442"/>
      <c r="J190" s="444" t="str">
        <f t="shared" si="115"/>
        <v>-</v>
      </c>
      <c r="K190" s="443"/>
      <c r="L190" s="444" t="str">
        <f t="shared" si="116"/>
        <v>-</v>
      </c>
      <c r="M190" s="443"/>
      <c r="N190" s="444" t="str">
        <f t="shared" si="117"/>
        <v>-</v>
      </c>
      <c r="O190" s="445">
        <f t="shared" si="118"/>
        <v>0</v>
      </c>
      <c r="P190" s="444" t="str">
        <f t="shared" si="119"/>
        <v>-</v>
      </c>
      <c r="Q190" s="442"/>
      <c r="R190" s="444" t="str">
        <f t="shared" si="120"/>
        <v>-</v>
      </c>
      <c r="S190" s="452">
        <f t="shared" si="121"/>
        <v>0</v>
      </c>
      <c r="T190" s="445">
        <f t="shared" si="122"/>
        <v>0</v>
      </c>
      <c r="U190" s="444" t="str">
        <f t="shared" si="123"/>
        <v>-</v>
      </c>
      <c r="V190" s="459">
        <f t="shared" si="124"/>
        <v>0</v>
      </c>
      <c r="W190" s="460" t="str">
        <f t="shared" si="125"/>
        <v>-</v>
      </c>
      <c r="X190" s="461">
        <f t="shared" si="126"/>
        <v>0</v>
      </c>
      <c r="Y190" s="366"/>
      <c r="Z190" s="366"/>
      <c r="AA190" s="367"/>
      <c r="AB190" s="367"/>
      <c r="AC190" s="367">
        <v>1</v>
      </c>
      <c r="AD190" s="446"/>
    </row>
    <row r="191" spans="2:39" s="147" customFormat="1" ht="27" customHeight="1">
      <c r="B191" s="894"/>
      <c r="C191" s="895"/>
      <c r="D191" s="361">
        <v>9</v>
      </c>
      <c r="E191" s="440"/>
      <c r="F191" s="364">
        <f t="shared" si="114"/>
        <v>0</v>
      </c>
      <c r="G191" s="365"/>
      <c r="H191" s="442"/>
      <c r="I191" s="442"/>
      <c r="J191" s="444" t="str">
        <f t="shared" si="115"/>
        <v>-</v>
      </c>
      <c r="K191" s="443"/>
      <c r="L191" s="444" t="str">
        <f t="shared" si="116"/>
        <v>-</v>
      </c>
      <c r="M191" s="443"/>
      <c r="N191" s="444" t="str">
        <f t="shared" si="117"/>
        <v>-</v>
      </c>
      <c r="O191" s="445">
        <f t="shared" si="118"/>
        <v>0</v>
      </c>
      <c r="P191" s="444" t="str">
        <f t="shared" si="119"/>
        <v>-</v>
      </c>
      <c r="Q191" s="442"/>
      <c r="R191" s="444" t="str">
        <f t="shared" si="120"/>
        <v>-</v>
      </c>
      <c r="S191" s="452">
        <f t="shared" si="121"/>
        <v>0</v>
      </c>
      <c r="T191" s="445">
        <f t="shared" si="122"/>
        <v>0</v>
      </c>
      <c r="U191" s="444" t="str">
        <f t="shared" si="123"/>
        <v>-</v>
      </c>
      <c r="V191" s="459">
        <f t="shared" si="124"/>
        <v>0</v>
      </c>
      <c r="W191" s="460" t="str">
        <f t="shared" si="125"/>
        <v>-</v>
      </c>
      <c r="X191" s="461">
        <f t="shared" si="126"/>
        <v>0</v>
      </c>
      <c r="Y191" s="366"/>
      <c r="Z191" s="366"/>
      <c r="AA191" s="367"/>
      <c r="AB191" s="367"/>
      <c r="AC191" s="367">
        <v>1</v>
      </c>
      <c r="AD191" s="446"/>
      <c r="AH191" s="370"/>
    </row>
    <row r="192" spans="2:39" s="147" customFormat="1" ht="27" customHeight="1">
      <c r="B192" s="894"/>
      <c r="C192" s="895"/>
      <c r="D192" s="361">
        <v>10</v>
      </c>
      <c r="E192" s="440"/>
      <c r="F192" s="364">
        <f t="shared" si="114"/>
        <v>0</v>
      </c>
      <c r="G192" s="365"/>
      <c r="H192" s="442"/>
      <c r="I192" s="442"/>
      <c r="J192" s="444" t="str">
        <f t="shared" si="115"/>
        <v>-</v>
      </c>
      <c r="K192" s="443"/>
      <c r="L192" s="444" t="str">
        <f t="shared" si="116"/>
        <v>-</v>
      </c>
      <c r="M192" s="443"/>
      <c r="N192" s="444" t="str">
        <f t="shared" si="117"/>
        <v>-</v>
      </c>
      <c r="O192" s="445">
        <f t="shared" si="118"/>
        <v>0</v>
      </c>
      <c r="P192" s="444" t="str">
        <f t="shared" si="119"/>
        <v>-</v>
      </c>
      <c r="Q192" s="442"/>
      <c r="R192" s="444" t="str">
        <f t="shared" si="120"/>
        <v>-</v>
      </c>
      <c r="S192" s="452">
        <f t="shared" si="121"/>
        <v>0</v>
      </c>
      <c r="T192" s="445">
        <f t="shared" si="122"/>
        <v>0</v>
      </c>
      <c r="U192" s="444" t="str">
        <f t="shared" si="123"/>
        <v>-</v>
      </c>
      <c r="V192" s="459">
        <f t="shared" si="124"/>
        <v>0</v>
      </c>
      <c r="W192" s="460" t="str">
        <f t="shared" si="125"/>
        <v>-</v>
      </c>
      <c r="X192" s="461">
        <f t="shared" si="126"/>
        <v>0</v>
      </c>
      <c r="Y192" s="366"/>
      <c r="Z192" s="366"/>
      <c r="AA192" s="367"/>
      <c r="AB192" s="367"/>
      <c r="AC192" s="367">
        <v>1</v>
      </c>
      <c r="AD192" s="446"/>
      <c r="AH192" s="370"/>
    </row>
    <row r="193" spans="2:34" s="147" customFormat="1" ht="27" customHeight="1">
      <c r="B193" s="894"/>
      <c r="C193" s="895"/>
      <c r="D193" s="361">
        <v>11</v>
      </c>
      <c r="E193" s="440"/>
      <c r="F193" s="364">
        <f t="shared" si="114"/>
        <v>0</v>
      </c>
      <c r="G193" s="365"/>
      <c r="H193" s="442"/>
      <c r="I193" s="442"/>
      <c r="J193" s="444" t="str">
        <f t="shared" si="115"/>
        <v>-</v>
      </c>
      <c r="K193" s="443"/>
      <c r="L193" s="444" t="str">
        <f t="shared" si="116"/>
        <v>-</v>
      </c>
      <c r="M193" s="443"/>
      <c r="N193" s="444" t="str">
        <f t="shared" si="117"/>
        <v>-</v>
      </c>
      <c r="O193" s="445">
        <f t="shared" si="118"/>
        <v>0</v>
      </c>
      <c r="P193" s="444" t="str">
        <f t="shared" si="119"/>
        <v>-</v>
      </c>
      <c r="Q193" s="442"/>
      <c r="R193" s="444" t="str">
        <f t="shared" si="120"/>
        <v>-</v>
      </c>
      <c r="S193" s="452">
        <f t="shared" si="121"/>
        <v>0</v>
      </c>
      <c r="T193" s="445">
        <f t="shared" si="122"/>
        <v>0</v>
      </c>
      <c r="U193" s="444" t="str">
        <f t="shared" si="123"/>
        <v>-</v>
      </c>
      <c r="V193" s="459">
        <f t="shared" si="124"/>
        <v>0</v>
      </c>
      <c r="W193" s="460" t="str">
        <f t="shared" si="125"/>
        <v>-</v>
      </c>
      <c r="X193" s="461">
        <f t="shared" si="126"/>
        <v>0</v>
      </c>
      <c r="Y193" s="366"/>
      <c r="Z193" s="366"/>
      <c r="AA193" s="367"/>
      <c r="AB193" s="367"/>
      <c r="AC193" s="367">
        <v>1</v>
      </c>
      <c r="AD193" s="446"/>
      <c r="AH193" s="370"/>
    </row>
    <row r="194" spans="2:34" s="147" customFormat="1" ht="27" customHeight="1">
      <c r="B194" s="894"/>
      <c r="C194" s="895"/>
      <c r="D194" s="361">
        <v>12</v>
      </c>
      <c r="E194" s="440"/>
      <c r="F194" s="364">
        <f t="shared" si="114"/>
        <v>0</v>
      </c>
      <c r="G194" s="365"/>
      <c r="H194" s="442"/>
      <c r="I194" s="442"/>
      <c r="J194" s="444" t="str">
        <f t="shared" si="115"/>
        <v>-</v>
      </c>
      <c r="K194" s="443"/>
      <c r="L194" s="444" t="str">
        <f t="shared" si="116"/>
        <v>-</v>
      </c>
      <c r="M194" s="443"/>
      <c r="N194" s="444" t="str">
        <f t="shared" si="117"/>
        <v>-</v>
      </c>
      <c r="O194" s="445">
        <f t="shared" si="118"/>
        <v>0</v>
      </c>
      <c r="P194" s="444" t="str">
        <f t="shared" si="119"/>
        <v>-</v>
      </c>
      <c r="Q194" s="442"/>
      <c r="R194" s="444" t="str">
        <f t="shared" si="120"/>
        <v>-</v>
      </c>
      <c r="S194" s="452">
        <f t="shared" si="121"/>
        <v>0</v>
      </c>
      <c r="T194" s="445">
        <f t="shared" si="122"/>
        <v>0</v>
      </c>
      <c r="U194" s="444" t="str">
        <f t="shared" si="123"/>
        <v>-</v>
      </c>
      <c r="V194" s="459">
        <f t="shared" si="124"/>
        <v>0</v>
      </c>
      <c r="W194" s="460" t="str">
        <f t="shared" si="125"/>
        <v>-</v>
      </c>
      <c r="X194" s="461">
        <f t="shared" si="126"/>
        <v>0</v>
      </c>
      <c r="Y194" s="366"/>
      <c r="Z194" s="366"/>
      <c r="AA194" s="367"/>
      <c r="AB194" s="367"/>
      <c r="AC194" s="367">
        <v>1</v>
      </c>
      <c r="AD194" s="446"/>
      <c r="AH194" s="370"/>
    </row>
    <row r="195" spans="2:34" s="147" customFormat="1" ht="27" customHeight="1">
      <c r="B195" s="894"/>
      <c r="C195" s="895"/>
      <c r="D195" s="361">
        <v>13</v>
      </c>
      <c r="E195" s="440"/>
      <c r="F195" s="364">
        <f t="shared" si="114"/>
        <v>0</v>
      </c>
      <c r="G195" s="365"/>
      <c r="H195" s="442"/>
      <c r="I195" s="442"/>
      <c r="J195" s="444" t="str">
        <f t="shared" si="115"/>
        <v>-</v>
      </c>
      <c r="K195" s="443"/>
      <c r="L195" s="444" t="str">
        <f t="shared" si="116"/>
        <v>-</v>
      </c>
      <c r="M195" s="443"/>
      <c r="N195" s="444" t="str">
        <f t="shared" si="117"/>
        <v>-</v>
      </c>
      <c r="O195" s="445">
        <f t="shared" si="118"/>
        <v>0</v>
      </c>
      <c r="P195" s="444" t="str">
        <f t="shared" si="119"/>
        <v>-</v>
      </c>
      <c r="Q195" s="442"/>
      <c r="R195" s="444" t="str">
        <f t="shared" si="120"/>
        <v>-</v>
      </c>
      <c r="S195" s="452">
        <f t="shared" si="121"/>
        <v>0</v>
      </c>
      <c r="T195" s="445">
        <f t="shared" si="122"/>
        <v>0</v>
      </c>
      <c r="U195" s="444" t="str">
        <f t="shared" si="123"/>
        <v>-</v>
      </c>
      <c r="V195" s="459">
        <f t="shared" si="124"/>
        <v>0</v>
      </c>
      <c r="W195" s="460" t="str">
        <f t="shared" si="125"/>
        <v>-</v>
      </c>
      <c r="X195" s="461">
        <f t="shared" si="126"/>
        <v>0</v>
      </c>
      <c r="Y195" s="366"/>
      <c r="Z195" s="366"/>
      <c r="AA195" s="367"/>
      <c r="AB195" s="367"/>
      <c r="AC195" s="367">
        <v>1</v>
      </c>
      <c r="AD195" s="446"/>
    </row>
    <row r="196" spans="2:34" s="147" customFormat="1" ht="27" customHeight="1">
      <c r="B196" s="894"/>
      <c r="C196" s="895"/>
      <c r="D196" s="361">
        <v>14</v>
      </c>
      <c r="E196" s="440"/>
      <c r="F196" s="364">
        <f t="shared" si="114"/>
        <v>0</v>
      </c>
      <c r="G196" s="365"/>
      <c r="H196" s="442"/>
      <c r="I196" s="442"/>
      <c r="J196" s="444" t="str">
        <f t="shared" si="115"/>
        <v>-</v>
      </c>
      <c r="K196" s="443"/>
      <c r="L196" s="444" t="str">
        <f t="shared" si="116"/>
        <v>-</v>
      </c>
      <c r="M196" s="443"/>
      <c r="N196" s="444" t="str">
        <f t="shared" si="117"/>
        <v>-</v>
      </c>
      <c r="O196" s="445">
        <f t="shared" si="118"/>
        <v>0</v>
      </c>
      <c r="P196" s="444" t="str">
        <f t="shared" si="119"/>
        <v>-</v>
      </c>
      <c r="Q196" s="442"/>
      <c r="R196" s="444" t="str">
        <f t="shared" si="120"/>
        <v>-</v>
      </c>
      <c r="S196" s="452">
        <f t="shared" si="121"/>
        <v>0</v>
      </c>
      <c r="T196" s="445">
        <f t="shared" si="122"/>
        <v>0</v>
      </c>
      <c r="U196" s="444" t="str">
        <f t="shared" si="123"/>
        <v>-</v>
      </c>
      <c r="V196" s="459">
        <f t="shared" si="124"/>
        <v>0</v>
      </c>
      <c r="W196" s="460" t="str">
        <f t="shared" si="125"/>
        <v>-</v>
      </c>
      <c r="X196" s="461">
        <f t="shared" si="126"/>
        <v>0</v>
      </c>
      <c r="Y196" s="366"/>
      <c r="Z196" s="366"/>
      <c r="AA196" s="367"/>
      <c r="AB196" s="367"/>
      <c r="AC196" s="367">
        <v>1</v>
      </c>
      <c r="AD196" s="446"/>
    </row>
    <row r="197" spans="2:34" s="147" customFormat="1" ht="27" customHeight="1">
      <c r="B197" s="894"/>
      <c r="C197" s="895"/>
      <c r="D197" s="361">
        <v>15</v>
      </c>
      <c r="E197" s="440"/>
      <c r="F197" s="364">
        <f t="shared" si="114"/>
        <v>0</v>
      </c>
      <c r="G197" s="365"/>
      <c r="H197" s="442"/>
      <c r="I197" s="442"/>
      <c r="J197" s="444" t="str">
        <f t="shared" si="115"/>
        <v>-</v>
      </c>
      <c r="K197" s="443"/>
      <c r="L197" s="444" t="str">
        <f t="shared" si="116"/>
        <v>-</v>
      </c>
      <c r="M197" s="443"/>
      <c r="N197" s="444" t="str">
        <f t="shared" si="117"/>
        <v>-</v>
      </c>
      <c r="O197" s="445">
        <f t="shared" si="118"/>
        <v>0</v>
      </c>
      <c r="P197" s="444" t="str">
        <f t="shared" si="119"/>
        <v>-</v>
      </c>
      <c r="Q197" s="442"/>
      <c r="R197" s="444" t="str">
        <f t="shared" si="120"/>
        <v>-</v>
      </c>
      <c r="S197" s="452">
        <f t="shared" si="121"/>
        <v>0</v>
      </c>
      <c r="T197" s="445">
        <f t="shared" si="122"/>
        <v>0</v>
      </c>
      <c r="U197" s="444" t="str">
        <f t="shared" si="123"/>
        <v>-</v>
      </c>
      <c r="V197" s="459">
        <f t="shared" si="124"/>
        <v>0</v>
      </c>
      <c r="W197" s="460" t="str">
        <f t="shared" si="125"/>
        <v>-</v>
      </c>
      <c r="X197" s="461">
        <f t="shared" si="126"/>
        <v>0</v>
      </c>
      <c r="Y197" s="366"/>
      <c r="Z197" s="366"/>
      <c r="AA197" s="367"/>
      <c r="AB197" s="367"/>
      <c r="AC197" s="367">
        <v>1</v>
      </c>
      <c r="AD197" s="446"/>
    </row>
    <row r="198" spans="2:34" s="147" customFormat="1" ht="27" customHeight="1">
      <c r="B198" s="894"/>
      <c r="C198" s="895"/>
      <c r="D198" s="361">
        <v>16</v>
      </c>
      <c r="E198" s="440"/>
      <c r="F198" s="364">
        <f t="shared" si="114"/>
        <v>0</v>
      </c>
      <c r="G198" s="365"/>
      <c r="H198" s="442"/>
      <c r="I198" s="442"/>
      <c r="J198" s="444" t="str">
        <f t="shared" si="115"/>
        <v>-</v>
      </c>
      <c r="K198" s="443"/>
      <c r="L198" s="444" t="str">
        <f t="shared" si="116"/>
        <v>-</v>
      </c>
      <c r="M198" s="443"/>
      <c r="N198" s="444" t="str">
        <f t="shared" si="117"/>
        <v>-</v>
      </c>
      <c r="O198" s="445">
        <f t="shared" si="118"/>
        <v>0</v>
      </c>
      <c r="P198" s="444" t="str">
        <f t="shared" si="119"/>
        <v>-</v>
      </c>
      <c r="Q198" s="442"/>
      <c r="R198" s="444" t="str">
        <f t="shared" si="120"/>
        <v>-</v>
      </c>
      <c r="S198" s="452">
        <f t="shared" si="121"/>
        <v>0</v>
      </c>
      <c r="T198" s="445">
        <f t="shared" si="122"/>
        <v>0</v>
      </c>
      <c r="U198" s="444" t="str">
        <f t="shared" si="123"/>
        <v>-</v>
      </c>
      <c r="V198" s="459">
        <f t="shared" si="124"/>
        <v>0</v>
      </c>
      <c r="W198" s="460" t="str">
        <f t="shared" si="125"/>
        <v>-</v>
      </c>
      <c r="X198" s="461">
        <f t="shared" si="126"/>
        <v>0</v>
      </c>
      <c r="Y198" s="366"/>
      <c r="Z198" s="366"/>
      <c r="AA198" s="367"/>
      <c r="AB198" s="367"/>
      <c r="AC198" s="367">
        <v>1</v>
      </c>
      <c r="AD198" s="446"/>
    </row>
    <row r="199" spans="2:34" s="147" customFormat="1" ht="27" customHeight="1">
      <c r="B199" s="894"/>
      <c r="C199" s="895"/>
      <c r="D199" s="361">
        <v>17</v>
      </c>
      <c r="E199" s="440"/>
      <c r="F199" s="364">
        <f t="shared" si="114"/>
        <v>0</v>
      </c>
      <c r="G199" s="365"/>
      <c r="H199" s="442"/>
      <c r="I199" s="442"/>
      <c r="J199" s="444" t="str">
        <f t="shared" si="115"/>
        <v>-</v>
      </c>
      <c r="K199" s="443"/>
      <c r="L199" s="444" t="str">
        <f t="shared" si="116"/>
        <v>-</v>
      </c>
      <c r="M199" s="443"/>
      <c r="N199" s="444" t="str">
        <f t="shared" si="117"/>
        <v>-</v>
      </c>
      <c r="O199" s="445">
        <f t="shared" si="118"/>
        <v>0</v>
      </c>
      <c r="P199" s="444" t="str">
        <f t="shared" si="119"/>
        <v>-</v>
      </c>
      <c r="Q199" s="442"/>
      <c r="R199" s="444" t="str">
        <f t="shared" si="120"/>
        <v>-</v>
      </c>
      <c r="S199" s="452">
        <f t="shared" si="121"/>
        <v>0</v>
      </c>
      <c r="T199" s="445">
        <f t="shared" si="122"/>
        <v>0</v>
      </c>
      <c r="U199" s="444" t="str">
        <f t="shared" si="123"/>
        <v>-</v>
      </c>
      <c r="V199" s="459">
        <f t="shared" si="124"/>
        <v>0</v>
      </c>
      <c r="W199" s="460" t="str">
        <f t="shared" si="125"/>
        <v>-</v>
      </c>
      <c r="X199" s="461">
        <f t="shared" si="126"/>
        <v>0</v>
      </c>
      <c r="Y199" s="366"/>
      <c r="Z199" s="366"/>
      <c r="AA199" s="367"/>
      <c r="AB199" s="367"/>
      <c r="AC199" s="367">
        <v>1</v>
      </c>
      <c r="AD199" s="446"/>
    </row>
    <row r="200" spans="2:34" s="147" customFormat="1" ht="27" customHeight="1">
      <c r="B200" s="894"/>
      <c r="C200" s="895"/>
      <c r="D200" s="361">
        <v>18</v>
      </c>
      <c r="E200" s="440"/>
      <c r="F200" s="364">
        <f t="shared" si="114"/>
        <v>0</v>
      </c>
      <c r="G200" s="365"/>
      <c r="H200" s="442"/>
      <c r="I200" s="442"/>
      <c r="J200" s="444" t="str">
        <f t="shared" si="115"/>
        <v>-</v>
      </c>
      <c r="K200" s="443"/>
      <c r="L200" s="444" t="str">
        <f t="shared" si="116"/>
        <v>-</v>
      </c>
      <c r="M200" s="443"/>
      <c r="N200" s="444" t="str">
        <f t="shared" si="117"/>
        <v>-</v>
      </c>
      <c r="O200" s="445">
        <f t="shared" si="118"/>
        <v>0</v>
      </c>
      <c r="P200" s="444" t="str">
        <f t="shared" si="119"/>
        <v>-</v>
      </c>
      <c r="Q200" s="442"/>
      <c r="R200" s="444" t="str">
        <f t="shared" si="120"/>
        <v>-</v>
      </c>
      <c r="S200" s="452">
        <f t="shared" si="121"/>
        <v>0</v>
      </c>
      <c r="T200" s="445">
        <f t="shared" si="122"/>
        <v>0</v>
      </c>
      <c r="U200" s="444" t="str">
        <f t="shared" si="123"/>
        <v>-</v>
      </c>
      <c r="V200" s="459">
        <f t="shared" si="124"/>
        <v>0</v>
      </c>
      <c r="W200" s="460" t="str">
        <f t="shared" si="125"/>
        <v>-</v>
      </c>
      <c r="X200" s="461">
        <f t="shared" si="126"/>
        <v>0</v>
      </c>
      <c r="Y200" s="366"/>
      <c r="Z200" s="366"/>
      <c r="AA200" s="367"/>
      <c r="AB200" s="367"/>
      <c r="AC200" s="367">
        <v>1</v>
      </c>
      <c r="AD200" s="446"/>
    </row>
    <row r="201" spans="2:34" s="147" customFormat="1" ht="27" customHeight="1">
      <c r="B201" s="894"/>
      <c r="C201" s="895"/>
      <c r="D201" s="361">
        <v>19</v>
      </c>
      <c r="E201" s="440"/>
      <c r="F201" s="364">
        <f t="shared" si="114"/>
        <v>0</v>
      </c>
      <c r="G201" s="365"/>
      <c r="H201" s="442"/>
      <c r="I201" s="442"/>
      <c r="J201" s="444" t="str">
        <f t="shared" si="115"/>
        <v>-</v>
      </c>
      <c r="K201" s="443"/>
      <c r="L201" s="444" t="str">
        <f t="shared" si="116"/>
        <v>-</v>
      </c>
      <c r="M201" s="443"/>
      <c r="N201" s="444" t="str">
        <f t="shared" si="117"/>
        <v>-</v>
      </c>
      <c r="O201" s="445">
        <f t="shared" si="118"/>
        <v>0</v>
      </c>
      <c r="P201" s="444" t="str">
        <f t="shared" si="119"/>
        <v>-</v>
      </c>
      <c r="Q201" s="442"/>
      <c r="R201" s="444" t="str">
        <f t="shared" si="120"/>
        <v>-</v>
      </c>
      <c r="S201" s="452">
        <f t="shared" si="121"/>
        <v>0</v>
      </c>
      <c r="T201" s="445">
        <f t="shared" si="122"/>
        <v>0</v>
      </c>
      <c r="U201" s="444" t="str">
        <f t="shared" si="123"/>
        <v>-</v>
      </c>
      <c r="V201" s="459">
        <f t="shared" si="124"/>
        <v>0</v>
      </c>
      <c r="W201" s="460" t="str">
        <f t="shared" si="125"/>
        <v>-</v>
      </c>
      <c r="X201" s="461">
        <f t="shared" si="126"/>
        <v>0</v>
      </c>
      <c r="Y201" s="366"/>
      <c r="Z201" s="366"/>
      <c r="AA201" s="367"/>
      <c r="AB201" s="367"/>
      <c r="AC201" s="367">
        <v>1</v>
      </c>
      <c r="AD201" s="446"/>
    </row>
    <row r="202" spans="2:34" s="147" customFormat="1" ht="27" customHeight="1">
      <c r="B202" s="896"/>
      <c r="C202" s="897"/>
      <c r="D202" s="361">
        <v>20</v>
      </c>
      <c r="E202" s="440"/>
      <c r="F202" s="364">
        <f t="shared" si="114"/>
        <v>0</v>
      </c>
      <c r="G202" s="365"/>
      <c r="H202" s="442"/>
      <c r="I202" s="442"/>
      <c r="J202" s="444" t="str">
        <f t="shared" si="115"/>
        <v>-</v>
      </c>
      <c r="K202" s="443"/>
      <c r="L202" s="444" t="str">
        <f t="shared" si="116"/>
        <v>-</v>
      </c>
      <c r="M202" s="443"/>
      <c r="N202" s="444" t="str">
        <f t="shared" si="117"/>
        <v>-</v>
      </c>
      <c r="O202" s="445">
        <f t="shared" si="118"/>
        <v>0</v>
      </c>
      <c r="P202" s="444" t="str">
        <f t="shared" si="119"/>
        <v>-</v>
      </c>
      <c r="Q202" s="442"/>
      <c r="R202" s="444" t="str">
        <f t="shared" si="120"/>
        <v>-</v>
      </c>
      <c r="S202" s="452">
        <f t="shared" si="121"/>
        <v>0</v>
      </c>
      <c r="T202" s="445">
        <f t="shared" si="122"/>
        <v>0</v>
      </c>
      <c r="U202" s="444" t="str">
        <f t="shared" si="123"/>
        <v>-</v>
      </c>
      <c r="V202" s="459">
        <f t="shared" si="124"/>
        <v>0</v>
      </c>
      <c r="W202" s="460" t="str">
        <f t="shared" si="125"/>
        <v>-</v>
      </c>
      <c r="X202" s="461">
        <f t="shared" si="126"/>
        <v>0</v>
      </c>
      <c r="Y202" s="366"/>
      <c r="Z202" s="366"/>
      <c r="AA202" s="367"/>
      <c r="AB202" s="367"/>
      <c r="AC202" s="367">
        <v>1</v>
      </c>
      <c r="AD202" s="446"/>
    </row>
  </sheetData>
  <mergeCells count="186">
    <mergeCell ref="AF115:AM117"/>
    <mergeCell ref="B117:C136"/>
    <mergeCell ref="O115:P115"/>
    <mergeCell ref="Q115:S115"/>
    <mergeCell ref="T115:U115"/>
    <mergeCell ref="Y115:Y116"/>
    <mergeCell ref="Z115:Z116"/>
    <mergeCell ref="AA115:AA116"/>
    <mergeCell ref="AB115:AB116"/>
    <mergeCell ref="AC115:AC116"/>
    <mergeCell ref="AD115:AD116"/>
    <mergeCell ref="B115:C116"/>
    <mergeCell ref="D115:D116"/>
    <mergeCell ref="E115:E116"/>
    <mergeCell ref="F115:F116"/>
    <mergeCell ref="G115:G116"/>
    <mergeCell ref="H115:H116"/>
    <mergeCell ref="I115:J115"/>
    <mergeCell ref="K115:L115"/>
    <mergeCell ref="M115:N115"/>
    <mergeCell ref="V115:X115"/>
    <mergeCell ref="B95:C114"/>
    <mergeCell ref="AF108:AM110"/>
    <mergeCell ref="B2:AB2"/>
    <mergeCell ref="Q27:S27"/>
    <mergeCell ref="T27:U27"/>
    <mergeCell ref="Q49:S49"/>
    <mergeCell ref="T49:U49"/>
    <mergeCell ref="Q71:S71"/>
    <mergeCell ref="T71:U71"/>
    <mergeCell ref="Q93:S93"/>
    <mergeCell ref="Z93:Z94"/>
    <mergeCell ref="AA93:AA94"/>
    <mergeCell ref="AB93:AB94"/>
    <mergeCell ref="AC93:AC94"/>
    <mergeCell ref="AD93:AD94"/>
    <mergeCell ref="AF93:AM95"/>
    <mergeCell ref="K93:L93"/>
    <mergeCell ref="M93:N93"/>
    <mergeCell ref="O93:P93"/>
    <mergeCell ref="Y93:Y94"/>
    <mergeCell ref="T93:U93"/>
    <mergeCell ref="AD71:AD72"/>
    <mergeCell ref="AF71:AM73"/>
    <mergeCell ref="B73:C92"/>
    <mergeCell ref="AF49:AM51"/>
    <mergeCell ref="K49:L49"/>
    <mergeCell ref="M49:N49"/>
    <mergeCell ref="O49:P49"/>
    <mergeCell ref="Y49:Y50"/>
    <mergeCell ref="AA71:AA72"/>
    <mergeCell ref="AB71:AB72"/>
    <mergeCell ref="AC71:AC72"/>
    <mergeCell ref="B93:C94"/>
    <mergeCell ref="D93:D94"/>
    <mergeCell ref="E93:E94"/>
    <mergeCell ref="F93:F94"/>
    <mergeCell ref="G93:G94"/>
    <mergeCell ref="H93:H94"/>
    <mergeCell ref="I93:J93"/>
    <mergeCell ref="Y71:Y72"/>
    <mergeCell ref="Z71:Z72"/>
    <mergeCell ref="H71:H72"/>
    <mergeCell ref="I71:J71"/>
    <mergeCell ref="K71:L71"/>
    <mergeCell ref="M71:N71"/>
    <mergeCell ref="O71:P71"/>
    <mergeCell ref="AB49:AB50"/>
    <mergeCell ref="B51:C70"/>
    <mergeCell ref="B71:C72"/>
    <mergeCell ref="D71:D72"/>
    <mergeCell ref="E71:E72"/>
    <mergeCell ref="F71:F72"/>
    <mergeCell ref="G71:G72"/>
    <mergeCell ref="AC49:AC50"/>
    <mergeCell ref="AD49:AD50"/>
    <mergeCell ref="AB3:AB6"/>
    <mergeCell ref="AC3:AC6"/>
    <mergeCell ref="AD27:AD28"/>
    <mergeCell ref="AD3:AD6"/>
    <mergeCell ref="B7:C26"/>
    <mergeCell ref="F27:F28"/>
    <mergeCell ref="G27:G28"/>
    <mergeCell ref="B3:C6"/>
    <mergeCell ref="AF27:AM29"/>
    <mergeCell ref="B29:C48"/>
    <mergeCell ref="B49:C50"/>
    <mergeCell ref="D49:D50"/>
    <mergeCell ref="E49:E50"/>
    <mergeCell ref="F49:F50"/>
    <mergeCell ref="G49:G50"/>
    <mergeCell ref="H49:H50"/>
    <mergeCell ref="I49:J49"/>
    <mergeCell ref="Y27:Y28"/>
    <mergeCell ref="Z27:Z28"/>
    <mergeCell ref="AA27:AA28"/>
    <mergeCell ref="AB27:AB28"/>
    <mergeCell ref="AC27:AC28"/>
    <mergeCell ref="H27:H28"/>
    <mergeCell ref="I27:J27"/>
    <mergeCell ref="K27:L27"/>
    <mergeCell ref="M27:N27"/>
    <mergeCell ref="O27:P27"/>
    <mergeCell ref="Z49:Z50"/>
    <mergeCell ref="AA49:AA50"/>
    <mergeCell ref="B27:C28"/>
    <mergeCell ref="D27:D28"/>
    <mergeCell ref="E27:E28"/>
    <mergeCell ref="AF3:AM5"/>
    <mergeCell ref="D4:D6"/>
    <mergeCell ref="E4:F4"/>
    <mergeCell ref="G4:P4"/>
    <mergeCell ref="Q4:U4"/>
    <mergeCell ref="E5:E6"/>
    <mergeCell ref="F5:F6"/>
    <mergeCell ref="G5:P5"/>
    <mergeCell ref="Q5:R5"/>
    <mergeCell ref="S5:U5"/>
    <mergeCell ref="D3:F3"/>
    <mergeCell ref="G3:U3"/>
    <mergeCell ref="Y3:Y6"/>
    <mergeCell ref="Z3:Z6"/>
    <mergeCell ref="AA3:AA6"/>
    <mergeCell ref="AD137:AD138"/>
    <mergeCell ref="AF137:AM139"/>
    <mergeCell ref="B139:C158"/>
    <mergeCell ref="O137:P137"/>
    <mergeCell ref="Q137:S137"/>
    <mergeCell ref="T137:U137"/>
    <mergeCell ref="V137:X137"/>
    <mergeCell ref="Y137:Y138"/>
    <mergeCell ref="Z137:Z138"/>
    <mergeCell ref="AA137:AA138"/>
    <mergeCell ref="AB137:AB138"/>
    <mergeCell ref="AC137:AC138"/>
    <mergeCell ref="B137:C138"/>
    <mergeCell ref="D137:D138"/>
    <mergeCell ref="E137:E138"/>
    <mergeCell ref="F137:F138"/>
    <mergeCell ref="G137:G138"/>
    <mergeCell ref="H137:H138"/>
    <mergeCell ref="I137:J137"/>
    <mergeCell ref="K137:L137"/>
    <mergeCell ref="M137:N137"/>
    <mergeCell ref="B159:C160"/>
    <mergeCell ref="D159:D160"/>
    <mergeCell ref="E159:E160"/>
    <mergeCell ref="F159:F160"/>
    <mergeCell ref="G159:G160"/>
    <mergeCell ref="H159:H160"/>
    <mergeCell ref="I159:J159"/>
    <mergeCell ref="K159:L159"/>
    <mergeCell ref="M159:N159"/>
    <mergeCell ref="O159:P159"/>
    <mergeCell ref="Q159:S159"/>
    <mergeCell ref="T159:U159"/>
    <mergeCell ref="V159:X159"/>
    <mergeCell ref="Y159:Y160"/>
    <mergeCell ref="Z159:Z160"/>
    <mergeCell ref="AA159:AA160"/>
    <mergeCell ref="AB159:AB160"/>
    <mergeCell ref="AC159:AC160"/>
    <mergeCell ref="AD159:AD160"/>
    <mergeCell ref="AF159:AM161"/>
    <mergeCell ref="B161:C180"/>
    <mergeCell ref="B181:C182"/>
    <mergeCell ref="D181:D182"/>
    <mergeCell ref="E181:E182"/>
    <mergeCell ref="F181:F182"/>
    <mergeCell ref="G181:G182"/>
    <mergeCell ref="H181:H182"/>
    <mergeCell ref="I181:J181"/>
    <mergeCell ref="K181:L181"/>
    <mergeCell ref="M181:N181"/>
    <mergeCell ref="O181:P181"/>
    <mergeCell ref="Q181:S181"/>
    <mergeCell ref="T181:U181"/>
    <mergeCell ref="V181:X181"/>
    <mergeCell ref="Y181:Y182"/>
    <mergeCell ref="Z181:Z182"/>
    <mergeCell ref="AA181:AA182"/>
    <mergeCell ref="AB181:AB182"/>
    <mergeCell ref="AC181:AC182"/>
    <mergeCell ref="AD181:AD182"/>
    <mergeCell ref="AF181:AM183"/>
    <mergeCell ref="B183:C202"/>
  </mergeCells>
  <phoneticPr fontId="13" type="noConversion"/>
  <dataValidations count="1">
    <dataValidation type="list" allowBlank="1" showInputMessage="1" showErrorMessage="1" sqref="T1:X2 Y29:Y48 Y3:Z6 Y49:Z49 Y73:Z93 Z7 Y27:Z27 Y51:Y71 Y95:Z115 Z21:Z26 Y7:Y26 Z69:Z71 Z9 Z17:Z19 Z13:Z14 Z29:Z43 Z51:Z59 Z46:Z48 Z61:Z66 Y117:Z137 V25:X116 Y139:Z159 V137:X138 V159:X160 Y183:Z202 T203:X1048576 V181:X182 Y161:Z181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59" t="s">
        <v>12</v>
      </c>
      <c r="D21" s="957"/>
      <c r="E21" s="958"/>
      <c r="F21" s="49" t="s">
        <v>46</v>
      </c>
      <c r="G21" s="49" t="s">
        <v>48</v>
      </c>
      <c r="H21" s="49" t="s">
        <v>49</v>
      </c>
      <c r="I21" s="8" t="s">
        <v>13</v>
      </c>
      <c r="J21" s="972" t="s">
        <v>51</v>
      </c>
      <c r="K21" s="958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61" t="s">
        <v>14</v>
      </c>
      <c r="D22" s="957"/>
      <c r="E22" s="958"/>
      <c r="F22" s="4">
        <v>3</v>
      </c>
      <c r="G22" s="4">
        <v>3000</v>
      </c>
      <c r="H22" s="4">
        <v>1000</v>
      </c>
      <c r="I22" s="4">
        <v>10</v>
      </c>
      <c r="J22" s="960" t="s">
        <v>76</v>
      </c>
      <c r="K22" s="958"/>
      <c r="M22" s="52" t="s">
        <v>26</v>
      </c>
      <c r="N22" s="57" t="s">
        <v>47</v>
      </c>
      <c r="O22" s="967" t="s">
        <v>12</v>
      </c>
      <c r="P22" s="957"/>
      <c r="Q22" s="958"/>
      <c r="R22" s="973" t="s">
        <v>53</v>
      </c>
      <c r="S22" s="957"/>
      <c r="T22" s="958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72" t="s">
        <v>51</v>
      </c>
      <c r="AA22" s="958"/>
    </row>
    <row r="23" spans="1:27" ht="15.75" customHeight="1">
      <c r="A23" s="23"/>
      <c r="B23" s="6">
        <v>2</v>
      </c>
      <c r="C23" s="956"/>
      <c r="D23" s="957"/>
      <c r="E23" s="958"/>
      <c r="F23" s="4"/>
      <c r="G23" s="4"/>
      <c r="H23" s="4"/>
      <c r="I23" s="4"/>
      <c r="J23" s="956"/>
      <c r="K23" s="958"/>
      <c r="M23" s="56" t="s">
        <v>42</v>
      </c>
      <c r="N23" s="24">
        <v>1</v>
      </c>
      <c r="O23" s="960" t="s">
        <v>82</v>
      </c>
      <c r="P23" s="957"/>
      <c r="Q23" s="958"/>
      <c r="R23" s="960" t="s">
        <v>85</v>
      </c>
      <c r="S23" s="957"/>
      <c r="T23" s="958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60" t="s">
        <v>86</v>
      </c>
      <c r="AA23" s="958"/>
    </row>
    <row r="24" spans="1:27" ht="15.75" customHeight="1">
      <c r="A24" s="23"/>
      <c r="B24" s="6">
        <v>3</v>
      </c>
      <c r="C24" s="956"/>
      <c r="D24" s="957"/>
      <c r="E24" s="958"/>
      <c r="F24" s="4"/>
      <c r="G24" s="4"/>
      <c r="H24" s="4"/>
      <c r="I24" s="4"/>
      <c r="J24" s="956"/>
      <c r="K24" s="958"/>
      <c r="M24" s="25"/>
      <c r="N24" s="24">
        <v>2</v>
      </c>
      <c r="O24" s="961"/>
      <c r="P24" s="957"/>
      <c r="Q24" s="958"/>
      <c r="R24" s="961"/>
      <c r="S24" s="957"/>
      <c r="T24" s="958"/>
      <c r="U24" s="4"/>
      <c r="V24" s="14"/>
      <c r="W24" s="4"/>
      <c r="X24" s="16">
        <f t="shared" si="16"/>
        <v>0</v>
      </c>
      <c r="Y24" s="4"/>
      <c r="Z24" s="961"/>
      <c r="AA24" s="958"/>
    </row>
    <row r="25" spans="1:27" ht="15.75" customHeight="1">
      <c r="A25" s="23"/>
      <c r="B25" s="6">
        <v>4</v>
      </c>
      <c r="C25" s="956"/>
      <c r="D25" s="957"/>
      <c r="E25" s="958"/>
      <c r="F25" s="4"/>
      <c r="G25" s="4"/>
      <c r="H25" s="4"/>
      <c r="I25" s="4"/>
      <c r="J25" s="956"/>
      <c r="K25" s="958"/>
      <c r="M25" s="25"/>
      <c r="N25" s="24">
        <v>3</v>
      </c>
      <c r="O25" s="961"/>
      <c r="P25" s="957"/>
      <c r="Q25" s="958"/>
      <c r="R25" s="961"/>
      <c r="S25" s="957"/>
      <c r="T25" s="958"/>
      <c r="U25" s="4"/>
      <c r="V25" s="14"/>
      <c r="W25" s="4"/>
      <c r="X25" s="16">
        <f t="shared" si="16"/>
        <v>0</v>
      </c>
      <c r="Y25" s="4"/>
      <c r="Z25" s="961"/>
      <c r="AA25" s="958"/>
    </row>
    <row r="26" spans="1:27" ht="15.75" customHeight="1">
      <c r="A26" s="23"/>
      <c r="B26" s="26">
        <v>5</v>
      </c>
      <c r="C26" s="970"/>
      <c r="D26" s="966"/>
      <c r="E26" s="963"/>
      <c r="F26" s="27"/>
      <c r="G26" s="27"/>
      <c r="H26" s="27"/>
      <c r="I26" s="27"/>
      <c r="J26" s="970"/>
      <c r="K26" s="963"/>
      <c r="M26" s="25"/>
      <c r="N26" s="24">
        <v>4</v>
      </c>
      <c r="O26" s="961"/>
      <c r="P26" s="957"/>
      <c r="Q26" s="958"/>
      <c r="R26" s="961"/>
      <c r="S26" s="957"/>
      <c r="T26" s="958"/>
      <c r="U26" s="4"/>
      <c r="V26" s="14"/>
      <c r="W26" s="4"/>
      <c r="X26" s="16">
        <f t="shared" si="16"/>
        <v>0</v>
      </c>
      <c r="Y26" s="4"/>
      <c r="Z26" s="961"/>
      <c r="AA26" s="958"/>
    </row>
    <row r="27" spans="1:27" ht="15.75" customHeight="1">
      <c r="A27" s="23"/>
      <c r="B27" s="69" t="s">
        <v>101</v>
      </c>
      <c r="C27" s="964" t="s">
        <v>75</v>
      </c>
      <c r="D27" s="971"/>
      <c r="E27" s="965"/>
      <c r="F27" s="28">
        <v>4</v>
      </c>
      <c r="G27" s="28">
        <v>2800</v>
      </c>
      <c r="H27" s="28">
        <v>700</v>
      </c>
      <c r="I27" s="28" t="s">
        <v>15</v>
      </c>
      <c r="J27" s="964" t="s">
        <v>77</v>
      </c>
      <c r="K27" s="965"/>
      <c r="M27" s="25"/>
      <c r="N27" s="29">
        <v>5</v>
      </c>
      <c r="O27" s="962"/>
      <c r="P27" s="966"/>
      <c r="Q27" s="963"/>
      <c r="R27" s="962"/>
      <c r="S27" s="966"/>
      <c r="T27" s="963"/>
      <c r="U27" s="27"/>
      <c r="V27" s="30"/>
      <c r="W27" s="27"/>
      <c r="X27" s="31">
        <f t="shared" si="16"/>
        <v>0</v>
      </c>
      <c r="Y27" s="4"/>
      <c r="Z27" s="962"/>
      <c r="AA27" s="963"/>
    </row>
    <row r="28" spans="1:27" ht="15.75" customHeight="1">
      <c r="A28" s="23"/>
      <c r="B28" s="70" t="s">
        <v>102</v>
      </c>
      <c r="C28" s="956"/>
      <c r="D28" s="957"/>
      <c r="E28" s="958"/>
      <c r="F28" s="4"/>
      <c r="G28" s="4"/>
      <c r="H28" s="4"/>
      <c r="I28" s="4"/>
      <c r="J28" s="956"/>
      <c r="K28" s="958"/>
      <c r="M28" s="32"/>
      <c r="N28" s="55"/>
      <c r="O28" s="968"/>
      <c r="P28" s="957"/>
      <c r="Q28" s="957"/>
      <c r="R28" s="968"/>
      <c r="S28" s="957"/>
      <c r="T28" s="957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68"/>
      <c r="AA28" s="958"/>
    </row>
    <row r="29" spans="1:27" ht="15.75" customHeight="1">
      <c r="A29" s="23"/>
      <c r="B29" s="70" t="s">
        <v>100</v>
      </c>
      <c r="C29" s="956"/>
      <c r="D29" s="957"/>
      <c r="E29" s="958"/>
      <c r="F29" s="4"/>
      <c r="G29" s="4"/>
      <c r="H29" s="4"/>
      <c r="I29" s="4"/>
      <c r="J29" s="956"/>
      <c r="K29" s="958"/>
      <c r="M29" s="56" t="s">
        <v>43</v>
      </c>
      <c r="N29" s="24">
        <v>1</v>
      </c>
      <c r="O29" s="981" t="s">
        <v>16</v>
      </c>
      <c r="P29" s="977"/>
      <c r="Q29" s="978"/>
      <c r="R29" s="976" t="s">
        <v>87</v>
      </c>
      <c r="S29" s="977"/>
      <c r="T29" s="978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76" t="s">
        <v>88</v>
      </c>
      <c r="AA29" s="978"/>
    </row>
    <row r="30" spans="1:27" ht="15.75" customHeight="1">
      <c r="A30" s="23"/>
      <c r="B30" s="70" t="s">
        <v>99</v>
      </c>
      <c r="C30" s="956"/>
      <c r="D30" s="957"/>
      <c r="E30" s="958"/>
      <c r="F30" s="4"/>
      <c r="G30" s="4"/>
      <c r="H30" s="4"/>
      <c r="I30" s="4"/>
      <c r="J30" s="956"/>
      <c r="K30" s="958"/>
      <c r="M30" s="25"/>
      <c r="N30" s="24">
        <v>2</v>
      </c>
      <c r="O30" s="961"/>
      <c r="P30" s="957"/>
      <c r="Q30" s="958"/>
      <c r="R30" s="961"/>
      <c r="S30" s="957"/>
      <c r="T30" s="958"/>
      <c r="U30" s="4"/>
      <c r="V30" s="14"/>
      <c r="W30" s="4"/>
      <c r="X30" s="16">
        <f t="shared" si="17"/>
        <v>0</v>
      </c>
      <c r="Y30" s="4"/>
      <c r="Z30" s="961"/>
      <c r="AA30" s="958"/>
    </row>
    <row r="31" spans="1:27" ht="15.75" customHeight="1">
      <c r="A31" s="20"/>
      <c r="B31" s="70" t="s">
        <v>103</v>
      </c>
      <c r="C31" s="956"/>
      <c r="D31" s="957"/>
      <c r="E31" s="958"/>
      <c r="F31" s="4"/>
      <c r="G31" s="4"/>
      <c r="H31" s="4"/>
      <c r="I31" s="4"/>
      <c r="J31" s="956"/>
      <c r="K31" s="958"/>
      <c r="M31" s="25"/>
      <c r="N31" s="24">
        <v>3</v>
      </c>
      <c r="O31" s="961"/>
      <c r="P31" s="957"/>
      <c r="Q31" s="958"/>
      <c r="R31" s="961"/>
      <c r="S31" s="957"/>
      <c r="T31" s="958"/>
      <c r="U31" s="4"/>
      <c r="V31" s="14"/>
      <c r="W31" s="4"/>
      <c r="X31" s="16">
        <f t="shared" si="17"/>
        <v>0</v>
      </c>
      <c r="Y31" s="4"/>
      <c r="Z31" s="961"/>
      <c r="AA31" s="958"/>
    </row>
    <row r="32" spans="1:27" ht="15.75" customHeight="1">
      <c r="A32" s="67"/>
      <c r="M32" s="25"/>
      <c r="N32" s="24">
        <v>4</v>
      </c>
      <c r="O32" s="961"/>
      <c r="P32" s="957"/>
      <c r="Q32" s="958"/>
      <c r="R32" s="961"/>
      <c r="S32" s="957"/>
      <c r="T32" s="958"/>
      <c r="U32" s="4"/>
      <c r="V32" s="14"/>
      <c r="W32" s="4"/>
      <c r="X32" s="16">
        <f t="shared" si="17"/>
        <v>0</v>
      </c>
      <c r="Y32" s="4"/>
      <c r="Z32" s="961"/>
      <c r="AA32" s="958"/>
    </row>
    <row r="33" spans="1:27" ht="15.75" customHeight="1">
      <c r="A33" s="18"/>
      <c r="B33" s="49" t="s">
        <v>47</v>
      </c>
      <c r="C33" s="959" t="s">
        <v>12</v>
      </c>
      <c r="D33" s="957"/>
      <c r="E33" s="958"/>
      <c r="F33" s="49" t="s">
        <v>46</v>
      </c>
      <c r="G33" s="49" t="s">
        <v>48</v>
      </c>
      <c r="H33" s="49" t="s">
        <v>49</v>
      </c>
      <c r="I33" s="8" t="s">
        <v>13</v>
      </c>
      <c r="J33" s="972" t="s">
        <v>51</v>
      </c>
      <c r="K33" s="958"/>
      <c r="M33" s="25"/>
      <c r="N33" s="29">
        <v>5</v>
      </c>
      <c r="O33" s="961"/>
      <c r="P33" s="957"/>
      <c r="Q33" s="958"/>
      <c r="R33" s="961"/>
      <c r="S33" s="957"/>
      <c r="T33" s="958"/>
      <c r="U33" s="27"/>
      <c r="V33" s="30"/>
      <c r="W33" s="27"/>
      <c r="X33" s="31">
        <f t="shared" si="17"/>
        <v>0</v>
      </c>
      <c r="Y33" s="4"/>
      <c r="Z33" s="961"/>
      <c r="AA33" s="958"/>
    </row>
    <row r="34" spans="1:27" ht="15.75" customHeight="1">
      <c r="A34" s="52" t="s">
        <v>35</v>
      </c>
      <c r="B34" s="6">
        <v>1</v>
      </c>
      <c r="C34" s="960" t="s">
        <v>79</v>
      </c>
      <c r="D34" s="957"/>
      <c r="E34" s="958"/>
      <c r="F34" s="4">
        <v>3</v>
      </c>
      <c r="G34" s="4">
        <v>2500</v>
      </c>
      <c r="H34" s="4">
        <v>833.33</v>
      </c>
      <c r="I34" s="4">
        <v>20</v>
      </c>
      <c r="J34" s="960" t="s">
        <v>78</v>
      </c>
      <c r="K34" s="958"/>
      <c r="M34" s="68"/>
      <c r="N34" s="45"/>
      <c r="O34" s="968"/>
      <c r="P34" s="957"/>
      <c r="Q34" s="957"/>
      <c r="R34" s="968"/>
      <c r="S34" s="957"/>
      <c r="T34" s="957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68"/>
      <c r="AA34" s="958"/>
    </row>
    <row r="35" spans="1:27" ht="15.75" customHeight="1">
      <c r="A35" s="23"/>
      <c r="B35" s="6">
        <v>2</v>
      </c>
      <c r="C35" s="961"/>
      <c r="D35" s="957"/>
      <c r="E35" s="958"/>
      <c r="F35" s="4"/>
      <c r="G35" s="4"/>
      <c r="H35" s="4"/>
      <c r="I35" s="4"/>
      <c r="J35" s="961"/>
      <c r="K35" s="958"/>
      <c r="M35" s="1"/>
      <c r="N35" s="1"/>
      <c r="O35" s="979"/>
      <c r="P35" s="980"/>
      <c r="Q35" s="980"/>
      <c r="R35" s="979"/>
      <c r="S35" s="980"/>
      <c r="T35" s="980"/>
      <c r="U35" s="1"/>
      <c r="V35" s="38"/>
      <c r="W35" s="1"/>
      <c r="X35" s="1"/>
      <c r="Y35" s="979"/>
      <c r="Z35" s="980"/>
      <c r="AA35" s="980"/>
    </row>
    <row r="36" spans="1:27" ht="15.75" customHeight="1">
      <c r="A36" s="23"/>
      <c r="B36" s="6">
        <v>3</v>
      </c>
      <c r="C36" s="961"/>
      <c r="D36" s="957"/>
      <c r="E36" s="958"/>
      <c r="F36" s="4"/>
      <c r="G36" s="4"/>
      <c r="H36" s="4"/>
      <c r="I36" s="4"/>
      <c r="J36" s="961"/>
      <c r="K36" s="958"/>
      <c r="M36" s="52" t="s">
        <v>27</v>
      </c>
      <c r="N36" s="57" t="s">
        <v>47</v>
      </c>
      <c r="O36" s="967" t="s">
        <v>12</v>
      </c>
      <c r="P36" s="968"/>
      <c r="Q36" s="969"/>
      <c r="R36" s="973" t="s">
        <v>53</v>
      </c>
      <c r="S36" s="974"/>
      <c r="T36" s="975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72" t="s">
        <v>51</v>
      </c>
      <c r="AA36" s="982"/>
    </row>
    <row r="37" spans="1:27" ht="15.75" customHeight="1">
      <c r="A37" s="23"/>
      <c r="B37" s="6">
        <v>4</v>
      </c>
      <c r="C37" s="961"/>
      <c r="D37" s="957"/>
      <c r="E37" s="958"/>
      <c r="F37" s="4"/>
      <c r="G37" s="4"/>
      <c r="H37" s="4"/>
      <c r="I37" s="4"/>
      <c r="J37" s="961"/>
      <c r="K37" s="958"/>
      <c r="M37" s="56" t="s">
        <v>42</v>
      </c>
      <c r="N37" s="24">
        <v>1</v>
      </c>
      <c r="O37" s="960" t="s">
        <v>89</v>
      </c>
      <c r="P37" s="957"/>
      <c r="Q37" s="958"/>
      <c r="R37" s="960" t="s">
        <v>90</v>
      </c>
      <c r="S37" s="957"/>
      <c r="T37" s="958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60" t="s">
        <v>91</v>
      </c>
      <c r="AA37" s="958"/>
    </row>
    <row r="38" spans="1:27" ht="15.75" customHeight="1">
      <c r="A38" s="23"/>
      <c r="B38" s="26">
        <v>5</v>
      </c>
      <c r="C38" s="962"/>
      <c r="D38" s="966"/>
      <c r="E38" s="963"/>
      <c r="F38" s="27"/>
      <c r="G38" s="27"/>
      <c r="H38" s="27"/>
      <c r="I38" s="27"/>
      <c r="J38" s="962"/>
      <c r="K38" s="963"/>
      <c r="M38" s="25"/>
      <c r="N38" s="24">
        <v>2</v>
      </c>
      <c r="O38" s="961"/>
      <c r="P38" s="957"/>
      <c r="Q38" s="958"/>
      <c r="R38" s="961"/>
      <c r="S38" s="957"/>
      <c r="T38" s="958"/>
      <c r="U38" s="4"/>
      <c r="V38" s="14"/>
      <c r="W38" s="4"/>
      <c r="X38" s="16">
        <f t="shared" si="18"/>
        <v>0</v>
      </c>
      <c r="Y38" s="4"/>
      <c r="Z38" s="961"/>
      <c r="AA38" s="958"/>
    </row>
    <row r="39" spans="1:27" ht="14.25">
      <c r="A39" s="23"/>
      <c r="B39" s="69" t="s">
        <v>101</v>
      </c>
      <c r="C39" s="964" t="s">
        <v>80</v>
      </c>
      <c r="D39" s="971"/>
      <c r="E39" s="965"/>
      <c r="F39" s="28">
        <v>7</v>
      </c>
      <c r="G39" s="28">
        <v>2200</v>
      </c>
      <c r="H39" s="28">
        <v>314.29000000000002</v>
      </c>
      <c r="I39" s="28">
        <v>-15</v>
      </c>
      <c r="J39" s="964" t="s">
        <v>81</v>
      </c>
      <c r="K39" s="965"/>
      <c r="M39" s="25"/>
      <c r="N39" s="24">
        <v>3</v>
      </c>
      <c r="O39" s="961"/>
      <c r="P39" s="957"/>
      <c r="Q39" s="958"/>
      <c r="R39" s="961"/>
      <c r="S39" s="957"/>
      <c r="T39" s="958"/>
      <c r="U39" s="4"/>
      <c r="V39" s="14"/>
      <c r="W39" s="4"/>
      <c r="X39" s="16">
        <f t="shared" si="18"/>
        <v>0</v>
      </c>
      <c r="Y39" s="4"/>
      <c r="Z39" s="961"/>
      <c r="AA39" s="958"/>
    </row>
    <row r="40" spans="1:27" ht="14.25">
      <c r="A40" s="23"/>
      <c r="B40" s="70" t="s">
        <v>102</v>
      </c>
      <c r="C40" s="961"/>
      <c r="D40" s="957"/>
      <c r="E40" s="958"/>
      <c r="F40" s="4"/>
      <c r="G40" s="4"/>
      <c r="H40" s="4"/>
      <c r="I40" s="4"/>
      <c r="J40" s="961"/>
      <c r="K40" s="958"/>
      <c r="M40" s="25"/>
      <c r="N40" s="24">
        <v>4</v>
      </c>
      <c r="O40" s="961"/>
      <c r="P40" s="957"/>
      <c r="Q40" s="958"/>
      <c r="R40" s="961"/>
      <c r="S40" s="957"/>
      <c r="T40" s="958"/>
      <c r="U40" s="4"/>
      <c r="V40" s="14"/>
      <c r="W40" s="4"/>
      <c r="X40" s="16">
        <f t="shared" si="18"/>
        <v>0</v>
      </c>
      <c r="Y40" s="4"/>
      <c r="Z40" s="961"/>
      <c r="AA40" s="958"/>
    </row>
    <row r="41" spans="1:27" ht="14.25">
      <c r="A41" s="23"/>
      <c r="B41" s="70" t="s">
        <v>100</v>
      </c>
      <c r="C41" s="961"/>
      <c r="D41" s="957"/>
      <c r="E41" s="958"/>
      <c r="F41" s="4"/>
      <c r="G41" s="4"/>
      <c r="H41" s="4"/>
      <c r="I41" s="4"/>
      <c r="J41" s="961"/>
      <c r="K41" s="958"/>
      <c r="M41" s="25"/>
      <c r="N41" s="29">
        <v>5</v>
      </c>
      <c r="O41" s="962"/>
      <c r="P41" s="966"/>
      <c r="Q41" s="963"/>
      <c r="R41" s="962"/>
      <c r="S41" s="966"/>
      <c r="T41" s="963"/>
      <c r="U41" s="27"/>
      <c r="V41" s="30"/>
      <c r="W41" s="27"/>
      <c r="X41" s="31">
        <f t="shared" si="18"/>
        <v>0</v>
      </c>
      <c r="Y41" s="4"/>
      <c r="Z41" s="961"/>
      <c r="AA41" s="958"/>
    </row>
    <row r="42" spans="1:27" ht="14.25">
      <c r="A42" s="23"/>
      <c r="B42" s="70" t="s">
        <v>99</v>
      </c>
      <c r="C42" s="961"/>
      <c r="D42" s="957"/>
      <c r="E42" s="958"/>
      <c r="F42" s="4"/>
      <c r="G42" s="4"/>
      <c r="H42" s="4"/>
      <c r="I42" s="4"/>
      <c r="J42" s="961"/>
      <c r="K42" s="958"/>
      <c r="M42" s="32"/>
      <c r="N42" s="54"/>
      <c r="O42" s="968"/>
      <c r="P42" s="957"/>
      <c r="Q42" s="957"/>
      <c r="R42" s="968"/>
      <c r="S42" s="957"/>
      <c r="T42" s="957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68"/>
      <c r="AA42" s="958"/>
    </row>
    <row r="43" spans="1:27" ht="14.25">
      <c r="A43" s="20"/>
      <c r="B43" s="70" t="s">
        <v>103</v>
      </c>
      <c r="C43" s="961"/>
      <c r="D43" s="957"/>
      <c r="E43" s="958"/>
      <c r="F43" s="4"/>
      <c r="G43" s="4"/>
      <c r="H43" s="4"/>
      <c r="I43" s="4"/>
      <c r="J43" s="961"/>
      <c r="K43" s="958"/>
      <c r="M43" s="56" t="s">
        <v>43</v>
      </c>
      <c r="N43" s="24">
        <v>1</v>
      </c>
      <c r="O43" s="960" t="s">
        <v>89</v>
      </c>
      <c r="P43" s="957"/>
      <c r="Q43" s="958"/>
      <c r="R43" s="976" t="s">
        <v>93</v>
      </c>
      <c r="S43" s="977"/>
      <c r="T43" s="978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60" t="s">
        <v>92</v>
      </c>
      <c r="AA43" s="958"/>
    </row>
    <row r="44" spans="1:27" ht="14.25">
      <c r="A44" s="67"/>
      <c r="M44" s="25"/>
      <c r="N44" s="24">
        <v>2</v>
      </c>
      <c r="O44" s="961"/>
      <c r="P44" s="957"/>
      <c r="Q44" s="958"/>
      <c r="R44" s="961"/>
      <c r="S44" s="957"/>
      <c r="T44" s="958"/>
      <c r="U44" s="4"/>
      <c r="V44" s="14"/>
      <c r="W44" s="4"/>
      <c r="X44" s="37">
        <f t="shared" si="19"/>
        <v>0</v>
      </c>
      <c r="Y44" s="4"/>
      <c r="Z44" s="961"/>
      <c r="AA44" s="958"/>
    </row>
    <row r="45" spans="1:27" ht="14.25">
      <c r="A45" s="18"/>
      <c r="B45" s="49" t="s">
        <v>47</v>
      </c>
      <c r="C45" s="959" t="s">
        <v>12</v>
      </c>
      <c r="D45" s="957"/>
      <c r="E45" s="958"/>
      <c r="F45" s="49" t="s">
        <v>46</v>
      </c>
      <c r="G45" s="49" t="s">
        <v>48</v>
      </c>
      <c r="H45" s="49" t="s">
        <v>49</v>
      </c>
      <c r="I45" s="8" t="s">
        <v>13</v>
      </c>
      <c r="J45" s="972" t="s">
        <v>51</v>
      </c>
      <c r="K45" s="958"/>
      <c r="M45" s="25"/>
      <c r="N45" s="24">
        <v>3</v>
      </c>
      <c r="O45" s="961"/>
      <c r="P45" s="957"/>
      <c r="Q45" s="958"/>
      <c r="R45" s="961"/>
      <c r="S45" s="957"/>
      <c r="T45" s="958"/>
      <c r="U45" s="4"/>
      <c r="V45" s="14"/>
      <c r="W45" s="4"/>
      <c r="X45" s="37">
        <f t="shared" si="19"/>
        <v>0</v>
      </c>
      <c r="Y45" s="4"/>
      <c r="Z45" s="961"/>
      <c r="AA45" s="958"/>
    </row>
    <row r="46" spans="1:27" ht="14.25">
      <c r="A46" s="52" t="s">
        <v>36</v>
      </c>
      <c r="B46" s="6">
        <v>1</v>
      </c>
      <c r="C46" s="960" t="s">
        <v>82</v>
      </c>
      <c r="D46" s="957"/>
      <c r="E46" s="958"/>
      <c r="F46" s="4">
        <v>15</v>
      </c>
      <c r="G46" s="4">
        <v>1200</v>
      </c>
      <c r="H46" s="4">
        <v>80</v>
      </c>
      <c r="I46" s="4">
        <v>5</v>
      </c>
      <c r="J46" s="960" t="s">
        <v>83</v>
      </c>
      <c r="K46" s="958"/>
      <c r="M46" s="25"/>
      <c r="N46" s="24">
        <v>4</v>
      </c>
      <c r="O46" s="961"/>
      <c r="P46" s="957"/>
      <c r="Q46" s="958"/>
      <c r="R46" s="961"/>
      <c r="S46" s="957"/>
      <c r="T46" s="958"/>
      <c r="U46" s="4"/>
      <c r="V46" s="14"/>
      <c r="W46" s="4"/>
      <c r="X46" s="37">
        <f t="shared" si="19"/>
        <v>0</v>
      </c>
      <c r="Y46" s="4"/>
      <c r="Z46" s="961"/>
      <c r="AA46" s="958"/>
    </row>
    <row r="47" spans="1:27" ht="14.25">
      <c r="A47" s="23"/>
      <c r="B47" s="6">
        <v>2</v>
      </c>
      <c r="C47" s="961"/>
      <c r="D47" s="957"/>
      <c r="E47" s="958"/>
      <c r="F47" s="4"/>
      <c r="G47" s="4"/>
      <c r="H47" s="4"/>
      <c r="I47" s="4"/>
      <c r="J47" s="961"/>
      <c r="K47" s="958"/>
      <c r="M47" s="25"/>
      <c r="N47" s="29">
        <v>5</v>
      </c>
      <c r="O47" s="961"/>
      <c r="P47" s="957"/>
      <c r="Q47" s="958"/>
      <c r="R47" s="961"/>
      <c r="S47" s="957"/>
      <c r="T47" s="958"/>
      <c r="U47" s="27"/>
      <c r="V47" s="30"/>
      <c r="W47" s="27"/>
      <c r="X47" s="40">
        <f t="shared" si="19"/>
        <v>0</v>
      </c>
      <c r="Y47" s="4"/>
      <c r="Z47" s="961"/>
      <c r="AA47" s="958"/>
    </row>
    <row r="48" spans="1:27" ht="14.25">
      <c r="A48" s="23"/>
      <c r="B48" s="6">
        <v>3</v>
      </c>
      <c r="C48" s="961"/>
      <c r="D48" s="957"/>
      <c r="E48" s="958"/>
      <c r="F48" s="4"/>
      <c r="G48" s="4"/>
      <c r="H48" s="4"/>
      <c r="I48" s="4"/>
      <c r="J48" s="961"/>
      <c r="K48" s="958"/>
      <c r="M48" s="68"/>
      <c r="N48" s="45"/>
      <c r="O48" s="968"/>
      <c r="P48" s="957"/>
      <c r="Q48" s="957"/>
      <c r="R48" s="968"/>
      <c r="S48" s="957"/>
      <c r="T48" s="957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68"/>
      <c r="AA48" s="958"/>
    </row>
    <row r="49" spans="1:27" ht="14.25">
      <c r="A49" s="23"/>
      <c r="B49" s="6">
        <v>4</v>
      </c>
      <c r="C49" s="961"/>
      <c r="D49" s="957"/>
      <c r="E49" s="958"/>
      <c r="F49" s="4"/>
      <c r="G49" s="4"/>
      <c r="H49" s="4"/>
      <c r="I49" s="4"/>
      <c r="J49" s="961"/>
      <c r="K49" s="958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62"/>
      <c r="D50" s="966"/>
      <c r="E50" s="963"/>
      <c r="F50" s="27"/>
      <c r="G50" s="27"/>
      <c r="H50" s="27"/>
      <c r="I50" s="27"/>
      <c r="J50" s="962"/>
      <c r="K50" s="963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964" t="s">
        <v>89</v>
      </c>
      <c r="D51" s="971"/>
      <c r="E51" s="965"/>
      <c r="F51" s="28">
        <v>18</v>
      </c>
      <c r="G51" s="28">
        <v>800</v>
      </c>
      <c r="H51" s="28">
        <v>44.44</v>
      </c>
      <c r="I51" s="28">
        <v>-15</v>
      </c>
      <c r="J51" s="964" t="s">
        <v>84</v>
      </c>
      <c r="K51" s="965"/>
      <c r="M51" s="8"/>
      <c r="N51" s="8" t="s">
        <v>18</v>
      </c>
      <c r="O51" s="967" t="s">
        <v>12</v>
      </c>
      <c r="P51" s="968"/>
      <c r="Q51" s="969"/>
      <c r="R51" s="973" t="s">
        <v>53</v>
      </c>
      <c r="S51" s="974"/>
      <c r="T51" s="975"/>
      <c r="U51" s="57" t="s">
        <v>54</v>
      </c>
      <c r="V51" s="39" t="s">
        <v>19</v>
      </c>
      <c r="W51" s="57" t="s">
        <v>57</v>
      </c>
      <c r="X51" s="8" t="s">
        <v>2</v>
      </c>
      <c r="Y51" s="967" t="s">
        <v>50</v>
      </c>
      <c r="Z51" s="968"/>
      <c r="AA51" s="969"/>
    </row>
    <row r="52" spans="1:27" ht="14.25">
      <c r="A52" s="23"/>
      <c r="B52" s="70" t="s">
        <v>102</v>
      </c>
      <c r="C52" s="961"/>
      <c r="D52" s="957"/>
      <c r="E52" s="958"/>
      <c r="F52" s="4"/>
      <c r="G52" s="4"/>
      <c r="H52" s="4"/>
      <c r="I52" s="4"/>
      <c r="J52" s="961"/>
      <c r="K52" s="958"/>
      <c r="M52" s="56" t="s">
        <v>42</v>
      </c>
      <c r="N52" s="24">
        <v>1</v>
      </c>
      <c r="O52" s="960" t="s">
        <v>89</v>
      </c>
      <c r="P52" s="957"/>
      <c r="Q52" s="958"/>
      <c r="R52" s="976" t="s">
        <v>93</v>
      </c>
      <c r="S52" s="977"/>
      <c r="T52" s="978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60" t="s">
        <v>97</v>
      </c>
      <c r="Z52" s="957"/>
      <c r="AA52" s="958"/>
    </row>
    <row r="53" spans="1:27" ht="14.25">
      <c r="A53" s="23"/>
      <c r="B53" s="70" t="s">
        <v>100</v>
      </c>
      <c r="C53" s="961"/>
      <c r="D53" s="957"/>
      <c r="E53" s="958"/>
      <c r="F53" s="4"/>
      <c r="G53" s="4"/>
      <c r="H53" s="4"/>
      <c r="I53" s="4"/>
      <c r="J53" s="961"/>
      <c r="K53" s="958"/>
      <c r="M53" s="25"/>
      <c r="N53" s="29">
        <v>2</v>
      </c>
      <c r="O53" s="962"/>
      <c r="P53" s="966"/>
      <c r="Q53" s="963"/>
      <c r="R53" s="962"/>
      <c r="S53" s="966"/>
      <c r="T53" s="963"/>
      <c r="U53" s="27"/>
      <c r="V53" s="30"/>
      <c r="W53" s="30"/>
      <c r="X53" s="41">
        <f t="shared" si="20"/>
        <v>0</v>
      </c>
      <c r="Y53" s="962"/>
      <c r="Z53" s="966"/>
      <c r="AA53" s="963"/>
    </row>
    <row r="54" spans="1:27" ht="14.25">
      <c r="A54" s="23"/>
      <c r="B54" s="70" t="s">
        <v>99</v>
      </c>
      <c r="C54" s="961"/>
      <c r="D54" s="957"/>
      <c r="E54" s="958"/>
      <c r="F54" s="4"/>
      <c r="G54" s="4"/>
      <c r="H54" s="4"/>
      <c r="I54" s="4"/>
      <c r="J54" s="961"/>
      <c r="K54" s="958"/>
      <c r="M54" s="56" t="s">
        <v>43</v>
      </c>
      <c r="N54" s="42">
        <v>1</v>
      </c>
      <c r="O54" s="964" t="s">
        <v>94</v>
      </c>
      <c r="P54" s="971"/>
      <c r="Q54" s="965"/>
      <c r="R54" s="964" t="s">
        <v>95</v>
      </c>
      <c r="S54" s="971"/>
      <c r="T54" s="965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64" t="s">
        <v>96</v>
      </c>
      <c r="Z54" s="971"/>
      <c r="AA54" s="965"/>
    </row>
    <row r="55" spans="1:27" ht="14.25">
      <c r="A55" s="20"/>
      <c r="B55" s="70" t="s">
        <v>103</v>
      </c>
      <c r="C55" s="961"/>
      <c r="D55" s="957"/>
      <c r="E55" s="958"/>
      <c r="F55" s="4"/>
      <c r="G55" s="4"/>
      <c r="H55" s="4"/>
      <c r="I55" s="4"/>
      <c r="J55" s="961"/>
      <c r="K55" s="958"/>
      <c r="M55" s="22"/>
      <c r="N55" s="24">
        <v>2</v>
      </c>
      <c r="O55" s="961"/>
      <c r="P55" s="957"/>
      <c r="Q55" s="958"/>
      <c r="R55" s="961"/>
      <c r="S55" s="957"/>
      <c r="T55" s="958"/>
      <c r="U55" s="4"/>
      <c r="V55" s="14"/>
      <c r="W55" s="14"/>
      <c r="X55" s="13">
        <f t="shared" si="20"/>
        <v>0</v>
      </c>
      <c r="Y55" s="961"/>
      <c r="Z55" s="957"/>
      <c r="AA55" s="958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48"/>
    <col min="3" max="3" width="14" style="148" bestFit="1" customWidth="1"/>
    <col min="4" max="4" width="0.28515625" style="148" customWidth="1"/>
    <col min="5" max="5" width="8.7109375" style="148"/>
    <col min="6" max="6" width="16.28515625" style="148" bestFit="1" customWidth="1"/>
    <col min="7" max="16384" width="8.7109375" style="148"/>
  </cols>
  <sheetData>
    <row r="2" spans="2:7" ht="15.75">
      <c r="B2" s="983" t="s">
        <v>255</v>
      </c>
      <c r="C2" s="983"/>
      <c r="D2" s="983"/>
      <c r="E2" s="983"/>
      <c r="F2" s="983"/>
    </row>
    <row r="3" spans="2:7" ht="15">
      <c r="B3" s="149" t="s">
        <v>256</v>
      </c>
      <c r="C3" s="149" t="s">
        <v>257</v>
      </c>
      <c r="D3" s="150"/>
      <c r="E3" s="149" t="s">
        <v>258</v>
      </c>
      <c r="F3" s="149" t="s">
        <v>259</v>
      </c>
      <c r="G3" s="150"/>
    </row>
    <row r="4" spans="2:7" ht="15">
      <c r="B4" s="151" t="s">
        <v>260</v>
      </c>
      <c r="C4" s="151" t="s">
        <v>261</v>
      </c>
      <c r="D4" s="150"/>
      <c r="E4" s="151" t="s">
        <v>262</v>
      </c>
      <c r="F4" s="151" t="s">
        <v>263</v>
      </c>
      <c r="G4" s="150"/>
    </row>
    <row r="5" spans="2:7" ht="15">
      <c r="B5" s="151" t="s">
        <v>264</v>
      </c>
      <c r="C5" s="151" t="s">
        <v>265</v>
      </c>
      <c r="D5" s="150"/>
      <c r="E5" s="151" t="s">
        <v>266</v>
      </c>
      <c r="F5" s="151" t="s">
        <v>267</v>
      </c>
      <c r="G5" s="150"/>
    </row>
    <row r="6" spans="2:7" ht="15">
      <c r="B6" s="151" t="s">
        <v>268</v>
      </c>
      <c r="C6" s="151" t="s">
        <v>269</v>
      </c>
      <c r="D6" s="150"/>
      <c r="E6" s="152" t="s">
        <v>270</v>
      </c>
      <c r="F6" s="152" t="s">
        <v>141</v>
      </c>
      <c r="G6" s="150"/>
    </row>
    <row r="7" spans="2:7" ht="15">
      <c r="B7" s="152" t="s">
        <v>271</v>
      </c>
      <c r="C7" s="152" t="s">
        <v>272</v>
      </c>
      <c r="D7" s="150"/>
      <c r="E7" s="151" t="s">
        <v>273</v>
      </c>
      <c r="F7" s="151" t="s">
        <v>274</v>
      </c>
      <c r="G7" s="150"/>
    </row>
    <row r="8" spans="2:7" ht="15">
      <c r="B8" s="151" t="s">
        <v>275</v>
      </c>
      <c r="C8" s="151" t="s">
        <v>276</v>
      </c>
      <c r="D8" s="150"/>
      <c r="E8" s="151" t="s">
        <v>277</v>
      </c>
      <c r="F8" s="151" t="s">
        <v>278</v>
      </c>
      <c r="G8" s="150"/>
    </row>
    <row r="9" spans="2:7" ht="15">
      <c r="B9" s="151" t="s">
        <v>279</v>
      </c>
      <c r="C9" s="151" t="s">
        <v>280</v>
      </c>
      <c r="D9" s="150"/>
      <c r="E9" s="152" t="s">
        <v>281</v>
      </c>
      <c r="F9" s="152" t="s">
        <v>140</v>
      </c>
      <c r="G9" s="150"/>
    </row>
    <row r="10" spans="2:7" ht="15">
      <c r="B10" s="151" t="s">
        <v>282</v>
      </c>
      <c r="C10" s="151" t="s">
        <v>283</v>
      </c>
      <c r="D10" s="150"/>
      <c r="E10" s="151" t="s">
        <v>284</v>
      </c>
      <c r="F10" s="151" t="s">
        <v>285</v>
      </c>
      <c r="G10" s="150"/>
    </row>
    <row r="11" spans="2:7" ht="15">
      <c r="B11" s="151" t="s">
        <v>286</v>
      </c>
      <c r="C11" s="151" t="s">
        <v>287</v>
      </c>
      <c r="D11" s="150"/>
      <c r="E11" s="151" t="s">
        <v>288</v>
      </c>
      <c r="F11" s="151" t="s">
        <v>278</v>
      </c>
      <c r="G11" s="150"/>
    </row>
    <row r="12" spans="2:7" ht="15">
      <c r="B12" s="151" t="s">
        <v>289</v>
      </c>
      <c r="C12" s="151" t="s">
        <v>290</v>
      </c>
      <c r="D12" s="150"/>
      <c r="E12" s="151" t="s">
        <v>291</v>
      </c>
      <c r="F12" s="151" t="s">
        <v>292</v>
      </c>
      <c r="G12" s="150"/>
    </row>
    <row r="13" spans="2:7" ht="15">
      <c r="B13" s="152" t="s">
        <v>293</v>
      </c>
      <c r="C13" s="152" t="s">
        <v>136</v>
      </c>
      <c r="D13" s="150"/>
      <c r="E13" s="151" t="s">
        <v>294</v>
      </c>
      <c r="F13" s="151" t="s">
        <v>295</v>
      </c>
      <c r="G13" s="150"/>
    </row>
    <row r="14" spans="2:7" ht="15">
      <c r="B14" s="151" t="s">
        <v>296</v>
      </c>
      <c r="C14" s="151" t="s">
        <v>297</v>
      </c>
      <c r="D14" s="150"/>
      <c r="E14" s="152" t="s">
        <v>298</v>
      </c>
      <c r="F14" s="152" t="s">
        <v>299</v>
      </c>
      <c r="G14" s="150"/>
    </row>
    <row r="15" spans="2:7" ht="15">
      <c r="B15" s="152" t="s">
        <v>300</v>
      </c>
      <c r="C15" s="152" t="s">
        <v>301</v>
      </c>
      <c r="D15" s="150"/>
      <c r="E15" s="151" t="s">
        <v>302</v>
      </c>
      <c r="F15" s="151" t="s">
        <v>299</v>
      </c>
      <c r="G15" s="150"/>
    </row>
    <row r="16" spans="2:7" ht="15">
      <c r="B16" s="151" t="s">
        <v>303</v>
      </c>
      <c r="C16" s="151" t="s">
        <v>304</v>
      </c>
      <c r="D16" s="150"/>
      <c r="E16" s="152" t="s">
        <v>305</v>
      </c>
      <c r="F16" s="152" t="s">
        <v>306</v>
      </c>
      <c r="G16" s="150"/>
    </row>
    <row r="17" spans="2:7" ht="15">
      <c r="B17" s="151" t="s">
        <v>307</v>
      </c>
      <c r="C17" s="151" t="s">
        <v>308</v>
      </c>
      <c r="D17" s="150"/>
      <c r="E17" s="151" t="s">
        <v>309</v>
      </c>
      <c r="F17" s="151" t="s">
        <v>310</v>
      </c>
      <c r="G17" s="150"/>
    </row>
    <row r="18" spans="2:7" ht="15">
      <c r="B18" s="151" t="s">
        <v>311</v>
      </c>
      <c r="C18" s="151" t="s">
        <v>312</v>
      </c>
      <c r="D18" s="150"/>
      <c r="E18" s="151" t="s">
        <v>313</v>
      </c>
      <c r="F18" s="151" t="s">
        <v>314</v>
      </c>
      <c r="G18" s="150"/>
    </row>
    <row r="19" spans="2:7" ht="15">
      <c r="B19" s="151" t="s">
        <v>315</v>
      </c>
      <c r="C19" s="151" t="s">
        <v>316</v>
      </c>
      <c r="D19" s="150"/>
      <c r="E19" s="151" t="s">
        <v>317</v>
      </c>
      <c r="F19" s="151" t="s">
        <v>318</v>
      </c>
      <c r="G19" s="150"/>
    </row>
    <row r="20" spans="2:7" ht="15">
      <c r="B20" s="151" t="s">
        <v>319</v>
      </c>
      <c r="C20" s="151" t="s">
        <v>320</v>
      </c>
      <c r="D20" s="150"/>
      <c r="G20" s="150"/>
    </row>
    <row r="21" spans="2:7" ht="15">
      <c r="D21" s="150"/>
      <c r="G21" s="150"/>
    </row>
    <row r="22" spans="2:7" ht="15">
      <c r="D22" s="150"/>
      <c r="G22" s="150"/>
    </row>
    <row r="23" spans="2:7" ht="15">
      <c r="D23" s="150"/>
      <c r="G23" s="15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3:B10"/>
  <sheetViews>
    <sheetView workbookViewId="0">
      <selection activeCell="B7" sqref="B7"/>
    </sheetView>
  </sheetViews>
  <sheetFormatPr defaultRowHeight="12.75"/>
  <sheetData>
    <row r="3" spans="1:2" ht="14.25">
      <c r="A3">
        <v>1</v>
      </c>
      <c r="B3" s="148" t="s">
        <v>362</v>
      </c>
    </row>
    <row r="4" spans="1:2" ht="14.25">
      <c r="A4">
        <v>2</v>
      </c>
      <c r="B4" s="148" t="s">
        <v>383</v>
      </c>
    </row>
    <row r="5" spans="1:2" ht="14.25">
      <c r="A5">
        <v>3</v>
      </c>
      <c r="B5" s="148" t="s">
        <v>337</v>
      </c>
    </row>
    <row r="6" spans="1:2" ht="14.25">
      <c r="A6">
        <v>4</v>
      </c>
      <c r="B6" s="148" t="s">
        <v>214</v>
      </c>
    </row>
    <row r="7" spans="1:2" ht="15">
      <c r="A7">
        <v>5</v>
      </c>
      <c r="B7" s="150" t="s">
        <v>540</v>
      </c>
    </row>
    <row r="8" spans="1:2" ht="14.25">
      <c r="A8">
        <v>6</v>
      </c>
      <c r="B8" s="148" t="s">
        <v>216</v>
      </c>
    </row>
    <row r="9" spans="1:2" ht="14.25">
      <c r="A9">
        <v>7</v>
      </c>
      <c r="B9" s="148" t="s">
        <v>384</v>
      </c>
    </row>
    <row r="10" spans="1:2" ht="14.25">
      <c r="A10">
        <v>8</v>
      </c>
      <c r="B10" s="148" t="s">
        <v>385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5622413-284B-4D4F-897B-ADB085A9E78C}"/>
</file>

<file path=customXml/itemProps3.xml><?xml version="1.0" encoding="utf-8"?>
<ds:datastoreItem xmlns:ds="http://schemas.openxmlformats.org/officeDocument/2006/customXml" ds:itemID="{37DE7EF1-DD5D-46ED-803C-F05254131314}"/>
</file>

<file path=customXml/itemProps4.xml><?xml version="1.0" encoding="utf-8"?>
<ds:datastoreItem xmlns:ds="http://schemas.openxmlformats.org/officeDocument/2006/customXml" ds:itemID="{F045CB14-B489-44D0-AAD9-46FFB394E9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已命名的範圍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林謙杰</cp:lastModifiedBy>
  <cp:lastPrinted>2026-07-22T06:34:28Z</cp:lastPrinted>
  <dcterms:created xsi:type="dcterms:W3CDTF">2025-07-03T16:36:59Z</dcterms:created>
  <dcterms:modified xsi:type="dcterms:W3CDTF">2026-07-22T10:11:14Z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